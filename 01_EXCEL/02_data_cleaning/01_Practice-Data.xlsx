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\06_Excel\"/>
    </mc:Choice>
  </mc:AlternateContent>
  <xr:revisionPtr revIDLastSave="0" documentId="13_ncr:1_{EA84D6BD-87FB-40D5-B3B0-E0EA4DC0F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3" i="1"/>
  <c r="G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3" i="1"/>
  <c r="S2" i="1"/>
  <c r="S1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4" i="1"/>
  <c r="F3" i="1"/>
  <c r="F2" i="1"/>
</calcChain>
</file>

<file path=xl/sharedStrings.xml><?xml version="1.0" encoding="utf-8"?>
<sst xmlns="http://schemas.openxmlformats.org/spreadsheetml/2006/main" count="18728" uniqueCount="3769">
  <si>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</si>
  <si>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</si>
  <si>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</si>
  <si>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</si>
  <si>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</si>
  <si>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</si>
  <si>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</si>
  <si>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</si>
  <si>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</si>
  <si>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</si>
  <si>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</si>
  <si>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</si>
  <si>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</si>
  <si>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</si>
  <si>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</si>
  <si>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</si>
  <si>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</si>
  <si>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</si>
  <si>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</si>
  <si>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</si>
  <si>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</si>
  <si>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</si>
  <si>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</si>
  <si>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</si>
  <si>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</si>
  <si>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</si>
  <si>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</si>
  <si>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</si>
  <si>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</si>
  <si>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</si>
  <si>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</si>
  <si>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</si>
  <si>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</si>
  <si>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</si>
  <si>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</si>
  <si>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</si>
  <si>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</si>
  <si>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</si>
  <si>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</si>
  <si>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</si>
  <si>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</si>
  <si>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</si>
  <si>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</si>
  <si>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</si>
  <si>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</si>
  <si>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</si>
  <si>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</si>
  <si>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</si>
  <si>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</si>
  <si>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</si>
  <si>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</si>
  <si>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</si>
  <si>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</si>
  <si>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</si>
  <si>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</si>
  <si>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</si>
  <si>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</si>
  <si>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</si>
  <si>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</si>
  <si>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</si>
  <si>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</si>
  <si>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</si>
  <si>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</si>
  <si>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</si>
  <si>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</si>
  <si>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</si>
  <si>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</si>
  <si>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</si>
  <si>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</si>
  <si>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</si>
  <si>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</si>
  <si>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</si>
  <si>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</si>
  <si>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</si>
  <si>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</si>
  <si>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</si>
  <si>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</si>
  <si>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</si>
  <si>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</si>
  <si>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</si>
  <si>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</si>
  <si>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</si>
  <si>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</si>
  <si>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</si>
  <si>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</si>
  <si>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</si>
  <si>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</si>
  <si>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</si>
  <si>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</si>
  <si>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</si>
  <si>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</si>
  <si>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</si>
  <si>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</si>
  <si>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Kenneth Walter</t>
  </si>
  <si>
    <t>I-1021</t>
  </si>
  <si>
    <t>Prague</t>
  </si>
  <si>
    <t>Czech Republic</t>
  </si>
  <si>
    <t>Edward Khan</t>
  </si>
  <si>
    <t>I-1022</t>
  </si>
  <si>
    <t>Capetown</t>
  </si>
  <si>
    <t>South Africa</t>
  </si>
  <si>
    <t>Nicholas Holloway</t>
  </si>
  <si>
    <t>I-1023</t>
  </si>
  <si>
    <t>Bangalore</t>
  </si>
  <si>
    <t>Coffee grinder</t>
  </si>
  <si>
    <t>Delia Muhammad</t>
  </si>
  <si>
    <t>I-1024</t>
  </si>
  <si>
    <t>Seattle</t>
  </si>
  <si>
    <t>USA</t>
  </si>
  <si>
    <t>Lesleyann Pope</t>
  </si>
  <si>
    <t>I-1025</t>
  </si>
  <si>
    <t>Jerusalem</t>
  </si>
  <si>
    <t>Susan Carley</t>
  </si>
  <si>
    <t>I-1026</t>
  </si>
  <si>
    <t>Birmingham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</si>
  <si>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</si>
  <si>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</si>
  <si>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</si>
  <si>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</si>
  <si>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</si>
  <si>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</si>
  <si>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</si>
  <si>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Blender</t>
  </si>
  <si>
    <t>I-1029</t>
  </si>
  <si>
    <t>Guangzhou</t>
  </si>
  <si>
    <t>Glenys Wright</t>
  </si>
  <si>
    <t>I-1030</t>
  </si>
  <si>
    <t>Berlin</t>
  </si>
  <si>
    <t>Germany</t>
  </si>
  <si>
    <t>Kate Pearce</t>
  </si>
  <si>
    <t>I-1031</t>
  </si>
  <si>
    <t>Kansas City</t>
  </si>
  <si>
    <t>Robert Arnold</t>
  </si>
  <si>
    <t>I-1032</t>
  </si>
  <si>
    <t>Tokyo</t>
  </si>
  <si>
    <t>David Gow</t>
  </si>
  <si>
    <t>I-1033</t>
  </si>
  <si>
    <t>Darren Brooks</t>
  </si>
  <si>
    <t>I-1034</t>
  </si>
  <si>
    <t>I-1035</t>
  </si>
  <si>
    <t>Mayank Ali</t>
  </si>
  <si>
    <t>I-1036</t>
  </si>
  <si>
    <t>Glen Campbell</t>
  </si>
  <si>
    <t>I-1037</t>
  </si>
  <si>
    <t>Stephen Smith</t>
  </si>
  <si>
    <t>I-1038</t>
  </si>
  <si>
    <t>Paris</t>
  </si>
  <si>
    <t>France</t>
  </si>
  <si>
    <t>Caroline Eccles</t>
  </si>
  <si>
    <t>I-1039</t>
  </si>
  <si>
    <t>Rome</t>
  </si>
  <si>
    <t>Italy</t>
  </si>
  <si>
    <t>Steven Bell</t>
  </si>
  <si>
    <t>I-1040</t>
  </si>
  <si>
    <t>Los Angeles</t>
  </si>
  <si>
    <t>Colin Matthews</t>
  </si>
  <si>
    <t>I-1041</t>
  </si>
  <si>
    <t>New York</t>
  </si>
  <si>
    <t>Stephen Cohen</t>
  </si>
  <si>
    <t>I-1042</t>
  </si>
  <si>
    <t>William Martin</t>
  </si>
  <si>
    <t>I-1043</t>
  </si>
  <si>
    <t>Michael Bell</t>
  </si>
  <si>
    <t>I-1044</t>
  </si>
  <si>
    <t>Roger Rust</t>
  </si>
  <si>
    <t>I-1045</t>
  </si>
  <si>
    <t>Richard Perrott</t>
  </si>
  <si>
    <t>I-1046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</si>
  <si>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</si>
  <si>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</si>
  <si>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</si>
  <si>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</si>
  <si>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</si>
  <si>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</si>
  <si>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</si>
  <si>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</si>
  <si>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</si>
  <si>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</si>
  <si>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</si>
  <si>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</si>
  <si>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Christopher Martin</t>
  </si>
  <si>
    <t>I-1051</t>
  </si>
  <si>
    <t>San Fransisco</t>
  </si>
  <si>
    <t>James Scott</t>
  </si>
  <si>
    <t>I-1052</t>
  </si>
  <si>
    <t>Elaine Whitfield</t>
  </si>
  <si>
    <t>I-1053</t>
  </si>
  <si>
    <t>Dublin</t>
  </si>
  <si>
    <t>Ireland</t>
  </si>
  <si>
    <t>James Carley</t>
  </si>
  <si>
    <t>I-1054</t>
  </si>
  <si>
    <t>Francis Walsh</t>
  </si>
  <si>
    <t>I-1055</t>
  </si>
  <si>
    <t>Rita Hill</t>
  </si>
  <si>
    <t>I-1056</t>
  </si>
  <si>
    <t>Deanna Wang</t>
  </si>
  <si>
    <t>I-1057</t>
  </si>
  <si>
    <t>James White</t>
  </si>
  <si>
    <t>I-1058</t>
  </si>
  <si>
    <t>Jill Thompson</t>
  </si>
  <si>
    <t>I-1059</t>
  </si>
  <si>
    <t>Cheryl Glover</t>
  </si>
  <si>
    <t>I-1060</t>
  </si>
  <si>
    <t>Gillan Clark</t>
  </si>
  <si>
    <t>I-1061</t>
  </si>
  <si>
    <t>Bogota</t>
  </si>
  <si>
    <t>Colombia</t>
  </si>
  <si>
    <t>Antony Westlake</t>
  </si>
  <si>
    <t>I-1062</t>
  </si>
  <si>
    <t>I-1063</t>
  </si>
  <si>
    <t>James Whitehead</t>
  </si>
  <si>
    <t>I-1064</t>
  </si>
  <si>
    <t>Christina Pedley</t>
  </si>
  <si>
    <t>I-1065</t>
  </si>
  <si>
    <t>Ronald Butler</t>
  </si>
  <si>
    <t>I-1066</t>
  </si>
  <si>
    <t>David Stewart</t>
  </si>
  <si>
    <t>I-1067</t>
  </si>
  <si>
    <t>I-1068</t>
  </si>
  <si>
    <t>Donald Barratt</t>
  </si>
  <si>
    <t>I-1069</t>
  </si>
  <si>
    <t>Shanghai</t>
  </si>
  <si>
    <t>Wolf Christian</t>
  </si>
  <si>
    <t>I-1070</t>
  </si>
  <si>
    <t>Mexico City</t>
  </si>
  <si>
    <t>Brendon Dyer</t>
  </si>
  <si>
    <t>I-1071</t>
  </si>
  <si>
    <t>Buenos Aires</t>
  </si>
  <si>
    <t>Argentina</t>
  </si>
  <si>
    <t>Stuart Brown</t>
  </si>
  <si>
    <t>I-1072</t>
  </si>
  <si>
    <t>Alen Dinan</t>
  </si>
  <si>
    <t>I-1073</t>
  </si>
  <si>
    <t>Jacqueline Clamp</t>
  </si>
  <si>
    <t>I-1074</t>
  </si>
  <si>
    <t>Susan Reay</t>
  </si>
  <si>
    <t>I-1075</t>
  </si>
  <si>
    <t>Andrew Phillips</t>
  </si>
  <si>
    <t>I-1076</t>
  </si>
  <si>
    <t>Alan Davie</t>
  </si>
  <si>
    <t>I-1077</t>
  </si>
  <si>
    <t>Madria</t>
  </si>
  <si>
    <t>Spain</t>
  </si>
  <si>
    <t>Penelope Freeland</t>
  </si>
  <si>
    <t>I-1078</t>
  </si>
  <si>
    <t>Michelle Murray</t>
  </si>
  <si>
    <t>I-1079</t>
  </si>
  <si>
    <t>Paul Rule</t>
  </si>
  <si>
    <t>I-1080</t>
  </si>
  <si>
    <t>Ian McCartan</t>
  </si>
  <si>
    <t>I-1081</t>
  </si>
  <si>
    <t>Shelley Mannix</t>
  </si>
  <si>
    <t>I-1082</t>
  </si>
  <si>
    <t>Janet Ford</t>
  </si>
  <si>
    <t>I-1083</t>
  </si>
  <si>
    <t>Vienna</t>
  </si>
  <si>
    <t>Austria</t>
  </si>
  <si>
    <t>Janet Ward</t>
  </si>
  <si>
    <t>I-1084</t>
  </si>
  <si>
    <t>I-1085</t>
  </si>
  <si>
    <t>Craig Johnson</t>
  </si>
  <si>
    <t>I-1086</t>
  </si>
  <si>
    <t>Christopher Snape</t>
  </si>
  <si>
    <t>I-1087</t>
  </si>
  <si>
    <t>Cairo</t>
  </si>
  <si>
    <t>Egypt</t>
  </si>
  <si>
    <t>John Barnett</t>
  </si>
  <si>
    <t>I-1088</t>
  </si>
  <si>
    <t>Robert Jenkins</t>
  </si>
  <si>
    <t>I-1089</t>
  </si>
  <si>
    <t>Kuala Lumpur</t>
  </si>
  <si>
    <t>Malaysia</t>
  </si>
  <si>
    <t>Trudi Griffin</t>
  </si>
  <si>
    <t>I-1090</t>
  </si>
  <si>
    <t>Valerie Brown</t>
  </si>
  <si>
    <t>I-1091</t>
  </si>
  <si>
    <t>Dermot Bailey</t>
  </si>
  <si>
    <t>I-1092</t>
  </si>
  <si>
    <t>Abdul Heywood</t>
  </si>
  <si>
    <t>I-1093</t>
  </si>
  <si>
    <t>Mary Mitchell</t>
  </si>
  <si>
    <t>I-1094</t>
  </si>
  <si>
    <t>Richard McGrath</t>
  </si>
  <si>
    <t>I-1095</t>
  </si>
  <si>
    <t>I-1096</t>
  </si>
  <si>
    <t>Neil McAvoy</t>
  </si>
  <si>
    <t>I-1097</t>
  </si>
  <si>
    <t>Howard Jones</t>
  </si>
  <si>
    <t>I-1098</t>
  </si>
  <si>
    <t>Chicago</t>
  </si>
  <si>
    <t>Heather McGill</t>
  </si>
  <si>
    <t>I-1099</t>
  </si>
  <si>
    <t>I-1100</t>
  </si>
  <si>
    <t>Alexander Hillier</t>
  </si>
  <si>
    <t>I-1101</t>
  </si>
  <si>
    <t>Fiona Johnson</t>
  </si>
  <si>
    <t>I-1102</t>
  </si>
  <si>
    <t>I-1103</t>
  </si>
  <si>
    <t>I-1104</t>
  </si>
  <si>
    <t>Stephen Burch</t>
  </si>
  <si>
    <t>I-1105</t>
  </si>
  <si>
    <t>Claire Storey</t>
  </si>
  <si>
    <t>I-1106</t>
  </si>
  <si>
    <t>I-1107</t>
  </si>
  <si>
    <t>Barbara Turner</t>
  </si>
  <si>
    <t>I-1108</t>
  </si>
  <si>
    <t>Audrey Kane</t>
  </si>
  <si>
    <t>I-1109</t>
  </si>
  <si>
    <t>Robert Payne</t>
  </si>
  <si>
    <t>I-1110</t>
  </si>
  <si>
    <t>Cheryl Tubbs</t>
  </si>
  <si>
    <t>I-1111</t>
  </si>
  <si>
    <t>Victoria Sherwin</t>
  </si>
  <si>
    <t>I-1112</t>
  </si>
  <si>
    <t>Marek Kwiatkowski</t>
  </si>
  <si>
    <t>I-1113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</si>
  <si>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</si>
  <si>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</si>
  <si>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</si>
  <si>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</si>
  <si>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</si>
  <si>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</si>
  <si>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</si>
  <si>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</si>
  <si>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</si>
  <si>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</si>
  <si>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</si>
  <si>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</si>
  <si>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Roy Johnson</t>
  </si>
  <si>
    <t>I-1120</t>
  </si>
  <si>
    <t>I-1121</t>
  </si>
  <si>
    <t>Barrie Murray</t>
  </si>
  <si>
    <t>I-1122</t>
  </si>
  <si>
    <t>Andrew Waddell</t>
  </si>
  <si>
    <t>I-1123</t>
  </si>
  <si>
    <t>Richard Barr</t>
  </si>
  <si>
    <t>I-1124</t>
  </si>
  <si>
    <t>Ian Baker</t>
  </si>
  <si>
    <t>I-1125</t>
  </si>
  <si>
    <t>I-1126</t>
  </si>
  <si>
    <t>Sarah Chadwick</t>
  </si>
  <si>
    <t>I-1127</t>
  </si>
  <si>
    <t>I-1128</t>
  </si>
  <si>
    <t>I-1129</t>
  </si>
  <si>
    <t>Denise Clark</t>
  </si>
  <si>
    <t>I-1130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</si>
  <si>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</si>
  <si>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</si>
  <si>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</si>
  <si>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</si>
  <si>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</si>
  <si>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</si>
  <si>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</si>
  <si>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</si>
  <si>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</si>
  <si>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</si>
  <si>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I-1136</t>
  </si>
  <si>
    <t>I-1137</t>
  </si>
  <si>
    <t>Joanne Sayer</t>
  </si>
  <si>
    <t>I-1138</t>
  </si>
  <si>
    <t>I-1139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</si>
  <si>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</si>
  <si>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</si>
  <si>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</si>
  <si>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</si>
  <si>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</si>
  <si>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</si>
  <si>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</si>
  <si>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</si>
  <si>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</si>
  <si>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</si>
  <si>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I-1145</t>
  </si>
  <si>
    <t>John Bond</t>
  </si>
  <si>
    <t>I-1146</t>
  </si>
  <si>
    <t>Tony Milner</t>
  </si>
  <si>
    <t>I-1147</t>
  </si>
  <si>
    <t>Peter Thompson</t>
  </si>
  <si>
    <t>I-1148</t>
  </si>
  <si>
    <t>Stephen Carlin</t>
  </si>
  <si>
    <t>I-1149</t>
  </si>
  <si>
    <t>Roy Lloyd</t>
  </si>
  <si>
    <t>I-1150</t>
  </si>
  <si>
    <t>Nick Gee</t>
  </si>
  <si>
    <t>I-1151</t>
  </si>
  <si>
    <t>I-1152</t>
  </si>
  <si>
    <t>Paul Mannion</t>
  </si>
  <si>
    <t>I-1153</t>
  </si>
  <si>
    <t>Jacob Percival</t>
  </si>
  <si>
    <t>I-1154</t>
  </si>
  <si>
    <t>I-1155</t>
  </si>
  <si>
    <t>I-1156</t>
  </si>
  <si>
    <t>Geoffrey Patel</t>
  </si>
  <si>
    <t>I-1157</t>
  </si>
  <si>
    <t>I-1158</t>
  </si>
  <si>
    <t>Rosemary Aziz</t>
  </si>
  <si>
    <t>I-1159</t>
  </si>
  <si>
    <t>Cordia Alston</t>
  </si>
  <si>
    <t>I-1160</t>
  </si>
  <si>
    <t>Kevin McLauchlin</t>
  </si>
  <si>
    <t>I-1161</t>
  </si>
  <si>
    <t>Dubai</t>
  </si>
  <si>
    <t>UAE</t>
  </si>
  <si>
    <t>Marie Whitfield</t>
  </si>
  <si>
    <t>I-1162</t>
  </si>
  <si>
    <t>Philip Dewar</t>
  </si>
  <si>
    <t>I-1163</t>
  </si>
  <si>
    <t>I-1164</t>
  </si>
  <si>
    <t>I-1165</t>
  </si>
  <si>
    <t>I-1166</t>
  </si>
  <si>
    <t>Andrew Hirst</t>
  </si>
  <si>
    <t>I-1167</t>
  </si>
  <si>
    <t>Robert Brook</t>
  </si>
  <si>
    <t>I-1168</t>
  </si>
  <si>
    <t>Malcolm Griffith</t>
  </si>
  <si>
    <t>I-1169</t>
  </si>
  <si>
    <t>Alison Younger</t>
  </si>
  <si>
    <t>I-1170</t>
  </si>
  <si>
    <t>Steven Batty</t>
  </si>
  <si>
    <t>I-1171</t>
  </si>
  <si>
    <t>I-1172</t>
  </si>
  <si>
    <t>I-1173</t>
  </si>
  <si>
    <t>Nicholas Knight</t>
  </si>
  <si>
    <t>I-1174</t>
  </si>
  <si>
    <t>I-1175</t>
  </si>
  <si>
    <t>David Philp</t>
  </si>
  <si>
    <t>I-1176</t>
  </si>
  <si>
    <t>Roy Nunes</t>
  </si>
  <si>
    <t>I-1177</t>
  </si>
  <si>
    <t>I-1178</t>
  </si>
  <si>
    <t>I-1179</t>
  </si>
  <si>
    <t>I-1180</t>
  </si>
  <si>
    <t>William Lant</t>
  </si>
  <si>
    <t>I-1181</t>
  </si>
  <si>
    <t>I-1182</t>
  </si>
  <si>
    <t>Santiago</t>
  </si>
  <si>
    <t>Chile</t>
  </si>
  <si>
    <t>Ram Mathews</t>
  </si>
  <si>
    <t>I-1183</t>
  </si>
  <si>
    <t>Naeem Perry</t>
  </si>
  <si>
    <t>I-1184</t>
  </si>
  <si>
    <t>Anthony Connolly</t>
  </si>
  <si>
    <t>I-1185</t>
  </si>
  <si>
    <t>I-1186</t>
  </si>
  <si>
    <t>Brenda Lightfoot</t>
  </si>
  <si>
    <t>I-1187</t>
  </si>
  <si>
    <t>Chloe Lyons</t>
  </si>
  <si>
    <t>I-1188</t>
  </si>
  <si>
    <t>I-1189</t>
  </si>
  <si>
    <t>I-1190</t>
  </si>
  <si>
    <t>Tony Green</t>
  </si>
  <si>
    <t>I-1191</t>
  </si>
  <si>
    <t>Armand Ahmed</t>
  </si>
  <si>
    <t>I-1192</t>
  </si>
  <si>
    <t>Geoffrey Shiner</t>
  </si>
  <si>
    <t>I-1193</t>
  </si>
  <si>
    <t>I-1194</t>
  </si>
  <si>
    <t>Isla Parsons</t>
  </si>
  <si>
    <t>I-1195</t>
  </si>
  <si>
    <t>I-1196</t>
  </si>
  <si>
    <t>I-1197</t>
  </si>
  <si>
    <t>Stephen Nolan</t>
  </si>
  <si>
    <t>I-1198</t>
  </si>
  <si>
    <t>Julia Hurren</t>
  </si>
  <si>
    <t>I-1199</t>
  </si>
  <si>
    <t>Simon Hirst</t>
  </si>
  <si>
    <t>I-1200</t>
  </si>
  <si>
    <t>I-1201</t>
  </si>
  <si>
    <t>I-1202</t>
  </si>
  <si>
    <t>I-1203</t>
  </si>
  <si>
    <t>Francis Hall</t>
  </si>
  <si>
    <t>I-1204</t>
  </si>
  <si>
    <t>I-1205</t>
  </si>
  <si>
    <t>Alan Evora</t>
  </si>
  <si>
    <t>I-1206</t>
  </si>
  <si>
    <t>Xun Simms</t>
  </si>
  <si>
    <t>I-1207</t>
  </si>
  <si>
    <t>Gustavo Taiwo</t>
  </si>
  <si>
    <t>I-1208</t>
  </si>
  <si>
    <t>James Hammond</t>
  </si>
  <si>
    <t>I-1209</t>
  </si>
  <si>
    <t>I-1210</t>
  </si>
  <si>
    <t>Barry Baldwin</t>
  </si>
  <si>
    <t>I-1211</t>
  </si>
  <si>
    <t>Elizabeth Holloway</t>
  </si>
  <si>
    <t>I-1212</t>
  </si>
  <si>
    <t>I-1213</t>
  </si>
  <si>
    <t>Peter Kelly</t>
  </si>
  <si>
    <t>I-1214</t>
  </si>
  <si>
    <t>I-1215</t>
  </si>
  <si>
    <t>I-1216</t>
  </si>
  <si>
    <t>Christopher Kitching</t>
  </si>
  <si>
    <t>I-1217</t>
  </si>
  <si>
    <t>I-1218</t>
  </si>
  <si>
    <t>Michael Patel</t>
  </si>
  <si>
    <t>I-1219</t>
  </si>
  <si>
    <t>Tracy Stanley</t>
  </si>
  <si>
    <t>I-1220</t>
  </si>
  <si>
    <t>Stuart Sykes</t>
  </si>
  <si>
    <t>I-1221</t>
  </si>
  <si>
    <t>I-1222</t>
  </si>
  <si>
    <t>Marie Foster</t>
  </si>
  <si>
    <t>I-1223</t>
  </si>
  <si>
    <t>Gary Acheampong</t>
  </si>
  <si>
    <t>I-1224</t>
  </si>
  <si>
    <t>I-1225</t>
  </si>
  <si>
    <t>John Osborne</t>
  </si>
  <si>
    <t>I-1226</t>
  </si>
  <si>
    <t>Paul Atkins</t>
  </si>
  <si>
    <t>I-1227</t>
  </si>
  <si>
    <t>Denise Rodgers</t>
  </si>
  <si>
    <t>I-1228</t>
  </si>
  <si>
    <t>I-1229</t>
  </si>
  <si>
    <t>Arthur Moncrieff</t>
  </si>
  <si>
    <t>I-1230</t>
  </si>
  <si>
    <t>I-1231</t>
  </si>
  <si>
    <t>I-1232</t>
  </si>
  <si>
    <t>Aidan Perrott</t>
  </si>
  <si>
    <t>I-1233</t>
  </si>
  <si>
    <t>Alexandra Wright</t>
  </si>
  <si>
    <t>I-1234</t>
  </si>
  <si>
    <t>Zhan Whitfield</t>
  </si>
  <si>
    <t>I-1235</t>
  </si>
  <si>
    <t>Daniel Henderson</t>
  </si>
  <si>
    <t>I-1236</t>
  </si>
  <si>
    <t>Barbara Love</t>
  </si>
  <si>
    <t>I-1237</t>
  </si>
  <si>
    <t>Paul Sherwin</t>
  </si>
  <si>
    <t>I-1238</t>
  </si>
  <si>
    <t>I-1239</t>
  </si>
  <si>
    <t>Nicole Marshall</t>
  </si>
  <si>
    <t>I-1240</t>
  </si>
  <si>
    <t>Susan Toye</t>
  </si>
  <si>
    <t>I-1241</t>
  </si>
  <si>
    <t>I-1242</t>
  </si>
  <si>
    <t>Natasha Carvalho</t>
  </si>
  <si>
    <t>I-1243</t>
  </si>
  <si>
    <t>Ronnette Stocks</t>
  </si>
  <si>
    <t>I-1244</t>
  </si>
  <si>
    <t>Pauline Pope</t>
  </si>
  <si>
    <t>I-1245</t>
  </si>
  <si>
    <t>Roger Scott</t>
  </si>
  <si>
    <t>I-1246</t>
  </si>
  <si>
    <t>I-1247</t>
  </si>
  <si>
    <t>Alison Storey</t>
  </si>
  <si>
    <t>I-1248</t>
  </si>
  <si>
    <t>I-1249</t>
  </si>
  <si>
    <t>Douglas Davies</t>
  </si>
  <si>
    <t>I-1250</t>
  </si>
  <si>
    <t>Susan Passey</t>
  </si>
  <si>
    <t>I-1251</t>
  </si>
  <si>
    <t>Bruce McPhee</t>
  </si>
  <si>
    <t>I-1252</t>
  </si>
  <si>
    <t>I-1253</t>
  </si>
  <si>
    <t>I-1254</t>
  </si>
  <si>
    <t>Bryan Mason</t>
  </si>
  <si>
    <t>I-1255</t>
  </si>
  <si>
    <t>Rebecca Delo</t>
  </si>
  <si>
    <t>I-1256</t>
  </si>
  <si>
    <t>I-1257</t>
  </si>
  <si>
    <t>I-1258</t>
  </si>
  <si>
    <t>Abu Moore</t>
  </si>
  <si>
    <t>I-1259</t>
  </si>
  <si>
    <t>I-1260</t>
  </si>
  <si>
    <t>I-1261</t>
  </si>
  <si>
    <t>Carole Owen</t>
  </si>
  <si>
    <t>I-1262</t>
  </si>
  <si>
    <t>Rachel Oliver</t>
  </si>
  <si>
    <t>I-1263</t>
  </si>
  <si>
    <t>I-1264</t>
  </si>
  <si>
    <t>Carl Snape</t>
  </si>
  <si>
    <t>I-1265</t>
  </si>
  <si>
    <t>John Bull</t>
  </si>
  <si>
    <t>I-1266</t>
  </si>
  <si>
    <t>Charles Ali</t>
  </si>
  <si>
    <t>I-1267</t>
  </si>
  <si>
    <t>Wolfgang Carvalho</t>
  </si>
  <si>
    <t>I-1268</t>
  </si>
  <si>
    <t>I-1269</t>
  </si>
  <si>
    <t>I-1270</t>
  </si>
  <si>
    <t>Gary Percival</t>
  </si>
  <si>
    <t>I-1271</t>
  </si>
  <si>
    <t>Gary Roberts</t>
  </si>
  <si>
    <t>I-1272</t>
  </si>
  <si>
    <t>Leonard Green</t>
  </si>
  <si>
    <t>I-1273</t>
  </si>
  <si>
    <t>Richard James</t>
  </si>
  <si>
    <t>I-1274</t>
  </si>
  <si>
    <t>I-1275</t>
  </si>
  <si>
    <t>Richard Rowe</t>
  </si>
  <si>
    <t>I-1276</t>
  </si>
  <si>
    <t>Bryan Clement</t>
  </si>
  <si>
    <t>I-1277</t>
  </si>
  <si>
    <t>Paresh Mathews</t>
  </si>
  <si>
    <t>I-1278</t>
  </si>
  <si>
    <t>Thomas Davies</t>
  </si>
  <si>
    <t>I-1279</t>
  </si>
  <si>
    <t>Ronald Curtis</t>
  </si>
  <si>
    <t>I-1280</t>
  </si>
  <si>
    <t>I-1281</t>
  </si>
  <si>
    <t>David Amos</t>
  </si>
  <si>
    <t>I-1282</t>
  </si>
  <si>
    <t>I-1283</t>
  </si>
  <si>
    <t>I-1284</t>
  </si>
  <si>
    <t>Colin Lima</t>
  </si>
  <si>
    <t>I-1285</t>
  </si>
  <si>
    <t>I-1286</t>
  </si>
  <si>
    <t>I-1287</t>
  </si>
  <si>
    <t>Christopher Hurren</t>
  </si>
  <si>
    <t>I-1288</t>
  </si>
  <si>
    <t>I-1289</t>
  </si>
  <si>
    <t>Neil Tubbs</t>
  </si>
  <si>
    <t>I-1290</t>
  </si>
  <si>
    <t>I-1291</t>
  </si>
  <si>
    <t>I-1292</t>
  </si>
  <si>
    <t>John Craig</t>
  </si>
  <si>
    <t>I-1293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</si>
  <si>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</si>
  <si>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</si>
  <si>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</si>
  <si>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</si>
  <si>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</si>
  <si>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</si>
  <si>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</si>
  <si>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I-1298</t>
  </si>
  <si>
    <t>Zoe Munday</t>
  </si>
  <si>
    <t>I-1299</t>
  </si>
  <si>
    <t>Paul Long</t>
  </si>
  <si>
    <t>I-1300</t>
  </si>
  <si>
    <t>Olivia Reynolds</t>
  </si>
  <si>
    <t>I-1301</t>
  </si>
  <si>
    <t>I-1302</t>
  </si>
  <si>
    <t>Eric Walker</t>
  </si>
  <si>
    <t>I-1303</t>
  </si>
  <si>
    <t>Andrew Jones</t>
  </si>
  <si>
    <t>I-1304</t>
  </si>
  <si>
    <t>Basil Nolan</t>
  </si>
  <si>
    <t>I-1305</t>
  </si>
  <si>
    <t>I-1306</t>
  </si>
  <si>
    <t>I-1307</t>
  </si>
  <si>
    <t>I-1308</t>
  </si>
  <si>
    <t>I-1309</t>
  </si>
  <si>
    <t>I-1310</t>
  </si>
  <si>
    <t>I-1311</t>
  </si>
  <si>
    <t>Damilola Raymond</t>
  </si>
  <si>
    <t>I-1312</t>
  </si>
  <si>
    <t>Christopher Lloyd</t>
  </si>
  <si>
    <t>I-1313</t>
  </si>
  <si>
    <t>James Neville</t>
  </si>
  <si>
    <t>I-1314</t>
  </si>
  <si>
    <t>I-1315</t>
  </si>
  <si>
    <t>I-1316</t>
  </si>
  <si>
    <t>I-1317</t>
  </si>
  <si>
    <t>I-1318</t>
  </si>
  <si>
    <t>I-1319</t>
  </si>
  <si>
    <t>I-1320</t>
  </si>
  <si>
    <t>I-1321</t>
  </si>
  <si>
    <t>I-1322</t>
  </si>
  <si>
    <t>I-1323</t>
  </si>
  <si>
    <t>Timothy Younger</t>
  </si>
  <si>
    <t>I-1324</t>
  </si>
  <si>
    <t>Philip Mishra</t>
  </si>
  <si>
    <t>I-1325</t>
  </si>
  <si>
    <t>I-1326</t>
  </si>
  <si>
    <t>I-1327</t>
  </si>
  <si>
    <t>I-1328</t>
  </si>
  <si>
    <t>I-1329</t>
  </si>
  <si>
    <t>I-1330</t>
  </si>
  <si>
    <t>I-1331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</si>
  <si>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</si>
  <si>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</si>
  <si>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</si>
  <si>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</si>
  <si>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</si>
  <si>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</si>
  <si>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</si>
  <si>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</si>
  <si>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I-1337</t>
  </si>
  <si>
    <t>I-1338</t>
  </si>
  <si>
    <t>Michelle Hunter</t>
  </si>
  <si>
    <t>I-1339</t>
  </si>
  <si>
    <t>I-1340</t>
  </si>
  <si>
    <t>Margaret Buck</t>
  </si>
  <si>
    <t>I-1341</t>
  </si>
  <si>
    <t>Gwyn Taylor</t>
  </si>
  <si>
    <t>I-1342</t>
  </si>
  <si>
    <t>Ronald Rowlands</t>
  </si>
  <si>
    <t>I-1343</t>
  </si>
  <si>
    <t>I-1344</t>
  </si>
  <si>
    <t>Kirsty Amos</t>
  </si>
  <si>
    <t>I-1345</t>
  </si>
  <si>
    <t>I-1346</t>
  </si>
  <si>
    <t>I-1347</t>
  </si>
  <si>
    <t>I-1348</t>
  </si>
  <si>
    <t>Rachel Clayton</t>
  </si>
  <si>
    <t>I-1349</t>
  </si>
  <si>
    <t>Rosalind Chandler</t>
  </si>
  <si>
    <t>I-1350</t>
  </si>
  <si>
    <t>Kelly Owen</t>
  </si>
  <si>
    <t>I-1351</t>
  </si>
  <si>
    <t>Emily Brierley</t>
  </si>
  <si>
    <t>I-1352</t>
  </si>
  <si>
    <t>I-1353</t>
  </si>
  <si>
    <t>Kenneth Bullion</t>
  </si>
  <si>
    <t>I-1354</t>
  </si>
  <si>
    <t>I-1355</t>
  </si>
  <si>
    <t>I-1356</t>
  </si>
  <si>
    <t>I-1357</t>
  </si>
  <si>
    <t>I-1358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</si>
  <si>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</si>
  <si>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</si>
  <si>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</si>
  <si>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</si>
  <si>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</si>
  <si>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</si>
  <si>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</si>
  <si>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</si>
  <si>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</si>
  <si>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</si>
  <si>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</si>
  <si>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I-1366</t>
  </si>
  <si>
    <t>Richard Nash</t>
  </si>
  <si>
    <t>I-1367</t>
  </si>
  <si>
    <t>Paul Puri</t>
  </si>
  <si>
    <t>I-1368</t>
  </si>
  <si>
    <t>I-1369</t>
  </si>
  <si>
    <t>Ryan Goad</t>
  </si>
  <si>
    <t>I-1370</t>
  </si>
  <si>
    <t>Stuart Hunter</t>
  </si>
  <si>
    <t>I-1371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</si>
  <si>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</si>
  <si>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</si>
  <si>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</si>
  <si>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</si>
  <si>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</si>
  <si>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</si>
  <si>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</si>
  <si>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I-1376</t>
  </si>
  <si>
    <t>Ellen Lillie</t>
  </si>
  <si>
    <t>I-1377</t>
  </si>
  <si>
    <t>I-1378</t>
  </si>
  <si>
    <t>I-1379</t>
  </si>
  <si>
    <t>Emma Gibbons</t>
  </si>
  <si>
    <t>I-1380</t>
  </si>
  <si>
    <t>I-1381</t>
  </si>
  <si>
    <t>I-1382</t>
  </si>
  <si>
    <t>I-1383</t>
  </si>
  <si>
    <t>I-1384</t>
  </si>
  <si>
    <t>Steven Douglas</t>
  </si>
  <si>
    <t>I-1385</t>
  </si>
  <si>
    <t>I-1386</t>
  </si>
  <si>
    <t>I-1387</t>
  </si>
  <si>
    <t>I-1388</t>
  </si>
  <si>
    <t>Marcus Jacob</t>
  </si>
  <si>
    <t>I-1389</t>
  </si>
  <si>
    <t>I-1390</t>
  </si>
  <si>
    <t>I-1391</t>
  </si>
  <si>
    <t>I-1392</t>
  </si>
  <si>
    <t>I-1393</t>
  </si>
  <si>
    <t>I-1394</t>
  </si>
  <si>
    <t>David Finnie</t>
  </si>
  <si>
    <t>I-1395</t>
  </si>
  <si>
    <t>I-1396</t>
  </si>
  <si>
    <t>Michael Rodgers</t>
  </si>
  <si>
    <t>I-1397</t>
  </si>
  <si>
    <t>Karen Hopewell</t>
  </si>
  <si>
    <t>I-1398</t>
  </si>
  <si>
    <t>I-1399</t>
  </si>
  <si>
    <t>I-1400</t>
  </si>
  <si>
    <t>I-1401</t>
  </si>
  <si>
    <t>Rachel Blane</t>
  </si>
  <si>
    <t>I-1402</t>
  </si>
  <si>
    <t>Golam Reid</t>
  </si>
  <si>
    <t>I-1403</t>
  </si>
  <si>
    <t>I-1404</t>
  </si>
  <si>
    <t>James Anthony</t>
  </si>
  <si>
    <t>I-1405</t>
  </si>
  <si>
    <t>Nick Blacklock</t>
  </si>
  <si>
    <t>I-1406</t>
  </si>
  <si>
    <t>I-1407</t>
  </si>
  <si>
    <t>Martin Mishra</t>
  </si>
  <si>
    <t>I-1408</t>
  </si>
  <si>
    <t>Heather Murray</t>
  </si>
  <si>
    <t>I-1409</t>
  </si>
  <si>
    <t>Alan Procter</t>
  </si>
  <si>
    <t>I-1410</t>
  </si>
  <si>
    <t>I-1411</t>
  </si>
  <si>
    <t>I-1412</t>
  </si>
  <si>
    <t>I-1413</t>
  </si>
  <si>
    <t>Julia Ferguson</t>
  </si>
  <si>
    <t>I-1414</t>
  </si>
  <si>
    <t>I-1415</t>
  </si>
  <si>
    <t>Robert Harris</t>
  </si>
  <si>
    <t>I-1416</t>
  </si>
  <si>
    <t>David Rodrigues</t>
  </si>
  <si>
    <t>I-1417</t>
  </si>
  <si>
    <t>Claire Brooks</t>
  </si>
  <si>
    <t>I-1418</t>
  </si>
  <si>
    <t>Penelope Norton</t>
  </si>
  <si>
    <t>I-1419</t>
  </si>
  <si>
    <t>I-1420</t>
  </si>
  <si>
    <t>Raymond Denning</t>
  </si>
  <si>
    <t>I-1421</t>
  </si>
  <si>
    <t>Valerie Pereira</t>
  </si>
  <si>
    <t>I-1422</t>
  </si>
  <si>
    <t>I-1423</t>
  </si>
  <si>
    <t>Paul Drage</t>
  </si>
  <si>
    <t>I-1424</t>
  </si>
  <si>
    <t>Pauline Taylor</t>
  </si>
  <si>
    <t>I-1425</t>
  </si>
  <si>
    <t>Valerie Hook</t>
  </si>
  <si>
    <t>I-1426</t>
  </si>
  <si>
    <t>I-1427</t>
  </si>
  <si>
    <t>I-1428</t>
  </si>
  <si>
    <t>I-1429</t>
  </si>
  <si>
    <t>Ian Borowski</t>
  </si>
  <si>
    <t>I-1430</t>
  </si>
  <si>
    <t>I-1431</t>
  </si>
  <si>
    <t>Harold Green</t>
  </si>
  <si>
    <t>I-1432</t>
  </si>
  <si>
    <t>I-1433</t>
  </si>
  <si>
    <t>David Hubble</t>
  </si>
  <si>
    <t>I-1434</t>
  </si>
  <si>
    <t>William Cruse</t>
  </si>
  <si>
    <t>I-1435</t>
  </si>
  <si>
    <t>Michael Toy</t>
  </si>
  <si>
    <t>I-1436</t>
  </si>
  <si>
    <t>Harold Charters</t>
  </si>
  <si>
    <t>I-1437</t>
  </si>
  <si>
    <t>Jason Edmund</t>
  </si>
  <si>
    <t>I-1438</t>
  </si>
  <si>
    <t>Melanie Fletcher</t>
  </si>
  <si>
    <t>I-1439</t>
  </si>
  <si>
    <t>I-1440</t>
  </si>
  <si>
    <t>I-1441</t>
  </si>
  <si>
    <t>I-1442</t>
  </si>
  <si>
    <t>I-1443</t>
  </si>
  <si>
    <t>Ian Grant</t>
  </si>
  <si>
    <t>I-1444</t>
  </si>
  <si>
    <t>I-1445</t>
  </si>
  <si>
    <t>I-1446</t>
  </si>
  <si>
    <t>I-1447</t>
  </si>
  <si>
    <t>Jodie Fairhurst</t>
  </si>
  <si>
    <t>I-1448</t>
  </si>
  <si>
    <t>I-1449</t>
  </si>
  <si>
    <t>Joanne Ripley</t>
  </si>
  <si>
    <t>I-1450</t>
  </si>
  <si>
    <t>I-1451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</si>
  <si>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</si>
  <si>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</si>
  <si>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</si>
  <si>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</si>
  <si>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</si>
  <si>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</si>
  <si>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</si>
  <si>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</si>
  <si>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</si>
  <si>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</si>
  <si>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</si>
  <si>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</si>
  <si>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</si>
  <si>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I-1460</t>
  </si>
  <si>
    <t>Maureen Reynolds</t>
  </si>
  <si>
    <t>I-1461</t>
  </si>
  <si>
    <t>Donald Higgs</t>
  </si>
  <si>
    <t>I-1462</t>
  </si>
  <si>
    <t>I-1463</t>
  </si>
  <si>
    <t>I-1464</t>
  </si>
  <si>
    <t>David Power</t>
  </si>
  <si>
    <t>I-1465</t>
  </si>
  <si>
    <t>I-1466</t>
  </si>
  <si>
    <t>Simon Snape</t>
  </si>
  <si>
    <t>I-1467</t>
  </si>
  <si>
    <t>Martin Gee</t>
  </si>
  <si>
    <t>I-1468</t>
  </si>
  <si>
    <t>I-1469</t>
  </si>
  <si>
    <t>I-1470</t>
  </si>
  <si>
    <t>I-1471</t>
  </si>
  <si>
    <t>Robert Polhill</t>
  </si>
  <si>
    <t>I-1472</t>
  </si>
  <si>
    <t>I-1473</t>
  </si>
  <si>
    <t>I-1474</t>
  </si>
  <si>
    <t>I-1475</t>
  </si>
  <si>
    <t>I-1476</t>
  </si>
  <si>
    <t>Thomas Taylor</t>
  </si>
  <si>
    <t>I-1477</t>
  </si>
  <si>
    <t>Stephen Muhammad</t>
  </si>
  <si>
    <t>I-1478</t>
  </si>
  <si>
    <t>Robert James</t>
  </si>
  <si>
    <t>I-1479</t>
  </si>
  <si>
    <t>I-1480</t>
  </si>
  <si>
    <t>I-1481</t>
  </si>
  <si>
    <t>I-1482</t>
  </si>
  <si>
    <t>I-1483</t>
  </si>
  <si>
    <t>I-1484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</si>
  <si>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</si>
  <si>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</si>
  <si>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</si>
  <si>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</si>
  <si>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</si>
  <si>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</si>
  <si>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</si>
  <si>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</si>
  <si>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I-1490</t>
  </si>
  <si>
    <t>Ronald Bettley</t>
  </si>
  <si>
    <t>I-1491</t>
  </si>
  <si>
    <t>I-1492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</si>
  <si>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</si>
  <si>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</si>
  <si>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</si>
  <si>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</si>
  <si>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</si>
  <si>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</si>
  <si>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</si>
  <si>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</si>
  <si>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</si>
  <si>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</si>
  <si>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</si>
  <si>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</si>
  <si>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</si>
  <si>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</si>
  <si>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John Gunter</t>
  </si>
  <si>
    <t>I-1501</t>
  </si>
  <si>
    <t>Kevin Ross</t>
  </si>
  <si>
    <t>I-1502</t>
  </si>
  <si>
    <t>I-1503</t>
  </si>
  <si>
    <t>Ian Coates</t>
  </si>
  <si>
    <t>I-1504</t>
  </si>
  <si>
    <t>I-1505</t>
  </si>
  <si>
    <t>I-1506</t>
  </si>
  <si>
    <t>I-1507</t>
  </si>
  <si>
    <t>I-1508</t>
  </si>
  <si>
    <t>I-1509</t>
  </si>
  <si>
    <t>I-1510</t>
  </si>
  <si>
    <t>I-1511</t>
  </si>
  <si>
    <t>I-1512</t>
  </si>
  <si>
    <t>I-1513</t>
  </si>
  <si>
    <t>I-1514</t>
  </si>
  <si>
    <t>Lisa Wood</t>
  </si>
  <si>
    <t>I-1515</t>
  </si>
  <si>
    <t>Peter Walker</t>
  </si>
  <si>
    <t>I-1516</t>
  </si>
  <si>
    <t>Barbara McDevitt</t>
  </si>
  <si>
    <t>I-1517</t>
  </si>
  <si>
    <t>I-1518</t>
  </si>
  <si>
    <t>I-1519</t>
  </si>
  <si>
    <t>I-1520</t>
  </si>
  <si>
    <t>Kevin Styles</t>
  </si>
  <si>
    <t>I-1521</t>
  </si>
  <si>
    <t>Margaret Philp</t>
  </si>
  <si>
    <t>I-1522</t>
  </si>
  <si>
    <t>I-1523</t>
  </si>
  <si>
    <t>I-1524</t>
  </si>
  <si>
    <t>I-1525</t>
  </si>
  <si>
    <t>Steven Green</t>
  </si>
  <si>
    <t>I-1526</t>
  </si>
  <si>
    <t>I-1527</t>
  </si>
  <si>
    <t>I-1528</t>
  </si>
  <si>
    <t>I-1529</t>
  </si>
  <si>
    <t>Shelley Lock</t>
  </si>
  <si>
    <t>I-1530</t>
  </si>
  <si>
    <t>I-1531</t>
  </si>
  <si>
    <t>I-1532</t>
  </si>
  <si>
    <t>David Johnson</t>
  </si>
  <si>
    <t>I-1533</t>
  </si>
  <si>
    <t>I-1534</t>
  </si>
  <si>
    <t>I-1535</t>
  </si>
  <si>
    <t>I-1536</t>
  </si>
  <si>
    <t>I-1537</t>
  </si>
  <si>
    <t>I-1538</t>
  </si>
  <si>
    <t>I-1539</t>
  </si>
  <si>
    <t>Mark Searle</t>
  </si>
  <si>
    <t>I-1540</t>
  </si>
  <si>
    <t>Richard Hughes</t>
  </si>
  <si>
    <t>I-1541</t>
  </si>
  <si>
    <t>I-1542</t>
  </si>
  <si>
    <t>I-1543</t>
  </si>
  <si>
    <t>I-1544</t>
  </si>
  <si>
    <t>I-1545</t>
  </si>
  <si>
    <t>I-1546</t>
  </si>
  <si>
    <t>I-1547</t>
  </si>
  <si>
    <t>I-1548</t>
  </si>
  <si>
    <t>Matthew Crowe</t>
  </si>
  <si>
    <t>I-1549</t>
  </si>
  <si>
    <t>I-1550</t>
  </si>
  <si>
    <t>Roy Cooper</t>
  </si>
  <si>
    <t>I-1551</t>
  </si>
  <si>
    <t>I-1552</t>
  </si>
  <si>
    <t>I-1553</t>
  </si>
  <si>
    <t>I-1554</t>
  </si>
  <si>
    <t>I-1555</t>
  </si>
  <si>
    <t>I-1556</t>
  </si>
  <si>
    <t>I-1557</t>
  </si>
  <si>
    <t>I-1558</t>
  </si>
  <si>
    <t>Anthony Procter</t>
  </si>
  <si>
    <t>I-1559</t>
  </si>
  <si>
    <t>I-1560</t>
  </si>
  <si>
    <t>I-1561</t>
  </si>
  <si>
    <t>I-1562</t>
  </si>
  <si>
    <t>I-1563</t>
  </si>
  <si>
    <t>I-1564</t>
  </si>
  <si>
    <t>Richard Foy</t>
  </si>
  <si>
    <t>I-1565</t>
  </si>
  <si>
    <t>I-1566</t>
  </si>
  <si>
    <t>I-1567</t>
  </si>
  <si>
    <t>Paul Hirst</t>
  </si>
  <si>
    <t>I-1568</t>
  </si>
  <si>
    <t>Philip Tubbs</t>
  </si>
  <si>
    <t>I-1569</t>
  </si>
  <si>
    <t>I-1570</t>
  </si>
  <si>
    <t>Alan Grant</t>
  </si>
  <si>
    <t>I-1571</t>
  </si>
  <si>
    <t>I-1572</t>
  </si>
  <si>
    <t>I-1573</t>
  </si>
  <si>
    <t>I-1574</t>
  </si>
  <si>
    <t>Daniel Battersby</t>
  </si>
  <si>
    <t>I-1575</t>
  </si>
  <si>
    <t>I-1576</t>
  </si>
  <si>
    <t>Abdul Amos</t>
  </si>
  <si>
    <t>I-1577</t>
  </si>
  <si>
    <t>Rose Rowntree</t>
  </si>
  <si>
    <t>I-1578</t>
  </si>
  <si>
    <t>I-1579</t>
  </si>
  <si>
    <t>George Stevenson</t>
  </si>
  <si>
    <t>I-1580</t>
  </si>
  <si>
    <t>Kevin Curtis</t>
  </si>
  <si>
    <t>I-1581</t>
  </si>
  <si>
    <t>I-1582</t>
  </si>
  <si>
    <t>I-1583</t>
  </si>
  <si>
    <t>I-1584</t>
  </si>
  <si>
    <t>Kate Nash</t>
  </si>
  <si>
    <t>I-1585</t>
  </si>
  <si>
    <t>I-1586</t>
  </si>
  <si>
    <t>I-1587</t>
  </si>
  <si>
    <t>Christopher Griffith</t>
  </si>
  <si>
    <t>I-1588</t>
  </si>
  <si>
    <t>Peter Jago</t>
  </si>
  <si>
    <t>I-1589</t>
  </si>
  <si>
    <t>I-1590</t>
  </si>
  <si>
    <t>Jacqueline Green</t>
  </si>
  <si>
    <t>I-1591</t>
  </si>
  <si>
    <t>I-1592</t>
  </si>
  <si>
    <t>Jeremy Bannister</t>
  </si>
  <si>
    <t>I-1593</t>
  </si>
  <si>
    <t>Richard Dewar</t>
  </si>
  <si>
    <t>I-1594</t>
  </si>
  <si>
    <t>I-1595</t>
  </si>
  <si>
    <t>I-1596</t>
  </si>
  <si>
    <t>John Verma</t>
  </si>
  <si>
    <t>I-1597</t>
  </si>
  <si>
    <t>I-1598</t>
  </si>
  <si>
    <t>I-1599</t>
  </si>
  <si>
    <t>I-1600</t>
  </si>
  <si>
    <t>I-1601</t>
  </si>
  <si>
    <t>I-1602</t>
  </si>
  <si>
    <t>I-1603</t>
  </si>
  <si>
    <t>I-1604</t>
  </si>
  <si>
    <t>I-1605</t>
  </si>
  <si>
    <t>Olive Foster</t>
  </si>
  <si>
    <t>I-1606</t>
  </si>
  <si>
    <t>Jonathan Will</t>
  </si>
  <si>
    <t>I-1607</t>
  </si>
  <si>
    <t>I-1608</t>
  </si>
  <si>
    <t>Nicholas Goude</t>
  </si>
  <si>
    <t>I-1609</t>
  </si>
  <si>
    <t>I-1610</t>
  </si>
  <si>
    <t>I-1611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</si>
  <si>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</si>
  <si>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</si>
  <si>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</si>
  <si>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</si>
  <si>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</si>
  <si>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</si>
  <si>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</si>
  <si>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</si>
  <si>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</si>
  <si>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I-1618</t>
  </si>
  <si>
    <t>I-1619</t>
  </si>
  <si>
    <t>I-1620</t>
  </si>
  <si>
    <t>I-1621</t>
  </si>
  <si>
    <t>Suzanna Davies</t>
  </si>
  <si>
    <t>I-1622</t>
  </si>
  <si>
    <t>I-1623</t>
  </si>
  <si>
    <t>I-1624</t>
  </si>
  <si>
    <t>I-1625</t>
  </si>
  <si>
    <t>I-1626</t>
  </si>
  <si>
    <t>I-1627</t>
  </si>
  <si>
    <t>I-1628</t>
  </si>
  <si>
    <t>I-1629</t>
  </si>
  <si>
    <t>I-1630</t>
  </si>
  <si>
    <t>I-1631</t>
  </si>
  <si>
    <t>Lucy Downs</t>
  </si>
  <si>
    <t>I-1632</t>
  </si>
  <si>
    <t>I-1633</t>
  </si>
  <si>
    <t>Austin Parsons</t>
  </si>
  <si>
    <t>I-1634</t>
  </si>
  <si>
    <t>I-1635</t>
  </si>
  <si>
    <t>I-1636</t>
  </si>
  <si>
    <t>Jesus Timmins</t>
  </si>
  <si>
    <t>I-1637</t>
  </si>
  <si>
    <t>I-1638</t>
  </si>
  <si>
    <t>Gary Mistry</t>
  </si>
  <si>
    <t>I-1639</t>
  </si>
  <si>
    <t>Michael Wood</t>
  </si>
  <si>
    <t>I-1640</t>
  </si>
  <si>
    <t>I-1641</t>
  </si>
  <si>
    <t>I-1642</t>
  </si>
  <si>
    <t>I-1643</t>
  </si>
  <si>
    <t>I-1644</t>
  </si>
  <si>
    <t>Anthony Rothery</t>
  </si>
  <si>
    <t>I-1645</t>
  </si>
  <si>
    <t>Iftikhar Haywood</t>
  </si>
  <si>
    <t>I-1646</t>
  </si>
  <si>
    <t>I-1647</t>
  </si>
  <si>
    <t>I-1648</t>
  </si>
  <si>
    <t>I-1649</t>
  </si>
  <si>
    <t>I-1650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</si>
  <si>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</si>
  <si>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</si>
  <si>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</si>
  <si>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</si>
  <si>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</si>
  <si>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</si>
  <si>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</si>
  <si>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</si>
  <si>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</si>
  <si>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</si>
  <si>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</si>
  <si>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</si>
  <si>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</si>
  <si>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</si>
  <si>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</si>
  <si>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Stephen Neville</t>
  </si>
  <si>
    <t>I-1663</t>
  </si>
  <si>
    <t>I-1664</t>
  </si>
  <si>
    <t>I-1665</t>
  </si>
  <si>
    <t>Alexander Uddin</t>
  </si>
  <si>
    <t>I-1666</t>
  </si>
  <si>
    <t>I-1667</t>
  </si>
  <si>
    <t>I-1668</t>
  </si>
  <si>
    <t>I-1669</t>
  </si>
  <si>
    <t>I-1670</t>
  </si>
  <si>
    <t>I-1671</t>
  </si>
  <si>
    <t>I-1672</t>
  </si>
  <si>
    <t>Robert Faulkner</t>
  </si>
  <si>
    <t>I-1673</t>
  </si>
  <si>
    <t>I-1674</t>
  </si>
  <si>
    <t>Rachel Howard</t>
  </si>
  <si>
    <t>I-1675</t>
  </si>
  <si>
    <t>I-1676</t>
  </si>
  <si>
    <t>I-1677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</si>
  <si>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</si>
  <si>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</si>
  <si>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</si>
  <si>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</si>
  <si>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</si>
  <si>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</si>
  <si>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</si>
  <si>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</si>
  <si>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</si>
  <si>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</si>
  <si>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</si>
  <si>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</si>
  <si>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</si>
  <si>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I-1686</t>
  </si>
  <si>
    <t>I-1687</t>
  </si>
  <si>
    <t>I-1688</t>
  </si>
  <si>
    <t>I-1689</t>
  </si>
  <si>
    <t>Frank Murray</t>
  </si>
  <si>
    <t>I-1690</t>
  </si>
  <si>
    <t>I-1691</t>
  </si>
  <si>
    <t>I-1692</t>
  </si>
  <si>
    <t>Noel Bull</t>
  </si>
  <si>
    <t>I-1693</t>
  </si>
  <si>
    <t>I-1694</t>
  </si>
  <si>
    <t>I-1695</t>
  </si>
  <si>
    <t>I-1696</t>
  </si>
  <si>
    <t>I-1697</t>
  </si>
  <si>
    <t>Lloyd Norton</t>
  </si>
  <si>
    <t>I-1698</t>
  </si>
  <si>
    <t>Glenys Raymond</t>
  </si>
  <si>
    <t>I-1699</t>
  </si>
  <si>
    <t>I-1700</t>
  </si>
  <si>
    <t>I-1701</t>
  </si>
  <si>
    <t>I-1702</t>
  </si>
  <si>
    <t>I-1703</t>
  </si>
  <si>
    <t>Heather Beck</t>
  </si>
  <si>
    <t>I-1704</t>
  </si>
  <si>
    <t>I-1705</t>
  </si>
  <si>
    <t>I-1706</t>
  </si>
  <si>
    <t>I-1707</t>
  </si>
  <si>
    <t>I-1708</t>
  </si>
  <si>
    <t>I-1709</t>
  </si>
  <si>
    <t>Nicola Hewitt</t>
  </si>
  <si>
    <t>I-1710</t>
  </si>
  <si>
    <t>I-1711</t>
  </si>
  <si>
    <t>I-1712</t>
  </si>
  <si>
    <t>I-1713</t>
  </si>
  <si>
    <t>I-1714</t>
  </si>
  <si>
    <t>I-1715</t>
  </si>
  <si>
    <t>I-1716</t>
  </si>
  <si>
    <t>I-1717</t>
  </si>
  <si>
    <t>I-1718</t>
  </si>
  <si>
    <t>I-1719</t>
  </si>
  <si>
    <t>I-1720</t>
  </si>
  <si>
    <t>I-1721</t>
  </si>
  <si>
    <t>I-1722</t>
  </si>
  <si>
    <t>Nicola Williams</t>
  </si>
  <si>
    <t>I-1723</t>
  </si>
  <si>
    <t>Marie Hewitt</t>
  </si>
  <si>
    <t>I-1724</t>
  </si>
  <si>
    <t>I-1725</t>
  </si>
  <si>
    <t>I-1726</t>
  </si>
  <si>
    <t>I-1727</t>
  </si>
  <si>
    <t>I-1728</t>
  </si>
  <si>
    <t>I-1729</t>
  </si>
  <si>
    <t>I-1730</t>
  </si>
  <si>
    <t>I-1731</t>
  </si>
  <si>
    <t>I-1732</t>
  </si>
  <si>
    <t>Emma Westbrook</t>
  </si>
  <si>
    <t>I-1733</t>
  </si>
  <si>
    <t>I-1734</t>
  </si>
  <si>
    <t>Susan Goude</t>
  </si>
  <si>
    <t>I-1735</t>
  </si>
  <si>
    <t>I-1736</t>
  </si>
  <si>
    <t>I-1737</t>
  </si>
  <si>
    <t>I-1738</t>
  </si>
  <si>
    <t>I-1739</t>
  </si>
  <si>
    <t>I-1740</t>
  </si>
  <si>
    <t>I-1741</t>
  </si>
  <si>
    <t>I-1742</t>
  </si>
  <si>
    <t>I-1743</t>
  </si>
  <si>
    <t>I-1744</t>
  </si>
  <si>
    <t>Frances Weller</t>
  </si>
  <si>
    <t>I-1745</t>
  </si>
  <si>
    <t>I-1746</t>
  </si>
  <si>
    <t>Barry Smith</t>
  </si>
  <si>
    <t>I-1747</t>
  </si>
  <si>
    <t>I-1748</t>
  </si>
  <si>
    <t>I-1749</t>
  </si>
  <si>
    <t>Phillip Clarke</t>
  </si>
  <si>
    <t>I-1750</t>
  </si>
  <si>
    <t>I-1751</t>
  </si>
  <si>
    <t>I-1752</t>
  </si>
  <si>
    <t>Susan Luker</t>
  </si>
  <si>
    <t>I-1753</t>
  </si>
  <si>
    <t>I-1754</t>
  </si>
  <si>
    <t>I-1755</t>
  </si>
  <si>
    <t>Bruce Neville</t>
  </si>
  <si>
    <t>I-1756</t>
  </si>
  <si>
    <t>Martin Timmins</t>
  </si>
  <si>
    <t>I-1757</t>
  </si>
  <si>
    <t>I-1758</t>
  </si>
  <si>
    <t>I-1759</t>
  </si>
  <si>
    <t>I-1760</t>
  </si>
  <si>
    <t>I-1761</t>
  </si>
  <si>
    <t>I-1762</t>
  </si>
  <si>
    <t>I-1763</t>
  </si>
  <si>
    <t>I-1764</t>
  </si>
  <si>
    <t>James Stephen</t>
  </si>
  <si>
    <t>I-1765</t>
  </si>
  <si>
    <t>I-1766</t>
  </si>
  <si>
    <t>David Townsend</t>
  </si>
  <si>
    <t>I-1767</t>
  </si>
  <si>
    <t>I-1768</t>
  </si>
  <si>
    <t>I-1769</t>
  </si>
  <si>
    <t>I-1770</t>
  </si>
  <si>
    <t>Paul Munday</t>
  </si>
  <si>
    <t>I-1771</t>
  </si>
  <si>
    <t>I-1772</t>
  </si>
  <si>
    <t>I-1773</t>
  </si>
  <si>
    <t>I-1774</t>
  </si>
  <si>
    <t>I-1775</t>
  </si>
  <si>
    <t>I-1776</t>
  </si>
  <si>
    <t>I-1777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</si>
  <si>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</si>
  <si>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</si>
  <si>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</si>
  <si>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</si>
  <si>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</si>
  <si>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</si>
  <si>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</si>
  <si>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</si>
  <si>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</si>
  <si>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I-1784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</si>
  <si>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</si>
  <si>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</si>
  <si>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</si>
  <si>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</si>
  <si>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</si>
  <si>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</si>
  <si>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</si>
  <si>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</si>
  <si>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</si>
  <si>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</si>
  <si>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I-1791</t>
  </si>
  <si>
    <t>Saffron Cruse</t>
  </si>
  <si>
    <t>I-1792</t>
  </si>
  <si>
    <t>I-1793</t>
  </si>
  <si>
    <t>I-1794</t>
  </si>
  <si>
    <t>I-1795</t>
  </si>
  <si>
    <t>I-1796</t>
  </si>
  <si>
    <t>I-1797</t>
  </si>
  <si>
    <t>I-1798</t>
  </si>
  <si>
    <t>I-1799</t>
  </si>
  <si>
    <t>Fatima James</t>
  </si>
  <si>
    <t>I-1800</t>
  </si>
  <si>
    <t>I-1801</t>
  </si>
  <si>
    <t>I-1802</t>
  </si>
  <si>
    <t>I-1803</t>
  </si>
  <si>
    <t>I-1804</t>
  </si>
  <si>
    <t>I-1805</t>
  </si>
  <si>
    <t>I-1806</t>
  </si>
  <si>
    <t>I-1807</t>
  </si>
  <si>
    <t>I-1808</t>
  </si>
  <si>
    <t>I-1809</t>
  </si>
  <si>
    <t>I-1810</t>
  </si>
  <si>
    <t>I-1811</t>
  </si>
  <si>
    <t>I-1812</t>
  </si>
  <si>
    <t>Rory Bullion</t>
  </si>
  <si>
    <t>I-1813</t>
  </si>
  <si>
    <t>I-1814</t>
  </si>
  <si>
    <t>I-1815</t>
  </si>
  <si>
    <t>Paul Power</t>
  </si>
  <si>
    <t>I-1816</t>
  </si>
  <si>
    <t>I-1817</t>
  </si>
  <si>
    <t>I-1818</t>
  </si>
  <si>
    <t>I-1819</t>
  </si>
  <si>
    <t>I-1820</t>
  </si>
  <si>
    <t>I-1821</t>
  </si>
  <si>
    <t>I-1822</t>
  </si>
  <si>
    <t>I-1823</t>
  </si>
  <si>
    <t>I-1824</t>
  </si>
  <si>
    <t>I-1825</t>
  </si>
  <si>
    <t>I-1826</t>
  </si>
  <si>
    <t>Ketan Bryan</t>
  </si>
  <si>
    <t>I-1827</t>
  </si>
  <si>
    <t>I-1828</t>
  </si>
  <si>
    <t>I-1829</t>
  </si>
  <si>
    <t>I-1830</t>
  </si>
  <si>
    <t>I-1831</t>
  </si>
  <si>
    <t>I-1832</t>
  </si>
  <si>
    <t>Noel Hardy</t>
  </si>
  <si>
    <t>I-1833</t>
  </si>
  <si>
    <t>Kyle Walter</t>
  </si>
  <si>
    <t>I-1834</t>
  </si>
  <si>
    <t>Gillian Rodrigues</t>
  </si>
  <si>
    <t>I-1835</t>
  </si>
  <si>
    <t>I-1836</t>
  </si>
  <si>
    <t>Nicola Rea</t>
  </si>
  <si>
    <t>I-1837</t>
  </si>
  <si>
    <t>I-1838</t>
  </si>
  <si>
    <t>Peter Allan</t>
  </si>
  <si>
    <t>I-1839</t>
  </si>
  <si>
    <t>I-1840</t>
  </si>
  <si>
    <t>I-1841</t>
  </si>
  <si>
    <t>I-1842</t>
  </si>
  <si>
    <t>I-1843</t>
  </si>
  <si>
    <t>I-1844</t>
  </si>
  <si>
    <t>I-1845</t>
  </si>
  <si>
    <t>I-1846</t>
  </si>
  <si>
    <t>I-1847</t>
  </si>
  <si>
    <t>I-1848</t>
  </si>
  <si>
    <t>I-1849</t>
  </si>
  <si>
    <t>I-1850</t>
  </si>
  <si>
    <t>I-1851</t>
  </si>
  <si>
    <t>I-1852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</si>
  <si>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</si>
  <si>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</si>
  <si>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</si>
  <si>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</si>
  <si>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</si>
  <si>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</si>
  <si>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</si>
  <si>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</si>
  <si>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</si>
  <si>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I-1861</t>
  </si>
  <si>
    <t>I-1862</t>
  </si>
  <si>
    <t>I-1863</t>
  </si>
  <si>
    <t>I-1864</t>
  </si>
  <si>
    <t>I-1865</t>
  </si>
  <si>
    <t>I-1866</t>
  </si>
  <si>
    <t>I-1867</t>
  </si>
  <si>
    <t>I-1868</t>
  </si>
  <si>
    <t>I-1869</t>
  </si>
  <si>
    <t>I-1870</t>
  </si>
  <si>
    <t>I-1871</t>
  </si>
  <si>
    <t>I-1872</t>
  </si>
  <si>
    <t>I-1873</t>
  </si>
  <si>
    <t>I-1874</t>
  </si>
  <si>
    <t>I-1875</t>
  </si>
  <si>
    <t>I-1876</t>
  </si>
  <si>
    <t>I-1877</t>
  </si>
  <si>
    <t>I-1878</t>
  </si>
  <si>
    <t>I-1879</t>
  </si>
  <si>
    <t>I-1880</t>
  </si>
  <si>
    <t>I-1881</t>
  </si>
  <si>
    <t>I-1882</t>
  </si>
  <si>
    <t>I-1883</t>
  </si>
  <si>
    <t>I-1884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</si>
  <si>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</si>
  <si>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</si>
  <si>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</si>
  <si>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</si>
  <si>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</si>
  <si>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</si>
  <si>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</si>
  <si>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</si>
  <si>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</si>
  <si>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</si>
  <si>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</si>
  <si>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I-1892</t>
  </si>
  <si>
    <t>Rita Jenkins</t>
  </si>
  <si>
    <t>I-1893</t>
  </si>
  <si>
    <t>I-1894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</si>
  <si>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</si>
  <si>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</si>
  <si>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</si>
  <si>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</si>
  <si>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</si>
  <si>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</si>
  <si>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</si>
  <si>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</si>
  <si>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</si>
  <si>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I-1902</t>
  </si>
  <si>
    <t>William Collins</t>
  </si>
  <si>
    <t>I-1903</t>
  </si>
  <si>
    <t>I-1904</t>
  </si>
  <si>
    <t>I-1905</t>
  </si>
  <si>
    <t>I-1906</t>
  </si>
  <si>
    <t>I-1907</t>
  </si>
  <si>
    <t>I-1908</t>
  </si>
  <si>
    <t>I-1909</t>
  </si>
  <si>
    <t>Arthur Carley</t>
  </si>
  <si>
    <t>I-1910</t>
  </si>
  <si>
    <t>I-1911</t>
  </si>
  <si>
    <t>I-1912</t>
  </si>
  <si>
    <t>I-1913</t>
  </si>
  <si>
    <t>Heather Donald</t>
  </si>
  <si>
    <t>I-1914</t>
  </si>
  <si>
    <t>I-1915</t>
  </si>
  <si>
    <t>I-1916</t>
  </si>
  <si>
    <t>I-1917</t>
  </si>
  <si>
    <t>I-1918</t>
  </si>
  <si>
    <t>I-1919</t>
  </si>
  <si>
    <t>I-1920</t>
  </si>
  <si>
    <t>I-1921</t>
  </si>
  <si>
    <t>I-1922</t>
  </si>
  <si>
    <t>I-1923</t>
  </si>
  <si>
    <t>I-1924</t>
  </si>
  <si>
    <t>I-1925</t>
  </si>
  <si>
    <t>I-1926</t>
  </si>
  <si>
    <t>I-1927</t>
  </si>
  <si>
    <t>I-1928</t>
  </si>
  <si>
    <t>I-1929</t>
  </si>
  <si>
    <t>I-1930</t>
  </si>
  <si>
    <t>I-1931</t>
  </si>
  <si>
    <t>Allyson Parker</t>
  </si>
  <si>
    <t>I-1932</t>
  </si>
  <si>
    <t>Alexander Rowntree</t>
  </si>
  <si>
    <t>I-1933</t>
  </si>
  <si>
    <t>I-1934</t>
  </si>
  <si>
    <t>I-1935</t>
  </si>
  <si>
    <t>I-1936</t>
  </si>
  <si>
    <t>I-1937</t>
  </si>
  <si>
    <t>I-1938</t>
  </si>
  <si>
    <t>I-1939</t>
  </si>
  <si>
    <t>I-1940</t>
  </si>
  <si>
    <t>I-1941</t>
  </si>
  <si>
    <t>Dell Lockwood</t>
  </si>
  <si>
    <t>I-1942</t>
  </si>
  <si>
    <t>I-1943</t>
  </si>
  <si>
    <t>I-1944</t>
  </si>
  <si>
    <t>I-1945</t>
  </si>
  <si>
    <t>I-1946</t>
  </si>
  <si>
    <t>I-1947</t>
  </si>
  <si>
    <t>Rachel Deignan</t>
  </si>
  <si>
    <t>I-1948</t>
  </si>
  <si>
    <t>I-1949</t>
  </si>
  <si>
    <t>Russell Thorley</t>
  </si>
  <si>
    <t>I-1950</t>
  </si>
  <si>
    <t>I-1951</t>
  </si>
  <si>
    <t>I-1952</t>
  </si>
  <si>
    <t>I-1953</t>
  </si>
  <si>
    <t>I-1954</t>
  </si>
  <si>
    <t>I-1955</t>
  </si>
  <si>
    <t>I-1956</t>
  </si>
  <si>
    <t>I-1957</t>
  </si>
  <si>
    <t>I-1958</t>
  </si>
  <si>
    <t>I-1959</t>
  </si>
  <si>
    <t>I-1960</t>
  </si>
  <si>
    <t>I-1961</t>
  </si>
  <si>
    <t>I-1962</t>
  </si>
  <si>
    <t>I-1963</t>
  </si>
  <si>
    <t>David Isaacs</t>
  </si>
  <si>
    <t>I-1964</t>
  </si>
  <si>
    <t>I-1965</t>
  </si>
  <si>
    <t>Johanna Collins</t>
  </si>
  <si>
    <t>I-1966</t>
  </si>
  <si>
    <t>I-1967</t>
  </si>
  <si>
    <t>I-1968</t>
  </si>
  <si>
    <t>I-1969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</si>
  <si>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</si>
  <si>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</si>
  <si>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</si>
  <si>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</si>
  <si>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</si>
  <si>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</si>
  <si>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</si>
  <si>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</si>
  <si>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</si>
  <si>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</si>
  <si>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</si>
  <si>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I-1980</t>
  </si>
  <si>
    <t>Selwyn Kitching</t>
  </si>
  <si>
    <t>I-1981</t>
  </si>
  <si>
    <t>I-1982</t>
  </si>
  <si>
    <t>I-1983</t>
  </si>
  <si>
    <t>I-1984</t>
  </si>
  <si>
    <t>I-1985</t>
  </si>
  <si>
    <t>I-1986</t>
  </si>
  <si>
    <t>I-1987</t>
  </si>
  <si>
    <t>I-1988</t>
  </si>
  <si>
    <t>I-1989</t>
  </si>
  <si>
    <t>I-1990</t>
  </si>
  <si>
    <t>I-1991</t>
  </si>
  <si>
    <t>I-1992</t>
  </si>
  <si>
    <t>Caroline Gee</t>
  </si>
  <si>
    <t>I-1993</t>
  </si>
  <si>
    <t>I-1994</t>
  </si>
  <si>
    <t>I-1995</t>
  </si>
  <si>
    <t>I-1996</t>
  </si>
  <si>
    <t>Paul Benton</t>
  </si>
  <si>
    <t>I-1997</t>
  </si>
  <si>
    <t>Mark Holmes</t>
  </si>
  <si>
    <t>I-1998</t>
  </si>
  <si>
    <t>I-1999</t>
  </si>
  <si>
    <t>Carol Cormack</t>
  </si>
  <si>
    <t>I-2000</t>
  </si>
  <si>
    <t>I-2001</t>
  </si>
  <si>
    <t>I-2002</t>
  </si>
  <si>
    <t>I-2003</t>
  </si>
  <si>
    <t>I-2004</t>
  </si>
  <si>
    <t>I-2005</t>
  </si>
  <si>
    <t>I-2006</t>
  </si>
  <si>
    <t>I-2007</t>
  </si>
  <si>
    <t>Derek Anderson</t>
  </si>
  <si>
    <t>I-2008</t>
  </si>
  <si>
    <t>I-2009</t>
  </si>
  <si>
    <t>I-2010</t>
  </si>
  <si>
    <t>I-2011</t>
  </si>
  <si>
    <t>Nicola Wright</t>
  </si>
  <si>
    <t>I-2012</t>
  </si>
  <si>
    <t>I-2013</t>
  </si>
  <si>
    <t>I-2014</t>
  </si>
  <si>
    <t>I-2015</t>
  </si>
  <si>
    <t>I-2016</t>
  </si>
  <si>
    <t>John Hetherington</t>
  </si>
  <si>
    <t>I-2017</t>
  </si>
  <si>
    <t>Ian Christian</t>
  </si>
  <si>
    <t>I-2018</t>
  </si>
  <si>
    <t>I-2019</t>
  </si>
  <si>
    <t>I-2020</t>
  </si>
  <si>
    <t>I-2021</t>
  </si>
  <si>
    <t>I-2022</t>
  </si>
  <si>
    <t>I-2023</t>
  </si>
  <si>
    <t>I-2024</t>
  </si>
  <si>
    <t>I-2025</t>
  </si>
  <si>
    <t>I-2026</t>
  </si>
  <si>
    <t>I-2027</t>
  </si>
  <si>
    <t>I-2028</t>
  </si>
  <si>
    <t>I-2029</t>
  </si>
  <si>
    <t>I-2030</t>
  </si>
  <si>
    <t>I-2031</t>
  </si>
  <si>
    <t>I-2032</t>
  </si>
  <si>
    <t>I-2033</t>
  </si>
  <si>
    <t>I-2034</t>
  </si>
  <si>
    <t>I-2035</t>
  </si>
  <si>
    <t>I-2036</t>
  </si>
  <si>
    <t>I-2037</t>
  </si>
  <si>
    <t>I-2038</t>
  </si>
  <si>
    <t>I-2039</t>
  </si>
  <si>
    <t>I-2040</t>
  </si>
  <si>
    <t>I-2041</t>
  </si>
  <si>
    <t>I-2042</t>
  </si>
  <si>
    <t>Richard Kay</t>
  </si>
  <si>
    <t>I-2043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</si>
  <si>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</si>
  <si>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</si>
  <si>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</si>
  <si>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</si>
  <si>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</si>
  <si>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</si>
  <si>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</si>
  <si>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</si>
  <si>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I-2052</t>
  </si>
  <si>
    <t>I-2053</t>
  </si>
  <si>
    <t>I-2054</t>
  </si>
  <si>
    <t>I-2055</t>
  </si>
  <si>
    <t>I-2056</t>
  </si>
  <si>
    <t>I-2057</t>
  </si>
  <si>
    <t>I-2058</t>
  </si>
  <si>
    <t>I-2059</t>
  </si>
  <si>
    <t>I-2060</t>
  </si>
  <si>
    <t>I-2061</t>
  </si>
  <si>
    <t>I-2062</t>
  </si>
  <si>
    <t>I-2063</t>
  </si>
  <si>
    <t>I-2064</t>
  </si>
  <si>
    <t>I-2065</t>
  </si>
  <si>
    <t>I-2066</t>
  </si>
  <si>
    <t>I-2067</t>
  </si>
  <si>
    <t>I-2068</t>
  </si>
  <si>
    <t>I-2069</t>
  </si>
  <si>
    <t>I-2070</t>
  </si>
  <si>
    <t>I-2071</t>
  </si>
  <si>
    <t>I-2072</t>
  </si>
  <si>
    <t>I-2073</t>
  </si>
  <si>
    <t>I-2074</t>
  </si>
  <si>
    <t>I-2075</t>
  </si>
  <si>
    <t>I-2076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</si>
  <si>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</si>
  <si>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</si>
  <si>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</si>
  <si>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</si>
  <si>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</si>
  <si>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</si>
  <si>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</si>
  <si>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</si>
  <si>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</si>
  <si>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</si>
  <si>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</si>
  <si>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</si>
  <si>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</si>
  <si>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</si>
  <si>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I-2089</t>
  </si>
  <si>
    <t>I-2090</t>
  </si>
  <si>
    <t>I-2091</t>
  </si>
  <si>
    <t>I-2092</t>
  </si>
  <si>
    <t>I-2093</t>
  </si>
  <si>
    <t>I-2094</t>
  </si>
  <si>
    <t>I-2095</t>
  </si>
  <si>
    <t>I-2096</t>
  </si>
  <si>
    <t>I-2097</t>
  </si>
  <si>
    <t>I-2098</t>
  </si>
  <si>
    <t>I-2099</t>
  </si>
  <si>
    <t>I-2100</t>
  </si>
  <si>
    <t>I-2101</t>
  </si>
  <si>
    <t>I-2102</t>
  </si>
  <si>
    <t>Darren Webb</t>
  </si>
  <si>
    <t>I-2103</t>
  </si>
  <si>
    <t>I-2104</t>
  </si>
  <si>
    <t>I-2105</t>
  </si>
  <si>
    <t>I-2106</t>
  </si>
  <si>
    <t>I-2107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</si>
  <si>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</si>
  <si>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</si>
  <si>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</si>
  <si>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</si>
  <si>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</si>
  <si>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</si>
  <si>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</si>
  <si>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</si>
  <si>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</si>
  <si>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</si>
  <si>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</si>
  <si>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</si>
  <si>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I-2120</t>
  </si>
  <si>
    <t>I-2121</t>
  </si>
  <si>
    <t>I-2122</t>
  </si>
  <si>
    <t>I-2123</t>
  </si>
  <si>
    <t>I-2124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</si>
  <si>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</si>
  <si>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</si>
  <si>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</si>
  <si>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</si>
  <si>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</si>
  <si>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</si>
  <si>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</si>
  <si>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</si>
  <si>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</si>
  <si>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</si>
  <si>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</si>
  <si>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</si>
  <si>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</si>
  <si>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</si>
  <si>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I-2138</t>
  </si>
  <si>
    <t>I-2139</t>
  </si>
  <si>
    <t>I-2140</t>
  </si>
  <si>
    <t>I-2141</t>
  </si>
  <si>
    <t>Barbara Scott</t>
  </si>
  <si>
    <t>I-2142</t>
  </si>
  <si>
    <t>I-2143</t>
  </si>
  <si>
    <t>I-2144</t>
  </si>
  <si>
    <t>I-2145</t>
  </si>
  <si>
    <t>I-2146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</si>
  <si>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</si>
  <si>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</si>
  <si>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</si>
  <si>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</si>
  <si>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</si>
  <si>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</si>
  <si>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</si>
  <si>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</si>
  <si>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</si>
  <si>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</si>
  <si>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</si>
  <si>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</si>
  <si>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</si>
  <si>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</si>
  <si>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</si>
  <si>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I-2161</t>
  </si>
  <si>
    <t>I-2162</t>
  </si>
  <si>
    <t>I-2163</t>
  </si>
  <si>
    <t>I-2164</t>
  </si>
  <si>
    <t>I-2165</t>
  </si>
  <si>
    <t>I-2166</t>
  </si>
  <si>
    <t>I-2167</t>
  </si>
  <si>
    <t>I-2168</t>
  </si>
  <si>
    <t>Jonathan Pereira</t>
  </si>
  <si>
    <t>I-2169</t>
  </si>
  <si>
    <t>I-2170</t>
  </si>
  <si>
    <t>I-2171</t>
  </si>
  <si>
    <t>I-2172</t>
  </si>
  <si>
    <t>I-2173</t>
  </si>
  <si>
    <t>Roger Silvester</t>
  </si>
  <si>
    <t>I-2174</t>
  </si>
  <si>
    <t>I-2175</t>
  </si>
  <si>
    <t>I-2176</t>
  </si>
  <si>
    <t>I-2177</t>
  </si>
  <si>
    <t>I-2178</t>
  </si>
  <si>
    <t>I-2179</t>
  </si>
  <si>
    <t>I-2180</t>
  </si>
  <si>
    <t>I-2181</t>
  </si>
  <si>
    <t>I-2182</t>
  </si>
  <si>
    <t>I-2183</t>
  </si>
  <si>
    <t>I-2184</t>
  </si>
  <si>
    <t>I-2185</t>
  </si>
  <si>
    <t>I-2186</t>
  </si>
  <si>
    <t>I-2187</t>
  </si>
  <si>
    <t>I-2188</t>
  </si>
  <si>
    <t>George Smith</t>
  </si>
  <si>
    <t>I-2189</t>
  </si>
  <si>
    <t>I-2190</t>
  </si>
  <si>
    <t>I-2191</t>
  </si>
  <si>
    <t>Mark Sayer</t>
  </si>
  <si>
    <t>I-2192</t>
  </si>
  <si>
    <t>I-2193</t>
  </si>
  <si>
    <t>I-2194</t>
  </si>
  <si>
    <t>I-2195</t>
  </si>
  <si>
    <t>I-2196</t>
  </si>
  <si>
    <t>I-2197</t>
  </si>
  <si>
    <t>David Adams</t>
  </si>
  <si>
    <t>I-2198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</si>
  <si>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</si>
  <si>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</si>
  <si>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</si>
  <si>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</si>
  <si>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</si>
  <si>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</si>
  <si>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</si>
  <si>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</si>
  <si>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I-2207</t>
  </si>
  <si>
    <t>I-2208</t>
  </si>
  <si>
    <t>I-2209</t>
  </si>
  <si>
    <t>I-2210</t>
  </si>
  <si>
    <t>I-2211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</si>
  <si>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</si>
  <si>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</si>
  <si>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</si>
  <si>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</si>
  <si>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</si>
  <si>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</si>
  <si>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</si>
  <si>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</si>
  <si>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</si>
  <si>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</si>
  <si>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</si>
  <si>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</si>
  <si>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</si>
  <si>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</si>
  <si>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</si>
  <si>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I-2225</t>
  </si>
  <si>
    <t>I-2226</t>
  </si>
  <si>
    <t>I-2227</t>
  </si>
  <si>
    <t>I-2228</t>
  </si>
  <si>
    <t>I-2229</t>
  </si>
  <si>
    <t>I-2230</t>
  </si>
  <si>
    <t>I-2231</t>
  </si>
  <si>
    <t>I-2232</t>
  </si>
  <si>
    <t>I-2233</t>
  </si>
  <si>
    <t>Frank Sewell</t>
  </si>
  <si>
    <t>I-2234</t>
  </si>
  <si>
    <t>I-2235</t>
  </si>
  <si>
    <t>I-2236</t>
  </si>
  <si>
    <t>I-2237</t>
  </si>
  <si>
    <t>I-2238</t>
  </si>
  <si>
    <t>I-2239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</si>
  <si>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</si>
  <si>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</si>
  <si>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</si>
  <si>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</si>
  <si>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</si>
  <si>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</si>
  <si>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</si>
  <si>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</si>
  <si>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</si>
  <si>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</si>
  <si>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I-2250</t>
  </si>
  <si>
    <t>I-2251</t>
  </si>
  <si>
    <t>I-2252</t>
  </si>
  <si>
    <t>I-2253</t>
  </si>
  <si>
    <t>Noel Burn</t>
  </si>
  <si>
    <t>I-2254</t>
  </si>
  <si>
    <t>I-2255</t>
  </si>
  <si>
    <t>I-2256</t>
  </si>
  <si>
    <t>I-2257</t>
  </si>
  <si>
    <t>Johanna Mirza</t>
  </si>
  <si>
    <t>I-2258</t>
  </si>
  <si>
    <t>I-2259</t>
  </si>
  <si>
    <t>I-2260</t>
  </si>
  <si>
    <t>I-2261</t>
  </si>
  <si>
    <t>I-2262</t>
  </si>
  <si>
    <t>I-2263</t>
  </si>
  <si>
    <t>Denise Harris</t>
  </si>
  <si>
    <t>I-2264</t>
  </si>
  <si>
    <t>I-2265</t>
  </si>
  <si>
    <t>Helen Cooke</t>
  </si>
  <si>
    <t>I-2266</t>
  </si>
  <si>
    <t>Anthony Green</t>
  </si>
  <si>
    <t>I-2267</t>
  </si>
  <si>
    <t>Lisa Pepper</t>
  </si>
  <si>
    <t>I-2268</t>
  </si>
  <si>
    <t>I-2269</t>
  </si>
  <si>
    <t>I-2270</t>
  </si>
  <si>
    <t>I-2271</t>
  </si>
  <si>
    <t>I-2272</t>
  </si>
  <si>
    <t>I-2273</t>
  </si>
  <si>
    <t>I-2274</t>
  </si>
  <si>
    <t>I-2275</t>
  </si>
  <si>
    <t>I-2276</t>
  </si>
  <si>
    <t>I-2277</t>
  </si>
  <si>
    <t>I-2278</t>
  </si>
  <si>
    <t>I-2279</t>
  </si>
  <si>
    <t>Gillian Crawley</t>
  </si>
  <si>
    <t>I-2280</t>
  </si>
  <si>
    <t>I-2281</t>
  </si>
  <si>
    <t>I-2282</t>
  </si>
  <si>
    <t>I-2283</t>
  </si>
  <si>
    <t>I-2284</t>
  </si>
  <si>
    <t>I-2285</t>
  </si>
  <si>
    <t>I-2286</t>
  </si>
  <si>
    <t>I-2287</t>
  </si>
  <si>
    <t>I-2288</t>
  </si>
  <si>
    <t>I-2289</t>
  </si>
  <si>
    <t>I-2290</t>
  </si>
  <si>
    <t>I-2291</t>
  </si>
  <si>
    <t>I-2292</t>
  </si>
  <si>
    <t>I-2293</t>
  </si>
  <si>
    <t>I-2294</t>
  </si>
  <si>
    <t>I-2295</t>
  </si>
  <si>
    <t>I-2296</t>
  </si>
  <si>
    <t>I-2297</t>
  </si>
  <si>
    <t>I-2298</t>
  </si>
  <si>
    <t>I-2299</t>
  </si>
  <si>
    <t>I-2300</t>
  </si>
  <si>
    <t>James Lam</t>
  </si>
  <si>
    <t>I-2301</t>
  </si>
  <si>
    <t>I-2302</t>
  </si>
  <si>
    <t>I-2303</t>
  </si>
  <si>
    <t>I-2304</t>
  </si>
  <si>
    <t>I-2305</t>
  </si>
  <si>
    <t>Sarah Houghton</t>
  </si>
  <si>
    <t>I-2306</t>
  </si>
  <si>
    <t>Alison Lazar</t>
  </si>
  <si>
    <t>I-2307</t>
  </si>
  <si>
    <t>I-2308</t>
  </si>
  <si>
    <t>I-2309</t>
  </si>
  <si>
    <t>I-2310</t>
  </si>
  <si>
    <t>I-2311</t>
  </si>
  <si>
    <t>I-2312</t>
  </si>
  <si>
    <t>I-2313</t>
  </si>
  <si>
    <t>I-2314</t>
  </si>
  <si>
    <t>Russell Reynolds</t>
  </si>
  <si>
    <t>I-2315</t>
  </si>
  <si>
    <t>I-2316</t>
  </si>
  <si>
    <t>I-2317</t>
  </si>
  <si>
    <t>I-2318</t>
  </si>
  <si>
    <t>I-2319</t>
  </si>
  <si>
    <t>I-2320</t>
  </si>
  <si>
    <t>I-2321</t>
  </si>
  <si>
    <t>I-2322</t>
  </si>
  <si>
    <t>I-2323</t>
  </si>
  <si>
    <t>I-2324</t>
  </si>
  <si>
    <t>I-2325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</si>
  <si>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</si>
  <si>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</si>
  <si>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</si>
  <si>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</si>
  <si>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</si>
  <si>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</si>
  <si>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</si>
  <si>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</si>
  <si>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</si>
  <si>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I-2335</t>
  </si>
  <si>
    <t>I-2336</t>
  </si>
  <si>
    <t>I-2337</t>
  </si>
  <si>
    <t>I-2338</t>
  </si>
  <si>
    <t>I-2339</t>
  </si>
  <si>
    <t>I-2340</t>
  </si>
  <si>
    <t>I-2341</t>
  </si>
  <si>
    <t>I-2342</t>
  </si>
  <si>
    <t>I-2343</t>
  </si>
  <si>
    <t>I-2344</t>
  </si>
  <si>
    <t>I-2345</t>
  </si>
  <si>
    <t>I-2346</t>
  </si>
  <si>
    <t>I-2347</t>
  </si>
  <si>
    <t>Charles Jago</t>
  </si>
  <si>
    <t>I-2348</t>
  </si>
  <si>
    <t>I-2349</t>
  </si>
  <si>
    <t>I-2350</t>
  </si>
  <si>
    <t>I-2351</t>
  </si>
  <si>
    <t>Denise Docherty</t>
  </si>
  <si>
    <t>I-2352</t>
  </si>
  <si>
    <t>I-2353</t>
  </si>
  <si>
    <t>I-2354</t>
  </si>
  <si>
    <t>I-2355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</si>
  <si>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</si>
  <si>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</si>
  <si>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</si>
  <si>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</si>
  <si>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</si>
  <si>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</si>
  <si>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</si>
  <si>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</si>
  <si>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</si>
  <si>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</si>
  <si>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</si>
  <si>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I-2367</t>
  </si>
  <si>
    <t>I-2368</t>
  </si>
  <si>
    <t>I-2369</t>
  </si>
  <si>
    <t>I-2370</t>
  </si>
  <si>
    <t>I-2371</t>
  </si>
  <si>
    <t>I-2372</t>
  </si>
  <si>
    <t>Paul Smith</t>
  </si>
  <si>
    <t>I-2373</t>
  </si>
  <si>
    <t>I-2374</t>
  </si>
  <si>
    <t>I-2375</t>
  </si>
  <si>
    <t>I-2376</t>
  </si>
  <si>
    <t>I-2377</t>
  </si>
  <si>
    <t>I-2378</t>
  </si>
  <si>
    <t>I-2379</t>
  </si>
  <si>
    <t>I-2380</t>
  </si>
  <si>
    <t>I-2381</t>
  </si>
  <si>
    <t>I-2382</t>
  </si>
  <si>
    <t>I-2383</t>
  </si>
  <si>
    <t>I-2384</t>
  </si>
  <si>
    <t>I-2385</t>
  </si>
  <si>
    <t>I-2386</t>
  </si>
  <si>
    <t>I-2387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</si>
  <si>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</si>
  <si>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</si>
  <si>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</si>
  <si>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</si>
  <si>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</si>
  <si>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</si>
  <si>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</si>
  <si>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</si>
  <si>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I-2395</t>
  </si>
  <si>
    <t>I-2396</t>
  </si>
  <si>
    <t>I-2397</t>
  </si>
  <si>
    <t>I-2398</t>
  </si>
  <si>
    <t>I-2399</t>
  </si>
  <si>
    <t>I-2400</t>
  </si>
  <si>
    <t>I-2401</t>
  </si>
  <si>
    <t>I-2402</t>
  </si>
  <si>
    <t>I-2403</t>
  </si>
  <si>
    <t>I-2404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</si>
  <si>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</si>
  <si>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</si>
  <si>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</si>
  <si>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</si>
  <si>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</si>
  <si>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</si>
  <si>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</si>
  <si>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</si>
  <si>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</si>
  <si>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</si>
  <si>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</si>
  <si>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I-2416</t>
  </si>
  <si>
    <t>I-2417</t>
  </si>
  <si>
    <t>I-2418</t>
  </si>
  <si>
    <t>I-2419</t>
  </si>
  <si>
    <t>I-2420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</si>
  <si>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</si>
  <si>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</si>
  <si>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</si>
  <si>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</si>
  <si>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</si>
  <si>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</si>
  <si>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</si>
  <si>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</si>
  <si>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</si>
  <si>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</si>
  <si>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I-2431</t>
  </si>
  <si>
    <t>I-2432</t>
  </si>
  <si>
    <t>I-2433</t>
  </si>
  <si>
    <t>I-2434</t>
  </si>
  <si>
    <t>I-2435</t>
  </si>
  <si>
    <t>I-2436</t>
  </si>
  <si>
    <t>I-2437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</si>
  <si>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</si>
  <si>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</si>
  <si>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</si>
  <si>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</si>
  <si>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</si>
  <si>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</si>
  <si>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</si>
  <si>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</si>
  <si>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</si>
  <si>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</si>
  <si>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</si>
  <si>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</si>
  <si>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</si>
  <si>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</si>
  <si>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I-2451</t>
  </si>
  <si>
    <t>I-2452</t>
  </si>
  <si>
    <t>I-2453</t>
  </si>
  <si>
    <t>I-2454</t>
  </si>
  <si>
    <t>I-2455</t>
  </si>
  <si>
    <t>I-2456</t>
  </si>
  <si>
    <t>I-2457</t>
  </si>
  <si>
    <t>I-2458</t>
  </si>
  <si>
    <t>I-2459</t>
  </si>
  <si>
    <t>I-2460</t>
  </si>
  <si>
    <t>I-2461</t>
  </si>
  <si>
    <t>I-2462</t>
  </si>
  <si>
    <t>I-2463</t>
  </si>
  <si>
    <t>I-2464</t>
  </si>
  <si>
    <t>I-2465</t>
  </si>
  <si>
    <t>I-2466</t>
  </si>
  <si>
    <t>I-2467</t>
  </si>
  <si>
    <t>I-2468</t>
  </si>
  <si>
    <t>I-2469</t>
  </si>
  <si>
    <t>I-2470</t>
  </si>
  <si>
    <t>I-2471</t>
  </si>
  <si>
    <t>I-2472</t>
  </si>
  <si>
    <t>I-2473</t>
  </si>
  <si>
    <t>I-2474</t>
  </si>
  <si>
    <t>I-2475</t>
  </si>
  <si>
    <t>I-2476</t>
  </si>
  <si>
    <t>I-2477</t>
  </si>
  <si>
    <t>I-2478</t>
  </si>
  <si>
    <t>I-2479</t>
  </si>
  <si>
    <t>I-2480</t>
  </si>
  <si>
    <t>I-2481</t>
  </si>
  <si>
    <t>I-2482</t>
  </si>
  <si>
    <t>I-2483</t>
  </si>
  <si>
    <t>I-2484</t>
  </si>
  <si>
    <t>I-2485</t>
  </si>
  <si>
    <t>I-2486</t>
  </si>
  <si>
    <t>I-2487</t>
  </si>
  <si>
    <t>I-2488</t>
  </si>
  <si>
    <t>I-2489</t>
  </si>
  <si>
    <t>I-2490</t>
  </si>
  <si>
    <t>I-2491</t>
  </si>
  <si>
    <t>I-2492</t>
  </si>
  <si>
    <t>I-2493</t>
  </si>
  <si>
    <t>I-2494</t>
  </si>
  <si>
    <t>I-2495</t>
  </si>
  <si>
    <t>I-2496</t>
  </si>
  <si>
    <t>I-2497</t>
  </si>
  <si>
    <t>I-2498</t>
  </si>
  <si>
    <t>I-2499</t>
  </si>
  <si>
    <t>I-2500</t>
  </si>
  <si>
    <t>I-2501</t>
  </si>
  <si>
    <t>I-2502</t>
  </si>
  <si>
    <t>I-2503</t>
  </si>
  <si>
    <t>I-2504</t>
  </si>
  <si>
    <t>I-2505</t>
  </si>
  <si>
    <t>I-2506</t>
  </si>
  <si>
    <t>I-2507</t>
  </si>
  <si>
    <t>I-2508</t>
  </si>
  <si>
    <t>I-2509</t>
  </si>
  <si>
    <t>I-2510</t>
  </si>
  <si>
    <t>I-2511</t>
  </si>
  <si>
    <t>I-2512</t>
  </si>
  <si>
    <t>I-2513</t>
  </si>
  <si>
    <t>I-2514</t>
  </si>
  <si>
    <t>I-2515</t>
  </si>
  <si>
    <t>I-2516</t>
  </si>
  <si>
    <t>I-2517</t>
  </si>
  <si>
    <t>I-2518</t>
  </si>
  <si>
    <t>I-2519</t>
  </si>
  <si>
    <t>I-2520</t>
  </si>
  <si>
    <t>I-2521</t>
  </si>
  <si>
    <t>I-2522</t>
  </si>
  <si>
    <t>I-2523</t>
  </si>
  <si>
    <t>I-2524</t>
  </si>
  <si>
    <t>I-2525</t>
  </si>
  <si>
    <t>I-2526</t>
  </si>
  <si>
    <t>I-2527</t>
  </si>
  <si>
    <t>I-2528</t>
  </si>
  <si>
    <t>I-2529</t>
  </si>
  <si>
    <t>I-2530</t>
  </si>
  <si>
    <t>I-2531</t>
  </si>
  <si>
    <t>I-2532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</si>
  <si>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</si>
  <si>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</si>
  <si>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</si>
  <si>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</si>
  <si>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</si>
  <si>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</si>
  <si>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</si>
  <si>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</si>
  <si>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</si>
  <si>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</si>
  <si>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</si>
  <si>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</si>
  <si>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</si>
  <si>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</si>
  <si>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</si>
  <si>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</si>
  <si>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</si>
  <si>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</si>
  <si>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</si>
  <si>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</si>
  <si>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</si>
  <si>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</si>
  <si>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</si>
  <si>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</si>
  <si>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</si>
  <si>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</si>
  <si>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</si>
  <si>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</si>
  <si>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</si>
  <si>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</si>
  <si>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</si>
  <si>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I-2563</t>
  </si>
  <si>
    <t>I-2564</t>
  </si>
  <si>
    <t>Pauline Pluck</t>
  </si>
  <si>
    <t>I-2565</t>
  </si>
  <si>
    <t>I-2566</t>
  </si>
  <si>
    <t>I-2567</t>
  </si>
  <si>
    <t>I-2568</t>
  </si>
  <si>
    <t>I-2569</t>
  </si>
  <si>
    <t>I-2570</t>
  </si>
  <si>
    <t>I-2571</t>
  </si>
  <si>
    <t>I-2572</t>
  </si>
  <si>
    <t>I-2573</t>
  </si>
  <si>
    <t>I-2574</t>
  </si>
  <si>
    <t>I-2575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</si>
  <si>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</si>
  <si>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</si>
  <si>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</si>
  <si>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</si>
  <si>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</si>
  <si>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</si>
  <si>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</si>
  <si>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</si>
  <si>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</si>
  <si>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</si>
  <si>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</si>
  <si>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</si>
  <si>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</si>
  <si>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I-2589</t>
  </si>
  <si>
    <t>I-2590</t>
  </si>
  <si>
    <t>I-2591</t>
  </si>
  <si>
    <t>I-2592</t>
  </si>
  <si>
    <t>I-2593</t>
  </si>
  <si>
    <t>I-2594</t>
  </si>
  <si>
    <t>I-2595</t>
  </si>
  <si>
    <t>Vancouver</t>
  </si>
  <si>
    <t>Ram Thomas</t>
  </si>
  <si>
    <t>I-2596</t>
  </si>
  <si>
    <t>I-2597</t>
  </si>
  <si>
    <t>I-2598</t>
  </si>
  <si>
    <t>I-2599</t>
  </si>
  <si>
    <t>I-2600</t>
  </si>
  <si>
    <t>I-2601</t>
  </si>
  <si>
    <t>I-2602</t>
  </si>
  <si>
    <t>I-2603</t>
  </si>
  <si>
    <t>I-2604</t>
  </si>
  <si>
    <t>I-2605</t>
  </si>
  <si>
    <t>I-2606</t>
  </si>
  <si>
    <t>Helen Kenny</t>
  </si>
  <si>
    <t>I-2607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</si>
  <si>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</si>
  <si>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</si>
  <si>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</si>
  <si>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</si>
  <si>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</si>
  <si>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</si>
  <si>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</si>
  <si>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</si>
  <si>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</si>
  <si>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</si>
  <si>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</si>
  <si>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</si>
  <si>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</si>
  <si>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</si>
  <si>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I-2619</t>
  </si>
  <si>
    <t>I-2620</t>
  </si>
  <si>
    <t>Christopher Grey</t>
  </si>
  <si>
    <t>I-2621</t>
  </si>
  <si>
    <t>I-2622</t>
  </si>
  <si>
    <t>I-2623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</si>
  <si>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</si>
  <si>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</si>
  <si>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</si>
  <si>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</si>
  <si>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</si>
  <si>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</si>
  <si>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</si>
  <si>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</si>
  <si>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</si>
  <si>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I-2633</t>
  </si>
  <si>
    <t>I-2634</t>
  </si>
  <si>
    <t>I-2635</t>
  </si>
  <si>
    <t>I-2636</t>
  </si>
  <si>
    <t>I-2637</t>
  </si>
  <si>
    <t>I-2638</t>
  </si>
  <si>
    <t>I-2639</t>
  </si>
  <si>
    <t>Margaret McGregor</t>
  </si>
  <si>
    <t>I-2640</t>
  </si>
  <si>
    <t>I-2641</t>
  </si>
  <si>
    <t>I-2642</t>
  </si>
  <si>
    <t>I-2643</t>
  </si>
  <si>
    <t>I-2644</t>
  </si>
  <si>
    <t>I-2645</t>
  </si>
  <si>
    <t>I-2646</t>
  </si>
  <si>
    <t>I-2647</t>
  </si>
  <si>
    <t>I-2648</t>
  </si>
  <si>
    <t>I-2649</t>
  </si>
  <si>
    <t>Pauline Gagg</t>
  </si>
  <si>
    <t>I-2650</t>
  </si>
  <si>
    <t>I-2651</t>
  </si>
  <si>
    <t>James Bard</t>
  </si>
  <si>
    <t>I-2652</t>
  </si>
  <si>
    <t>I-2653</t>
  </si>
  <si>
    <t>Christopher Kille</t>
  </si>
  <si>
    <t>I-2654</t>
  </si>
  <si>
    <t>I-2655</t>
  </si>
  <si>
    <t>I-2656</t>
  </si>
  <si>
    <t>I-2657</t>
  </si>
  <si>
    <t>Houston</t>
  </si>
  <si>
    <t>David Salmon</t>
  </si>
  <si>
    <t>I-2658</t>
  </si>
  <si>
    <t>I-2659</t>
  </si>
  <si>
    <t>I-2660</t>
  </si>
  <si>
    <t>I-2661</t>
  </si>
  <si>
    <t>I-2662</t>
  </si>
  <si>
    <t>I-2663</t>
  </si>
  <si>
    <t>I-2664</t>
  </si>
  <si>
    <t>I-2665</t>
  </si>
  <si>
    <t>I-2666</t>
  </si>
  <si>
    <t>I-2667</t>
  </si>
  <si>
    <t>I-2668</t>
  </si>
  <si>
    <t>I-2669</t>
  </si>
  <si>
    <t>I-2670</t>
  </si>
  <si>
    <t>I-2671</t>
  </si>
  <si>
    <t>I-2672</t>
  </si>
  <si>
    <t>I-2673</t>
  </si>
  <si>
    <t>I-2674</t>
  </si>
  <si>
    <t>I-2675</t>
  </si>
  <si>
    <t>I-2676</t>
  </si>
  <si>
    <t>I-2677</t>
  </si>
  <si>
    <t>I-2678</t>
  </si>
  <si>
    <t>I-2679</t>
  </si>
  <si>
    <t>I-2680</t>
  </si>
  <si>
    <t>I-2681</t>
  </si>
  <si>
    <t>I-2682</t>
  </si>
  <si>
    <t>I-2683</t>
  </si>
  <si>
    <t>I-2684</t>
  </si>
  <si>
    <t>I-2685</t>
  </si>
  <si>
    <t>I-2686</t>
  </si>
  <si>
    <t>I-2687</t>
  </si>
  <si>
    <t>I-2688</t>
  </si>
  <si>
    <t>I-2689</t>
  </si>
  <si>
    <t>I-2690</t>
  </si>
  <si>
    <t>I-2691</t>
  </si>
  <si>
    <t>I-2692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</si>
  <si>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</si>
  <si>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</si>
  <si>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</si>
  <si>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</si>
  <si>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</si>
  <si>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</si>
  <si>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</si>
  <si>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</si>
  <si>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</si>
  <si>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</si>
  <si>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I-2701</t>
  </si>
  <si>
    <t>I-2702</t>
  </si>
  <si>
    <t>I-2703</t>
  </si>
  <si>
    <t>I-2704</t>
  </si>
  <si>
    <t>I-2705</t>
  </si>
  <si>
    <t>Russell Wood</t>
  </si>
  <si>
    <t>I-2706</t>
  </si>
  <si>
    <t>I-2707</t>
  </si>
  <si>
    <t>I-2708</t>
  </si>
  <si>
    <t>I-2709</t>
  </si>
  <si>
    <t>I-2710</t>
  </si>
  <si>
    <t>I-2711</t>
  </si>
  <si>
    <t>I-2712</t>
  </si>
  <si>
    <t>I-2713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</si>
  <si>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</si>
  <si>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</si>
  <si>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</si>
  <si>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</si>
  <si>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</si>
  <si>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</si>
  <si>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</si>
  <si>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</si>
  <si>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</si>
  <si>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</si>
  <si>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</si>
  <si>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</si>
  <si>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</si>
  <si>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</si>
  <si>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</si>
  <si>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</si>
  <si>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</si>
  <si>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</si>
  <si>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</si>
  <si>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</si>
  <si>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</si>
  <si>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</si>
  <si>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</si>
  <si>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</si>
  <si>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</si>
  <si>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</si>
  <si>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</si>
  <si>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</si>
  <si>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</si>
  <si>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</si>
  <si>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</si>
  <si>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</si>
  <si>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</si>
  <si>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</si>
  <si>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</si>
  <si>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</si>
  <si>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</si>
  <si>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I-2747</t>
  </si>
  <si>
    <t>I-2748</t>
  </si>
  <si>
    <t>I-2749</t>
  </si>
  <si>
    <t>I-2750</t>
  </si>
  <si>
    <t>I-2751</t>
  </si>
  <si>
    <t>I-2752</t>
  </si>
  <si>
    <t>I-2753</t>
  </si>
  <si>
    <t>I-2754</t>
  </si>
  <si>
    <t>I-2755</t>
  </si>
  <si>
    <t>I-2756</t>
  </si>
  <si>
    <t>Stephen Brown</t>
  </si>
  <si>
    <t>I-2757</t>
  </si>
  <si>
    <t>I-2758</t>
  </si>
  <si>
    <t>I-2759</t>
  </si>
  <si>
    <t>I-2760</t>
  </si>
  <si>
    <t>I-2761</t>
  </si>
  <si>
    <t>I-2762</t>
  </si>
  <si>
    <t>I-2763</t>
  </si>
  <si>
    <t>I-2764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</si>
  <si>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</si>
  <si>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</si>
  <si>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</si>
  <si>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</si>
  <si>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</si>
  <si>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</si>
  <si>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</si>
  <si>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</si>
  <si>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</si>
  <si>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</si>
  <si>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</si>
  <si>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</si>
  <si>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</si>
  <si>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</si>
  <si>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</si>
  <si>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I-2778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</si>
  <si>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</si>
  <si>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</si>
  <si>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</si>
  <si>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</si>
  <si>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</si>
  <si>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</si>
  <si>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</si>
  <si>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</si>
  <si>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</si>
  <si>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</si>
  <si>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</si>
  <si>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</si>
  <si>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</si>
  <si>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</si>
  <si>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</si>
  <si>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</si>
  <si>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</si>
  <si>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</si>
  <si>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</si>
  <si>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I-2796</t>
  </si>
  <si>
    <t>I-2797</t>
  </si>
  <si>
    <t>I-2798</t>
  </si>
  <si>
    <t>I-2799</t>
  </si>
  <si>
    <t>I-2800</t>
  </si>
  <si>
    <t>I-2801</t>
  </si>
  <si>
    <t>I-2802</t>
  </si>
  <si>
    <t>I-2803</t>
  </si>
  <si>
    <t>I-2804</t>
  </si>
  <si>
    <t>I-2805</t>
  </si>
  <si>
    <t>I-2806</t>
  </si>
  <si>
    <t>I-2807</t>
  </si>
  <si>
    <t>I-2808</t>
  </si>
  <si>
    <t>I-2809</t>
  </si>
  <si>
    <t>I-2810</t>
  </si>
  <si>
    <t>I-2811</t>
  </si>
  <si>
    <t>I-2812</t>
  </si>
  <si>
    <t>I-2813</t>
  </si>
  <si>
    <t>I-2814</t>
  </si>
  <si>
    <t>I-2815</t>
  </si>
  <si>
    <t>I-2816</t>
  </si>
  <si>
    <t>I-2817</t>
  </si>
  <si>
    <t>I-2818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</si>
  <si>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</si>
  <si>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</si>
  <si>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</si>
  <si>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</si>
  <si>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</si>
  <si>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</si>
  <si>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</si>
  <si>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</si>
  <si>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</si>
  <si>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</si>
  <si>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</si>
  <si>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I-2828</t>
  </si>
  <si>
    <t>I-2829</t>
  </si>
  <si>
    <t>I-2830</t>
  </si>
  <si>
    <t>I-2831</t>
  </si>
  <si>
    <t>I-2832</t>
  </si>
  <si>
    <t>I-2833</t>
  </si>
  <si>
    <t>I-2834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</si>
  <si>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</si>
  <si>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</si>
  <si>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</si>
  <si>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</si>
  <si>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</si>
  <si>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</si>
  <si>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</si>
  <si>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</si>
  <si>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</si>
  <si>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</si>
  <si>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</si>
  <si>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</si>
  <si>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</si>
  <si>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</si>
  <si>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</si>
  <si>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</si>
  <si>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</si>
  <si>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</si>
  <si>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</si>
  <si>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I-2852</t>
  </si>
  <si>
    <t>I-2853</t>
  </si>
  <si>
    <t>Elaine Ricketts</t>
  </si>
  <si>
    <t>I-2854</t>
  </si>
  <si>
    <t>I-2855</t>
  </si>
  <si>
    <t>I-2856</t>
  </si>
  <si>
    <t>I-2857</t>
  </si>
  <si>
    <t>I-2858</t>
  </si>
  <si>
    <t>I-2859</t>
  </si>
  <si>
    <t>I-2860</t>
  </si>
  <si>
    <t>I-2861</t>
  </si>
  <si>
    <t>I-2862</t>
  </si>
  <si>
    <t>I-2863</t>
  </si>
  <si>
    <t>I-2864</t>
  </si>
  <si>
    <t>Andi Liu</t>
  </si>
  <si>
    <t>I-2865</t>
  </si>
  <si>
    <t>I-2866</t>
  </si>
  <si>
    <t>I-2867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</si>
  <si>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</si>
  <si>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</si>
  <si>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</si>
  <si>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</si>
  <si>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</si>
  <si>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</si>
  <si>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</si>
  <si>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</si>
  <si>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</si>
  <si>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</si>
  <si>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</si>
  <si>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</si>
  <si>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</si>
  <si>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</si>
  <si>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</si>
  <si>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</si>
  <si>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</si>
  <si>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</si>
  <si>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</si>
  <si>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</si>
  <si>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</si>
  <si>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</si>
  <si>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</si>
  <si>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</si>
  <si>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</si>
  <si>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</si>
  <si>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</si>
  <si>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</si>
  <si>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</si>
  <si>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</si>
  <si>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</si>
  <si>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</si>
  <si>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I-2898</t>
  </si>
  <si>
    <t>I-2899</t>
  </si>
  <si>
    <t>I-2900</t>
  </si>
  <si>
    <t>I-2901</t>
  </si>
  <si>
    <t>I-2902</t>
  </si>
  <si>
    <t>I-2903</t>
  </si>
  <si>
    <t>I-2904</t>
  </si>
  <si>
    <t>I-2905</t>
  </si>
  <si>
    <t>I-2906</t>
  </si>
  <si>
    <t>I-2907</t>
  </si>
  <si>
    <t>I-2908</t>
  </si>
  <si>
    <t>I-2909</t>
  </si>
  <si>
    <t>I-2910</t>
  </si>
  <si>
    <t>I-2911</t>
  </si>
  <si>
    <t>I-2912</t>
  </si>
  <si>
    <t>I-2913</t>
  </si>
  <si>
    <t>I-2914</t>
  </si>
  <si>
    <t>I-2915</t>
  </si>
  <si>
    <t>I-2916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</si>
  <si>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</si>
  <si>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</si>
  <si>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</si>
  <si>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</si>
  <si>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</si>
  <si>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</si>
  <si>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</si>
  <si>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</si>
  <si>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</si>
  <si>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</si>
  <si>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</si>
  <si>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</si>
  <si>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</si>
  <si>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</si>
  <si>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</si>
  <si>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</si>
  <si>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</si>
  <si>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</si>
  <si>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</si>
  <si>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</si>
  <si>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</si>
  <si>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</si>
  <si>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</si>
  <si>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</si>
  <si>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I-2941</t>
  </si>
  <si>
    <t>I-2942</t>
  </si>
  <si>
    <t>I-2943</t>
  </si>
  <si>
    <t>I-2944</t>
  </si>
  <si>
    <t>I-2945</t>
  </si>
  <si>
    <t>I-2946</t>
  </si>
  <si>
    <t>I-2947</t>
  </si>
  <si>
    <t>I-2948</t>
  </si>
  <si>
    <t>I-2949</t>
  </si>
  <si>
    <t>I-2950</t>
  </si>
  <si>
    <t>I-2951</t>
  </si>
  <si>
    <t>I-2952</t>
  </si>
  <si>
    <t>I-2953</t>
  </si>
  <si>
    <t>I-2954</t>
  </si>
  <si>
    <t>I-2955</t>
  </si>
  <si>
    <t>I-2956</t>
  </si>
  <si>
    <t>I-2957</t>
  </si>
  <si>
    <t>I-2958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</si>
  <si>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</si>
  <si>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</si>
  <si>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</si>
  <si>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</si>
  <si>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</si>
  <si>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</si>
  <si>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</si>
  <si>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</si>
  <si>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</si>
  <si>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I-2966</t>
  </si>
  <si>
    <t>I-2967</t>
  </si>
  <si>
    <t>I-2968</t>
  </si>
  <si>
    <t>I-2969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</si>
  <si>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</si>
  <si>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</si>
  <si>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</si>
  <si>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</si>
  <si>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</si>
  <si>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</si>
  <si>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</si>
  <si>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</si>
  <si>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</si>
  <si>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</si>
  <si>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</si>
  <si>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I-2981</t>
  </si>
  <si>
    <t>I-2982</t>
  </si>
  <si>
    <t>I-2983</t>
  </si>
  <si>
    <t>I-2984</t>
  </si>
  <si>
    <t>I-2985</t>
  </si>
  <si>
    <t>I-2986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</si>
  <si>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</si>
  <si>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</si>
  <si>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</si>
  <si>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</si>
  <si>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</si>
  <si>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</si>
  <si>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</si>
  <si>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</si>
  <si>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</si>
  <si>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I-2996</t>
  </si>
  <si>
    <t>I-2997</t>
  </si>
  <si>
    <t>I-2998</t>
  </si>
  <si>
    <t>I-2999</t>
  </si>
  <si>
    <t>I-3000</t>
  </si>
  <si>
    <t>I-3001</t>
  </si>
  <si>
    <t>I-3002</t>
  </si>
  <si>
    <t>I-3003</t>
  </si>
  <si>
    <t>I-3004</t>
  </si>
  <si>
    <t>I-3005</t>
  </si>
  <si>
    <t>I-3006</t>
  </si>
  <si>
    <t>I-3007</t>
  </si>
  <si>
    <t>I-3008</t>
  </si>
  <si>
    <t>I-3009</t>
  </si>
  <si>
    <t>I-3010</t>
  </si>
  <si>
    <t>I-3011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</si>
  <si>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</si>
  <si>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</si>
  <si>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</si>
  <si>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</si>
  <si>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</si>
  <si>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</si>
  <si>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</si>
  <si>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</si>
  <si>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</si>
  <si>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</si>
  <si>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</si>
  <si>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</si>
  <si>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</si>
  <si>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</si>
  <si>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</si>
  <si>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</si>
  <si>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</si>
  <si>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</si>
  <si>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</si>
  <si>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</si>
  <si>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</si>
  <si>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</si>
  <si>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</si>
  <si>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I-3034</t>
  </si>
  <si>
    <t>I-3035</t>
  </si>
  <si>
    <t>I-3036</t>
  </si>
  <si>
    <t>I-3037</t>
  </si>
  <si>
    <t>I-3038</t>
  </si>
  <si>
    <t>I-3039</t>
  </si>
  <si>
    <t>I-3040</t>
  </si>
  <si>
    <t>I-3041</t>
  </si>
  <si>
    <t>I-3042</t>
  </si>
  <si>
    <t>I-3043</t>
  </si>
  <si>
    <t>I-3044</t>
  </si>
  <si>
    <t>I-3045</t>
  </si>
  <si>
    <t>I-3046</t>
  </si>
  <si>
    <t>I-3047</t>
  </si>
  <si>
    <t>I-3048</t>
  </si>
  <si>
    <t>I-3049</t>
  </si>
  <si>
    <t>I-3050</t>
  </si>
  <si>
    <t>John Ali</t>
  </si>
  <si>
    <t>I-3051</t>
  </si>
  <si>
    <t>I-3052</t>
  </si>
  <si>
    <t>I-3053</t>
  </si>
  <si>
    <t>I-3054</t>
  </si>
  <si>
    <t>I-3055</t>
  </si>
  <si>
    <t>Maxine Stockdale</t>
  </si>
  <si>
    <t>I-3056</t>
  </si>
  <si>
    <t>I-3057</t>
  </si>
  <si>
    <t>I-3058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</si>
  <si>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</si>
  <si>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</si>
  <si>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</si>
  <si>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</si>
  <si>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</si>
  <si>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</si>
  <si>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</si>
  <si>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</si>
  <si>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</si>
  <si>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</si>
  <si>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</si>
  <si>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</si>
  <si>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</si>
  <si>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I-3072</t>
  </si>
  <si>
    <t>I-3073</t>
  </si>
  <si>
    <t>I-3074</t>
  </si>
  <si>
    <t>I-3075</t>
  </si>
  <si>
    <t>I-3076</t>
  </si>
  <si>
    <t>I-3077</t>
  </si>
  <si>
    <t>I-3078</t>
  </si>
  <si>
    <t>I-3079</t>
  </si>
  <si>
    <t>I-3080</t>
  </si>
  <si>
    <t>I-3081</t>
  </si>
  <si>
    <t>I-3082</t>
  </si>
  <si>
    <t>I-3083</t>
  </si>
  <si>
    <t>I-3084</t>
  </si>
  <si>
    <t>I-3085</t>
  </si>
  <si>
    <t>I-3086</t>
  </si>
  <si>
    <t>I-3087</t>
  </si>
  <si>
    <t>I-3088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</si>
  <si>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</si>
  <si>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</si>
  <si>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</si>
  <si>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</si>
  <si>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</si>
  <si>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</si>
  <si>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</si>
  <si>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</si>
  <si>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I-3097</t>
  </si>
  <si>
    <t>I-3098</t>
  </si>
  <si>
    <t>I-3099</t>
  </si>
  <si>
    <t>I-3100</t>
  </si>
  <si>
    <t>I-3101</t>
  </si>
  <si>
    <t>I-3102</t>
  </si>
  <si>
    <t>I-3103</t>
  </si>
  <si>
    <t>I-3104</t>
  </si>
  <si>
    <t>I-3105</t>
  </si>
  <si>
    <t>I-3106</t>
  </si>
  <si>
    <t>I-3107</t>
  </si>
  <si>
    <t>I-3108</t>
  </si>
  <si>
    <t>I-3109</t>
  </si>
  <si>
    <t>I-3110</t>
  </si>
  <si>
    <t>I-3111</t>
  </si>
  <si>
    <t>I-3112</t>
  </si>
  <si>
    <t>I-3113</t>
  </si>
  <si>
    <t>I-3114</t>
  </si>
  <si>
    <t>I-3115</t>
  </si>
  <si>
    <t>I-3116</t>
  </si>
  <si>
    <t>I-3117</t>
  </si>
  <si>
    <t>I-3118</t>
  </si>
  <si>
    <t>I-3119</t>
  </si>
  <si>
    <t>I-3120</t>
  </si>
  <si>
    <t>I-3121</t>
  </si>
  <si>
    <t>I-3122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</si>
  <si>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</si>
  <si>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</si>
  <si>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</si>
  <si>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</si>
  <si>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</si>
  <si>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</si>
  <si>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</si>
  <si>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</si>
  <si>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I-3131</t>
  </si>
  <si>
    <t>I-3132</t>
  </si>
  <si>
    <t>I-3133</t>
  </si>
  <si>
    <t>I-3134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</si>
  <si>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</si>
  <si>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</si>
  <si>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</si>
  <si>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</si>
  <si>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</si>
  <si>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</si>
  <si>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</si>
  <si>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</si>
  <si>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</si>
  <si>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</si>
  <si>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</si>
  <si>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</si>
  <si>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</si>
  <si>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</si>
  <si>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</si>
  <si>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</si>
  <si>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</si>
  <si>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</si>
  <si>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</si>
  <si>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</si>
  <si>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</si>
  <si>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I-3156</t>
  </si>
  <si>
    <t>I-3157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</si>
  <si>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</si>
  <si>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</si>
  <si>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</si>
  <si>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</si>
  <si>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</si>
  <si>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</si>
  <si>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</si>
  <si>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</si>
  <si>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</si>
  <si>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</si>
  <si>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</si>
  <si>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</si>
  <si>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I-3169</t>
  </si>
  <si>
    <t>I-3170</t>
  </si>
  <si>
    <t>I-3171</t>
  </si>
  <si>
    <t>I-3172</t>
  </si>
  <si>
    <t>I-3173</t>
  </si>
  <si>
    <t>I-3174</t>
  </si>
  <si>
    <t>Christine Rowe</t>
  </si>
  <si>
    <t>I-3175</t>
  </si>
  <si>
    <t>I-3176</t>
  </si>
  <si>
    <t>I-3177</t>
  </si>
  <si>
    <t>I-3178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</si>
  <si>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</si>
  <si>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</si>
  <si>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</si>
  <si>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</si>
  <si>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</si>
  <si>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</si>
  <si>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</si>
  <si>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</si>
  <si>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</si>
  <si>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</si>
  <si>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</si>
  <si>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</si>
  <si>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</si>
  <si>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</si>
  <si>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</si>
  <si>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</si>
  <si>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</si>
  <si>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</si>
  <si>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</si>
  <si>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</si>
  <si>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</si>
  <si>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</si>
  <si>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</si>
  <si>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</si>
  <si>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</si>
  <si>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</si>
  <si>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I-3205</t>
  </si>
  <si>
    <t>I-3206</t>
  </si>
  <si>
    <t>I-3207</t>
  </si>
  <si>
    <t>I-3208</t>
  </si>
  <si>
    <t>I-3209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</si>
  <si>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</si>
  <si>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</si>
  <si>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</si>
  <si>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</si>
  <si>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</si>
  <si>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</si>
  <si>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</si>
  <si>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</si>
  <si>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</si>
  <si>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</si>
  <si>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I-3220</t>
  </si>
  <si>
    <t>I-3221</t>
  </si>
  <si>
    <t>I-3222</t>
  </si>
  <si>
    <t>I-3223</t>
  </si>
  <si>
    <t>I-3224</t>
  </si>
  <si>
    <t>I-3225</t>
  </si>
  <si>
    <t>I-3226</t>
  </si>
  <si>
    <t>I-3227</t>
  </si>
  <si>
    <t>Julie Pope</t>
  </si>
  <si>
    <t>I-3228</t>
  </si>
  <si>
    <t>I-3229</t>
  </si>
  <si>
    <t>I-3230</t>
  </si>
  <si>
    <t>I-3231</t>
  </si>
  <si>
    <t>I-3232</t>
  </si>
  <si>
    <t>I-3233</t>
  </si>
  <si>
    <t>I-3234</t>
  </si>
  <si>
    <t>I-3235</t>
  </si>
  <si>
    <t>I-3236</t>
  </si>
  <si>
    <t>I-3237</t>
  </si>
  <si>
    <t>I-3238</t>
  </si>
  <si>
    <t>Mark Evans</t>
  </si>
  <si>
    <t>I-3239</t>
  </si>
  <si>
    <t>I-3240</t>
  </si>
  <si>
    <t>I-3241</t>
  </si>
  <si>
    <t>I-3242</t>
  </si>
  <si>
    <t>I-3243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</si>
  <si>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</si>
  <si>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</si>
  <si>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</si>
  <si>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</si>
  <si>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</si>
  <si>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</si>
  <si>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</si>
  <si>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</si>
  <si>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</si>
  <si>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I-3253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</si>
  <si>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</si>
  <si>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</si>
  <si>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</si>
  <si>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</si>
  <si>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</si>
  <si>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</si>
  <si>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</si>
  <si>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</si>
  <si>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I-3262</t>
  </si>
  <si>
    <t>I-3263</t>
  </si>
  <si>
    <t>I-3264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</si>
  <si>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</si>
  <si>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</si>
  <si>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</si>
  <si>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</si>
  <si>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</si>
  <si>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</si>
  <si>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</si>
  <si>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</si>
  <si>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</si>
  <si>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</si>
  <si>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</si>
  <si>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</si>
  <si>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</si>
  <si>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</si>
  <si>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I-3278</t>
  </si>
  <si>
    <t>I-3279</t>
  </si>
  <si>
    <t>I-3280</t>
  </si>
  <si>
    <t>I-3281</t>
  </si>
  <si>
    <t>I-3282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</si>
  <si>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</si>
  <si>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</si>
  <si>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</si>
  <si>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</si>
  <si>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</si>
  <si>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</si>
  <si>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</si>
  <si>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</si>
  <si>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</si>
  <si>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</si>
  <si>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</si>
  <si>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</si>
  <si>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</si>
  <si>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</si>
  <si>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</si>
  <si>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</si>
  <si>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</si>
  <si>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</si>
  <si>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</si>
  <si>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</si>
  <si>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</si>
  <si>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</si>
  <si>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</si>
  <si>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</si>
  <si>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Frank Cowden</t>
  </si>
  <si>
    <t>I-3307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</si>
  <si>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</si>
  <si>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</si>
  <si>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</si>
  <si>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</si>
  <si>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</si>
  <si>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</si>
  <si>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</si>
  <si>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</si>
  <si>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I-3315</t>
  </si>
  <si>
    <t>I-3316</t>
  </si>
  <si>
    <t>Alexandra Mukherjee</t>
  </si>
  <si>
    <t>I-3317</t>
  </si>
  <si>
    <t>I-3318</t>
  </si>
  <si>
    <t>I-3319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</si>
  <si>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</si>
  <si>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</si>
  <si>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</si>
  <si>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</si>
  <si>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</si>
  <si>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</si>
  <si>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</si>
  <si>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</si>
  <si>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</si>
  <si>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</si>
  <si>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</si>
  <si>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</si>
  <si>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</si>
  <si>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</si>
  <si>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</si>
  <si>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</si>
  <si>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</si>
  <si>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</si>
  <si>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</si>
  <si>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</si>
  <si>
    <t>4-23-2015</t>
  </si>
  <si>
    <t>8-14-2018</t>
  </si>
  <si>
    <t>4-25-2016</t>
  </si>
  <si>
    <t>8-21-2014</t>
  </si>
  <si>
    <t>5-30-2014</t>
  </si>
  <si>
    <t>5-24-2015</t>
  </si>
  <si>
    <t>7-23-2016</t>
  </si>
  <si>
    <t>9-28-2017</t>
  </si>
  <si>
    <t>4-17-2015</t>
  </si>
  <si>
    <t>11-13-2018</t>
  </si>
  <si>
    <t>2-13-2018</t>
  </si>
  <si>
    <t>2-20-2018</t>
  </si>
  <si>
    <t>3-22-2016</t>
  </si>
  <si>
    <t>1-23-2016</t>
  </si>
  <si>
    <t>10-28-2015</t>
  </si>
  <si>
    <t>12-14-2017</t>
  </si>
  <si>
    <t>10-19-2014</t>
  </si>
  <si>
    <t>12-13-2018</t>
  </si>
  <si>
    <t>10-13-2015</t>
  </si>
  <si>
    <t>11-23-2018</t>
  </si>
  <si>
    <t>7-31-2016</t>
  </si>
  <si>
    <t>11-30-2015</t>
  </si>
  <si>
    <t>8-15-2018</t>
  </si>
  <si>
    <t>9-15-2017</t>
  </si>
  <si>
    <t>7-20-2017</t>
  </si>
  <si>
    <t>10-30-2016</t>
  </si>
  <si>
    <t>3-25-2018</t>
  </si>
  <si>
    <t>7-27-2017</t>
  </si>
  <si>
    <t>11-16-2016</t>
  </si>
  <si>
    <t>1-20-2018</t>
  </si>
  <si>
    <t>10-24-2017</t>
  </si>
  <si>
    <t>11-21-2015</t>
  </si>
  <si>
    <t>10-23-2017</t>
  </si>
  <si>
    <t>7-15-2014</t>
  </si>
  <si>
    <t>9-16-2014</t>
  </si>
  <si>
    <t>7-20-2016</t>
  </si>
  <si>
    <t>3-26-2018</t>
  </si>
  <si>
    <t>6-23-2014</t>
  </si>
  <si>
    <t>8-30-2018</t>
  </si>
  <si>
    <t>5-24-2014</t>
  </si>
  <si>
    <t>2-17-2017</t>
  </si>
  <si>
    <t>3-16-2014</t>
  </si>
  <si>
    <t>4-23-2017</t>
  </si>
  <si>
    <t>9-15-2016</t>
  </si>
  <si>
    <t>7-26-2018</t>
  </si>
  <si>
    <t>2-19-2014</t>
  </si>
  <si>
    <t>11-17-2017</t>
  </si>
  <si>
    <t>7-17-2016</t>
  </si>
  <si>
    <t>4-29-2017</t>
  </si>
  <si>
    <t>8-15-2014</t>
  </si>
  <si>
    <t>3-14-2018</t>
  </si>
  <si>
    <t>8-31-2016</t>
  </si>
  <si>
    <t>8-23-2015</t>
  </si>
  <si>
    <t>8-24-2015</t>
  </si>
  <si>
    <t>12-16-2017</t>
  </si>
  <si>
    <t>11-25-2014</t>
  </si>
  <si>
    <t>3-16-2018</t>
  </si>
  <si>
    <t>6-14-2015</t>
  </si>
  <si>
    <t>4-22-2016</t>
  </si>
  <si>
    <t>11-20-2014</t>
  </si>
  <si>
    <t>7-15-2017</t>
  </si>
  <si>
    <t>2-15-2015</t>
  </si>
  <si>
    <t>11-27-2017</t>
  </si>
  <si>
    <t>6-30-2017</t>
  </si>
  <si>
    <t>10-29-2014</t>
  </si>
  <si>
    <t>4-27-2018</t>
  </si>
  <si>
    <t>4-17-2018</t>
  </si>
  <si>
    <t>7-13-2014</t>
  </si>
  <si>
    <t>3-17-2016</t>
  </si>
  <si>
    <t>7-24-2018</t>
  </si>
  <si>
    <t>11-18-2015</t>
  </si>
  <si>
    <t>9-22-2014</t>
  </si>
  <si>
    <t>1-30-2017</t>
  </si>
  <si>
    <t>10-17-2015</t>
  </si>
  <si>
    <t>10-16-2017</t>
  </si>
  <si>
    <t>7-21-2014</t>
  </si>
  <si>
    <t>11-16-2015</t>
  </si>
  <si>
    <t>9-19-2015</t>
  </si>
  <si>
    <t>4-17-2014</t>
  </si>
  <si>
    <t>3-15-2016</t>
  </si>
  <si>
    <t>1-19-2018</t>
  </si>
  <si>
    <t>4-28-2018</t>
  </si>
  <si>
    <t>3-13-2014</t>
  </si>
  <si>
    <t>8-28-2015</t>
  </si>
  <si>
    <t>2-22-2016</t>
  </si>
  <si>
    <t>4-19-2016</t>
  </si>
  <si>
    <t>5-25-2015</t>
  </si>
  <si>
    <t>12-25-2017</t>
  </si>
  <si>
    <t>1-28-2016</t>
  </si>
  <si>
    <t>4-30-2017</t>
  </si>
  <si>
    <t>1-20-2017</t>
  </si>
  <si>
    <t>10-15-2018</t>
  </si>
  <si>
    <t>8-31-2018</t>
  </si>
  <si>
    <t>8-18-2018</t>
  </si>
  <si>
    <t>6-15-2016</t>
  </si>
  <si>
    <t>6-16-2015</t>
  </si>
  <si>
    <t>4-15-2017</t>
  </si>
  <si>
    <t>6-25-2015</t>
  </si>
  <si>
    <t>5-19-2016</t>
  </si>
  <si>
    <t>2-26-2014</t>
  </si>
  <si>
    <t>11-26-2014</t>
  </si>
  <si>
    <t>1-26-2014</t>
  </si>
  <si>
    <t>4-26-2015</t>
  </si>
  <si>
    <t>3-25-2017</t>
  </si>
  <si>
    <t>1-16-2018</t>
  </si>
  <si>
    <t>6-20-2015</t>
  </si>
  <si>
    <t>5-20-2018</t>
  </si>
  <si>
    <t>1-21-2018</t>
  </si>
  <si>
    <t>7-15-2015</t>
  </si>
  <si>
    <t>6-16-2014</t>
  </si>
  <si>
    <t>8-19-2016</t>
  </si>
  <si>
    <t>5-25-2016</t>
  </si>
  <si>
    <t>6-22-2015</t>
  </si>
  <si>
    <t>9-24-2016</t>
  </si>
  <si>
    <t>9-21-2014</t>
  </si>
  <si>
    <t>4-26-2017</t>
  </si>
  <si>
    <t>12-27-2017</t>
  </si>
  <si>
    <t>3-26-2017</t>
  </si>
  <si>
    <t>4-13-2016</t>
  </si>
  <si>
    <t>1-27-2015</t>
  </si>
  <si>
    <t>11-30-2018</t>
  </si>
  <si>
    <t>11-25-2017</t>
  </si>
  <si>
    <t>2-16-2017</t>
  </si>
  <si>
    <t>10-23-2015</t>
  </si>
  <si>
    <t>12-26-2015</t>
  </si>
  <si>
    <t>1-25-2016</t>
  </si>
  <si>
    <t>1-26-2015</t>
  </si>
  <si>
    <t>8-26-2018</t>
  </si>
  <si>
    <t>7-15-2016</t>
  </si>
  <si>
    <t>11-29-2014</t>
  </si>
  <si>
    <t>12-20-2017</t>
  </si>
  <si>
    <t>2-19-2017</t>
  </si>
  <si>
    <t>2-16-2018</t>
  </si>
  <si>
    <t>8-13-2018</t>
  </si>
  <si>
    <t>4-16-2016</t>
  </si>
  <si>
    <t>10-23-2016</t>
  </si>
  <si>
    <t>7-31-2015</t>
  </si>
  <si>
    <t>7-22-2018</t>
  </si>
  <si>
    <t>7-14-2015</t>
  </si>
  <si>
    <t>4-21-2014</t>
  </si>
  <si>
    <t>7-26-2015</t>
  </si>
  <si>
    <t>9-23-2017</t>
  </si>
  <si>
    <t>8-17-2014</t>
  </si>
  <si>
    <t>10-21-2016</t>
  </si>
  <si>
    <t>1-27-2016</t>
  </si>
  <si>
    <t>9-26-2018</t>
  </si>
  <si>
    <t>9-16-2018</t>
  </si>
  <si>
    <t>4-14-2016</t>
  </si>
  <si>
    <t>11-22-2017</t>
  </si>
  <si>
    <t>7-19-2014</t>
  </si>
  <si>
    <t>9-21-2018</t>
  </si>
  <si>
    <t>9-30-2015</t>
  </si>
  <si>
    <t>12-30-2017</t>
  </si>
  <si>
    <t>5-20-2017</t>
  </si>
  <si>
    <t>1-23-2014</t>
  </si>
  <si>
    <t>3-18-2016</t>
  </si>
  <si>
    <t>7-20-2014</t>
  </si>
  <si>
    <t>6-17-2018</t>
  </si>
  <si>
    <t>9-23-2016</t>
  </si>
  <si>
    <t>5-28-2015</t>
  </si>
  <si>
    <t>6-19-2015</t>
  </si>
  <si>
    <t>3-27-2016</t>
  </si>
  <si>
    <t>2-28-2014</t>
  </si>
  <si>
    <t>6-26-2015</t>
  </si>
  <si>
    <t>9-19-2014</t>
  </si>
  <si>
    <t>1-17-2018</t>
  </si>
  <si>
    <t>10-23-2018</t>
  </si>
  <si>
    <t>8-27-2014</t>
  </si>
  <si>
    <t>10-14-2017</t>
  </si>
  <si>
    <t>9-22-2016</t>
  </si>
  <si>
    <t>12-27-2015</t>
  </si>
  <si>
    <t>9-20-2014</t>
  </si>
  <si>
    <t>6-28-2018</t>
  </si>
  <si>
    <t>11-27-2014</t>
  </si>
  <si>
    <t>9-16-2017</t>
  </si>
  <si>
    <t>6-24-2018</t>
  </si>
  <si>
    <t>5-20-2015</t>
  </si>
  <si>
    <t>5-16-2014</t>
  </si>
  <si>
    <t>4-15-2015</t>
  </si>
  <si>
    <t>5-28-2017</t>
  </si>
  <si>
    <t>3-31-2017</t>
  </si>
  <si>
    <t>9-17-2018</t>
  </si>
  <si>
    <t>7-22-2017</t>
  </si>
  <si>
    <t>6-24-2015</t>
  </si>
  <si>
    <t>11-25-2016</t>
  </si>
  <si>
    <t>2-20-2014</t>
  </si>
  <si>
    <t>2-27-2017</t>
  </si>
  <si>
    <t>5-22-2017</t>
  </si>
  <si>
    <t>9-14-2014</t>
  </si>
  <si>
    <t>6-13-2018</t>
  </si>
  <si>
    <t>9-15-2014</t>
  </si>
  <si>
    <t>11-26-2017</t>
  </si>
  <si>
    <t>7-16-2016</t>
  </si>
  <si>
    <t>1-27-2014</t>
  </si>
  <si>
    <t>8-29-2015</t>
  </si>
  <si>
    <t>3-21-2018</t>
  </si>
  <si>
    <t>11-21-2014</t>
  </si>
  <si>
    <t>4-27-2016</t>
  </si>
  <si>
    <t>1-22-2015</t>
  </si>
  <si>
    <t>6-27-2014</t>
  </si>
  <si>
    <t>4-21-2018</t>
  </si>
  <si>
    <t>2-22-2014</t>
  </si>
  <si>
    <t>5-13-2018</t>
  </si>
  <si>
    <t>4-23-2018</t>
  </si>
  <si>
    <t>10-28-2016</t>
  </si>
  <si>
    <t>1-22-2016</t>
  </si>
  <si>
    <t>2-21-2015</t>
  </si>
  <si>
    <t>11-14-2014</t>
  </si>
  <si>
    <t>1-28-2015</t>
  </si>
  <si>
    <t>2-28-2015</t>
  </si>
  <si>
    <t>2-24-2017</t>
  </si>
  <si>
    <t>2-16-2014</t>
  </si>
  <si>
    <t>6-26-2018</t>
  </si>
  <si>
    <t>1-17-2014</t>
  </si>
  <si>
    <t>10-22-2017</t>
  </si>
  <si>
    <t>4-23-2016</t>
  </si>
  <si>
    <t>10-29-2017</t>
  </si>
  <si>
    <t>2-28-2017</t>
  </si>
  <si>
    <t>7-18-2017</t>
  </si>
  <si>
    <t>5-25-2014</t>
  </si>
  <si>
    <t>6-25-2016</t>
  </si>
  <si>
    <t>11-28-2015</t>
  </si>
  <si>
    <t>7-19-2016</t>
  </si>
  <si>
    <t>9-28-2018</t>
  </si>
  <si>
    <t>4-20-2017</t>
  </si>
  <si>
    <t>1-14-2014</t>
  </si>
  <si>
    <t>12-15-2016</t>
  </si>
  <si>
    <t>3-31-2018</t>
  </si>
  <si>
    <t>10-24-2018</t>
  </si>
  <si>
    <t>7-28-2017</t>
  </si>
  <si>
    <t>3-19-2016</t>
  </si>
  <si>
    <t>4-26-2016</t>
  </si>
  <si>
    <t>10-25-2018</t>
  </si>
  <si>
    <t>2-24-2015</t>
  </si>
  <si>
    <t>12-25-2014</t>
  </si>
  <si>
    <t>11-14-2017</t>
  </si>
  <si>
    <t>5-31-2014</t>
  </si>
  <si>
    <t>9-29-2018</t>
  </si>
  <si>
    <t>12-16-2018</t>
  </si>
  <si>
    <t>1-15-2015</t>
  </si>
  <si>
    <t>5-21-2014</t>
  </si>
  <si>
    <t>2-14-2014</t>
  </si>
  <si>
    <t>2-14-2016</t>
  </si>
  <si>
    <t>3-18-2014</t>
  </si>
  <si>
    <t>3-27-2017</t>
  </si>
  <si>
    <t>11-23-2016</t>
  </si>
  <si>
    <t>8-24-2017</t>
  </si>
  <si>
    <t>9-22-2018</t>
  </si>
  <si>
    <t>3-14-2015</t>
  </si>
  <si>
    <t>12-20-2014</t>
  </si>
  <si>
    <t>9-30-2018</t>
  </si>
  <si>
    <t>9-18-2014</t>
  </si>
  <si>
    <t>10-18-2018</t>
  </si>
  <si>
    <t>3-23-2014</t>
  </si>
  <si>
    <t>6-22-2017</t>
  </si>
  <si>
    <t>7-23-2017</t>
  </si>
  <si>
    <t>11-24-2015</t>
  </si>
  <si>
    <t>7-30-2017</t>
  </si>
  <si>
    <t>9-17-2014</t>
  </si>
  <si>
    <t>12-31-2014</t>
  </si>
  <si>
    <t>7-21-2017</t>
  </si>
  <si>
    <t>9-27-2017</t>
  </si>
  <si>
    <t>8-19-2018</t>
  </si>
  <si>
    <t>4-19-2015</t>
  </si>
  <si>
    <t>9-14-2016</t>
  </si>
  <si>
    <t>10-28-2014</t>
  </si>
  <si>
    <t>6-29-2015</t>
  </si>
  <si>
    <t>3-18-2017</t>
  </si>
  <si>
    <t>7-25-2014</t>
  </si>
  <si>
    <t>12-24-2016</t>
  </si>
  <si>
    <t>5-19-2014</t>
  </si>
  <si>
    <t>5-26-2018</t>
  </si>
  <si>
    <t>11-25-2015</t>
  </si>
  <si>
    <t>7-21-2016</t>
  </si>
  <si>
    <t>11-16-2017</t>
  </si>
  <si>
    <t>1-19-2017</t>
  </si>
  <si>
    <t>4-29-2016</t>
  </si>
  <si>
    <t>7-22-2015</t>
  </si>
  <si>
    <t>10-16-2014</t>
  </si>
  <si>
    <t>7-17-2015</t>
  </si>
  <si>
    <t>6-19-2017</t>
  </si>
  <si>
    <t>9-21-2017</t>
  </si>
  <si>
    <t>1-29-2015</t>
  </si>
  <si>
    <t>12-17-2017</t>
  </si>
  <si>
    <t>12-27-2016</t>
  </si>
  <si>
    <t>4-21-2016</t>
  </si>
  <si>
    <t>10-18-2017</t>
  </si>
  <si>
    <t>2-15-2017</t>
  </si>
  <si>
    <t>6-27-2016</t>
  </si>
  <si>
    <t>6-30-2016</t>
  </si>
  <si>
    <t>1-22-2017</t>
  </si>
  <si>
    <t>10-19-2016</t>
  </si>
  <si>
    <t>5-14-2015</t>
  </si>
  <si>
    <t>4-21-2015</t>
  </si>
  <si>
    <t>12-19-2018</t>
  </si>
  <si>
    <t>8-17-2016</t>
  </si>
  <si>
    <t>12-29-2014</t>
  </si>
  <si>
    <t>11-17-2016</t>
  </si>
  <si>
    <t>1-17-2017</t>
  </si>
  <si>
    <t>6-23-2016</t>
  </si>
  <si>
    <t>9-25-2017</t>
  </si>
  <si>
    <t>10-16-2016</t>
  </si>
  <si>
    <t>7-16-2014</t>
  </si>
  <si>
    <t>5-31-2017</t>
  </si>
  <si>
    <t>6-16-2017</t>
  </si>
  <si>
    <t>8-13-2014</t>
  </si>
  <si>
    <t>3-31-2016</t>
  </si>
  <si>
    <t>1-13-2018</t>
  </si>
  <si>
    <t>12-23-2015</t>
  </si>
  <si>
    <t>1-16-2017</t>
  </si>
  <si>
    <t>4-27-2017</t>
  </si>
  <si>
    <t>9-20-2016</t>
  </si>
  <si>
    <t>4-22-2014</t>
  </si>
  <si>
    <t>5-14-2017</t>
  </si>
  <si>
    <t>11-13-2015</t>
  </si>
  <si>
    <t>4-19-2017</t>
  </si>
  <si>
    <t>8-14-2017</t>
  </si>
  <si>
    <t>11-22-2018</t>
  </si>
  <si>
    <t>1-13-2017</t>
  </si>
  <si>
    <t>4-18-2018</t>
  </si>
  <si>
    <t>8-22-2015</t>
  </si>
  <si>
    <t>4-30-2016</t>
  </si>
  <si>
    <t>5-15-2014</t>
  </si>
  <si>
    <t>1-15-2016</t>
  </si>
  <si>
    <t>8-15-2016</t>
  </si>
  <si>
    <t>4-26-2014</t>
  </si>
  <si>
    <t>10-20-2014</t>
  </si>
  <si>
    <t>4-20-2015</t>
  </si>
  <si>
    <t>10-22-2014</t>
  </si>
  <si>
    <t>6-16-2018</t>
  </si>
  <si>
    <t>3-16-2016</t>
  </si>
  <si>
    <t>7-24-2015</t>
  </si>
  <si>
    <t>10-20-2016</t>
  </si>
  <si>
    <t>9-22-2015</t>
  </si>
  <si>
    <t>9-29-2015</t>
  </si>
  <si>
    <t>8-16-2014</t>
  </si>
  <si>
    <t>2-17-2015</t>
  </si>
  <si>
    <t>7-24-2017</t>
  </si>
  <si>
    <t>1-18-2015</t>
  </si>
  <si>
    <t>10-24-2015</t>
  </si>
  <si>
    <t>12-16-2014</t>
  </si>
  <si>
    <t>12-14-2015</t>
  </si>
  <si>
    <t>7-13-2017</t>
  </si>
  <si>
    <t>10-26-2018</t>
  </si>
  <si>
    <t>8-28-2016</t>
  </si>
  <si>
    <t>10-13-2016</t>
  </si>
  <si>
    <t>2-22-2018</t>
  </si>
  <si>
    <t>11-16-2018</t>
  </si>
  <si>
    <t>2-18-2015</t>
  </si>
  <si>
    <t>8-18-2017</t>
  </si>
  <si>
    <t>11-29-2016</t>
  </si>
  <si>
    <t>8-17-2018</t>
  </si>
  <si>
    <t>7-23-2015</t>
  </si>
  <si>
    <t>11-29-2015</t>
  </si>
  <si>
    <t>8-25-2014</t>
  </si>
  <si>
    <t>8-29-2016</t>
  </si>
  <si>
    <t>5-29-2017</t>
  </si>
  <si>
    <t>8-26-2015</t>
  </si>
  <si>
    <t>10-27-2017</t>
  </si>
  <si>
    <t>8-20-2016</t>
  </si>
  <si>
    <t>2-19-2018</t>
  </si>
  <si>
    <t>10-21-2014</t>
  </si>
  <si>
    <t>7-26-2017</t>
  </si>
  <si>
    <t>4-29-2014</t>
  </si>
  <si>
    <t>10-20-2015</t>
  </si>
  <si>
    <t>7-23-2014</t>
  </si>
  <si>
    <t>2-26-2018</t>
  </si>
  <si>
    <t>10-26-2015</t>
  </si>
  <si>
    <t>9-24-2015</t>
  </si>
  <si>
    <t>7-17-2017</t>
  </si>
  <si>
    <t>5-18-2018</t>
  </si>
  <si>
    <t>5-16-2016</t>
  </si>
  <si>
    <t>11-28-2016</t>
  </si>
  <si>
    <t>4-16-2014</t>
  </si>
  <si>
    <t>12-28-2018</t>
  </si>
  <si>
    <t>8-26-2016</t>
  </si>
  <si>
    <t>9-27-2015</t>
  </si>
  <si>
    <t>4-16-2018</t>
  </si>
  <si>
    <t>6-17-2017</t>
  </si>
  <si>
    <t>12-30-2018</t>
  </si>
  <si>
    <t>3-28-2017</t>
  </si>
  <si>
    <t>11-27-2018</t>
  </si>
  <si>
    <t>12-25-2015</t>
  </si>
  <si>
    <t>6-14-2014</t>
  </si>
  <si>
    <t>11-13-2017</t>
  </si>
  <si>
    <t>8-30-2014</t>
  </si>
  <si>
    <t>2-21-2018</t>
  </si>
  <si>
    <t>12-31-2018</t>
  </si>
  <si>
    <t>9-23-2014</t>
  </si>
  <si>
    <t>6-17-2015</t>
  </si>
  <si>
    <t>2-24-2016</t>
  </si>
  <si>
    <t>12-19-2017</t>
  </si>
  <si>
    <t>8-27-2017</t>
  </si>
  <si>
    <t>10-17-2017</t>
  </si>
  <si>
    <t>9-24-2017</t>
  </si>
  <si>
    <t>7-29-2018</t>
  </si>
  <si>
    <t>7-30-2014</t>
  </si>
  <si>
    <t>3-19-2017</t>
  </si>
  <si>
    <t>10-25-2015</t>
  </si>
  <si>
    <t>3-16-2017</t>
  </si>
  <si>
    <t>10-16-2018</t>
  </si>
  <si>
    <t>1-30-2016</t>
  </si>
  <si>
    <t>11-18-2018</t>
  </si>
  <si>
    <t>7-14-2017</t>
  </si>
  <si>
    <t>3-15-2017</t>
  </si>
  <si>
    <t>11-23-2015</t>
  </si>
  <si>
    <t>2-23-2017</t>
  </si>
  <si>
    <t>12-22-2018</t>
  </si>
  <si>
    <t>5-14-2016</t>
  </si>
  <si>
    <t>11-26-2016</t>
  </si>
  <si>
    <t>3-21-2015</t>
  </si>
  <si>
    <t>8-13-2017</t>
  </si>
  <si>
    <t>1-14-2017</t>
  </si>
  <si>
    <t>12-17-2018</t>
  </si>
  <si>
    <t>11-20-2016</t>
  </si>
  <si>
    <t>1-28-2018</t>
  </si>
  <si>
    <t>12-15-2018</t>
  </si>
  <si>
    <t>7-19-2018</t>
  </si>
  <si>
    <t>1-31-2015</t>
  </si>
  <si>
    <t>6-19-2016</t>
  </si>
  <si>
    <t>2-13-2016</t>
  </si>
  <si>
    <t>1-15-2018</t>
  </si>
  <si>
    <t>7-16-2018</t>
  </si>
  <si>
    <t>6-29-2016</t>
  </si>
  <si>
    <t>4-13-2018</t>
  </si>
  <si>
    <t>12-15-2015</t>
  </si>
  <si>
    <t>11-30-2017</t>
  </si>
  <si>
    <t>5-18-2017</t>
  </si>
  <si>
    <t>1-19-2014</t>
  </si>
  <si>
    <t>7-29-2017</t>
  </si>
  <si>
    <t>12-18-2017</t>
  </si>
  <si>
    <t>2-26-2017</t>
  </si>
  <si>
    <t>1-24-2016</t>
  </si>
  <si>
    <t>11-24-2014</t>
  </si>
  <si>
    <t>1-13-2014</t>
  </si>
  <si>
    <t>11-14-2016</t>
  </si>
  <si>
    <t>10-15-2017</t>
  </si>
  <si>
    <t>8-22-2014</t>
  </si>
  <si>
    <t>11-19-2018</t>
  </si>
  <si>
    <t>1-14-2018</t>
  </si>
  <si>
    <t>12-17-2016</t>
  </si>
  <si>
    <t>11-16-2014</t>
  </si>
  <si>
    <t>2-20-2017</t>
  </si>
  <si>
    <t>1-23-2018</t>
  </si>
  <si>
    <t>4-25-2014</t>
  </si>
  <si>
    <t>9-27-2016</t>
  </si>
  <si>
    <t>4-30-2015</t>
  </si>
  <si>
    <t>12-30-2015</t>
  </si>
  <si>
    <t>8-20-2017</t>
  </si>
  <si>
    <t>9-17-2015</t>
  </si>
  <si>
    <t>6-14-2018</t>
  </si>
  <si>
    <t>12-24-2017</t>
  </si>
  <si>
    <t>6-28-2016</t>
  </si>
  <si>
    <t>6-27-2017</t>
  </si>
  <si>
    <t>9-28-2014</t>
  </si>
  <si>
    <t>10-31-2018</t>
  </si>
  <si>
    <t>5-15-2018</t>
  </si>
  <si>
    <t>10-18-2016</t>
  </si>
  <si>
    <t>2-15-2014</t>
  </si>
  <si>
    <t>6-21-2017</t>
  </si>
  <si>
    <t>5-13-2017</t>
  </si>
  <si>
    <t>12-15-2014</t>
  </si>
  <si>
    <t>6-17-2014</t>
  </si>
  <si>
    <t>2-16-2015</t>
  </si>
  <si>
    <t>9-13-2016</t>
  </si>
  <si>
    <t>9-17-2017</t>
  </si>
  <si>
    <t>10-14-2015</t>
  </si>
  <si>
    <t>4-17-2016</t>
  </si>
  <si>
    <t>2-27-2014</t>
  </si>
  <si>
    <t>1-27-2018</t>
  </si>
  <si>
    <t>6-21-2018</t>
  </si>
  <si>
    <t>4-18-2015</t>
  </si>
  <si>
    <t>1-29-2017</t>
  </si>
  <si>
    <t>3-28-2014</t>
  </si>
  <si>
    <t>1-16-2016</t>
  </si>
  <si>
    <t>1-31-2014</t>
  </si>
  <si>
    <t>11-15-2018</t>
  </si>
  <si>
    <t>10-25-2016</t>
  </si>
  <si>
    <t>12-22-2014</t>
  </si>
  <si>
    <t>5-18-2015</t>
  </si>
  <si>
    <t>9-16-2016</t>
  </si>
  <si>
    <t>3-20-2014</t>
  </si>
  <si>
    <t>9-17-2016</t>
  </si>
  <si>
    <t>1-20-2016</t>
  </si>
  <si>
    <t>12-19-2016</t>
  </si>
  <si>
    <t>3-20-2015</t>
  </si>
  <si>
    <t>6-18-2018</t>
  </si>
  <si>
    <t>12-25-2016</t>
  </si>
  <si>
    <t>11-15-2015</t>
  </si>
  <si>
    <t>1-30-2015</t>
  </si>
  <si>
    <t>5-21-2016</t>
  </si>
  <si>
    <t>4-27-2014</t>
  </si>
  <si>
    <t>2-26-2015</t>
  </si>
  <si>
    <t>5-27-2018</t>
  </si>
  <si>
    <t>3-23-2018</t>
  </si>
  <si>
    <t>5-24-2018</t>
  </si>
  <si>
    <t>5-13-2015</t>
  </si>
  <si>
    <t>4-17-2017</t>
  </si>
  <si>
    <t>7-26-2016</t>
  </si>
  <si>
    <t>6-24-2017</t>
  </si>
  <si>
    <t>12-27-2018</t>
  </si>
  <si>
    <t>7-17-2018</t>
  </si>
  <si>
    <t>3-15-2014</t>
  </si>
  <si>
    <t>3-15-2018</t>
  </si>
  <si>
    <t>1-25-2017</t>
  </si>
  <si>
    <t>11-21-2018</t>
  </si>
  <si>
    <t>10-24-2016</t>
  </si>
  <si>
    <t>11-19-2017</t>
  </si>
  <si>
    <t>8-13-2015</t>
  </si>
  <si>
    <t>3-30-2018</t>
  </si>
  <si>
    <t>7-27-2016</t>
  </si>
  <si>
    <t>4-30-2018</t>
  </si>
  <si>
    <t>5-23-2017</t>
  </si>
  <si>
    <t>9-13-2017</t>
  </si>
  <si>
    <t>5-15-2016</t>
  </si>
  <si>
    <t>12-14-2016</t>
  </si>
  <si>
    <t>5-19-2015</t>
  </si>
  <si>
    <t>11-24-2018</t>
  </si>
  <si>
    <t>11-29-2018</t>
  </si>
  <si>
    <t>3-28-2016</t>
  </si>
  <si>
    <t>4-14-2017</t>
  </si>
  <si>
    <t>8-19-2015</t>
  </si>
  <si>
    <t>3-23-2016</t>
  </si>
  <si>
    <t>10-21-2017</t>
  </si>
  <si>
    <t>5-26-2017</t>
  </si>
  <si>
    <t>9-30-2016</t>
  </si>
  <si>
    <t>10-30-2017</t>
  </si>
  <si>
    <t>6-30-2018</t>
  </si>
  <si>
    <t>5-18-2016</t>
  </si>
  <si>
    <t>1-15-2014</t>
  </si>
  <si>
    <t>12-29-2016</t>
  </si>
  <si>
    <t>10-21-2018</t>
  </si>
  <si>
    <t>5-25-2017</t>
  </si>
  <si>
    <t>1-16-2015</t>
  </si>
  <si>
    <t>6-14-2016</t>
  </si>
  <si>
    <t>1-30-2018</t>
  </si>
  <si>
    <t>5-26-2014</t>
  </si>
  <si>
    <t>8-21-2017</t>
  </si>
  <si>
    <t>6-14-2017</t>
  </si>
  <si>
    <t>5-28-2014</t>
  </si>
  <si>
    <t>5-23-2015</t>
  </si>
  <si>
    <t>7-25-2017</t>
  </si>
  <si>
    <t>5-14-2018</t>
  </si>
  <si>
    <t>2-28-2016</t>
  </si>
  <si>
    <t>9-25-2018</t>
  </si>
  <si>
    <t>9-29-2016</t>
  </si>
  <si>
    <t>9-18-2015</t>
  </si>
  <si>
    <t>12-13-2017</t>
  </si>
  <si>
    <t>11-28-2017</t>
  </si>
  <si>
    <t>9-30-2017</t>
  </si>
  <si>
    <t>3-19-2018</t>
  </si>
  <si>
    <t>5-30-2017</t>
  </si>
  <si>
    <t>11-13-2016</t>
  </si>
  <si>
    <t>7-13-2016</t>
  </si>
  <si>
    <t>1-28-2014</t>
  </si>
  <si>
    <t>3-25-2014</t>
  </si>
  <si>
    <t>4-28-2017</t>
  </si>
  <si>
    <t>1-24-2018</t>
  </si>
  <si>
    <t>11-20-2018</t>
  </si>
  <si>
    <t>3-29-2018</t>
  </si>
  <si>
    <t>7-16-2017</t>
  </si>
  <si>
    <t>6-22-2014</t>
  </si>
  <si>
    <t>12-18-2018</t>
  </si>
  <si>
    <t>3-30-2016</t>
  </si>
  <si>
    <t>3-13-2015</t>
  </si>
  <si>
    <t>10-13-2018</t>
  </si>
  <si>
    <t>9-26-2014</t>
  </si>
  <si>
    <t>5-30-2018</t>
  </si>
  <si>
    <t>1-26-2018</t>
  </si>
  <si>
    <t>6-15-2018</t>
  </si>
  <si>
    <t>6-29-2017</t>
  </si>
  <si>
    <t>7-29-2016</t>
  </si>
  <si>
    <t>6-15-2015</t>
  </si>
  <si>
    <t>10-29-2018</t>
  </si>
  <si>
    <t>6-26-2017</t>
  </si>
  <si>
    <t>7-27-2014</t>
  </si>
  <si>
    <t>11-24-2017</t>
  </si>
  <si>
    <t>2-25-2016</t>
  </si>
  <si>
    <t>9-25-2014</t>
  </si>
  <si>
    <t>11-24-2016</t>
  </si>
  <si>
    <t>2-18-2016</t>
  </si>
  <si>
    <t>4-28-2016</t>
  </si>
  <si>
    <t>6-18-2016</t>
  </si>
  <si>
    <t>8-22-2017</t>
  </si>
  <si>
    <t>6-15-2017</t>
  </si>
  <si>
    <t>6-27-2015</t>
  </si>
  <si>
    <t>8-28-2017</t>
  </si>
  <si>
    <t>3-17-2014</t>
  </si>
  <si>
    <t>9-13-2018</t>
  </si>
  <si>
    <t>3-25-2016</t>
  </si>
  <si>
    <t>4-19-2018</t>
  </si>
  <si>
    <t>6-29-2018</t>
  </si>
  <si>
    <t>3-17-2018</t>
  </si>
  <si>
    <t>5-26-2016</t>
  </si>
  <si>
    <t>2-17-2016</t>
  </si>
  <si>
    <t>2-20-2016</t>
  </si>
  <si>
    <t>1-21-2014</t>
  </si>
  <si>
    <t>7-27-2015</t>
  </si>
  <si>
    <t>4-26-2018</t>
  </si>
  <si>
    <t>2-14-2018</t>
  </si>
  <si>
    <t>4-15-2018</t>
  </si>
  <si>
    <t>4-25-2018</t>
  </si>
  <si>
    <t>3-24-2016</t>
  </si>
  <si>
    <t>5-13-2014</t>
  </si>
  <si>
    <t>7-30-2015</t>
  </si>
  <si>
    <t>2-23-2014</t>
  </si>
  <si>
    <t>9-14-2015</t>
  </si>
  <si>
    <t>1-21-2016</t>
  </si>
  <si>
    <t>12-26-2017</t>
  </si>
  <si>
    <t>4-13-2017</t>
  </si>
  <si>
    <t>1-24-2014</t>
  </si>
  <si>
    <t>11-27-2016</t>
  </si>
  <si>
    <t>10-26-2016</t>
  </si>
  <si>
    <t>5-24-2017</t>
  </si>
  <si>
    <t>4-15-2016</t>
  </si>
  <si>
    <t>5-22-2018</t>
  </si>
  <si>
    <t>6-30-2015</t>
  </si>
  <si>
    <t>9-21-2015</t>
  </si>
  <si>
    <t>4-27-2015</t>
  </si>
  <si>
    <t>5-22-2016</t>
  </si>
  <si>
    <t>6-28-2017</t>
  </si>
  <si>
    <t>4-24-2017</t>
  </si>
  <si>
    <t>4-18-2014</t>
  </si>
  <si>
    <t>11-26-2015</t>
  </si>
  <si>
    <t>4-21-2017</t>
  </si>
  <si>
    <t>6-20-2018</t>
  </si>
  <si>
    <t>7-14-2018</t>
  </si>
  <si>
    <t>10-27-2014</t>
  </si>
  <si>
    <t>9-14-2017</t>
  </si>
  <si>
    <t>4-28-2014</t>
  </si>
  <si>
    <t>8-20-2014</t>
  </si>
  <si>
    <t>2-18-2014</t>
  </si>
  <si>
    <t>10-23-2014</t>
  </si>
  <si>
    <t>6-18-2015</t>
  </si>
  <si>
    <t>8-15-2017</t>
  </si>
  <si>
    <t>1-19-2016</t>
  </si>
  <si>
    <t>3-23-2017</t>
  </si>
  <si>
    <t>6-17-2016</t>
  </si>
  <si>
    <t>12-19-2015</t>
  </si>
  <si>
    <t>8-19-2017</t>
  </si>
  <si>
    <t>3-30-2015</t>
  </si>
  <si>
    <t>2-27-2015</t>
  </si>
  <si>
    <t>9-26-2017</t>
  </si>
  <si>
    <t>12-20-2015</t>
  </si>
  <si>
    <t>11-13-2014</t>
  </si>
  <si>
    <t>11-15-2014</t>
  </si>
  <si>
    <t>2-17-2018</t>
  </si>
  <si>
    <t>2-23-2018</t>
  </si>
  <si>
    <t>10-18-2015</t>
  </si>
  <si>
    <t>4-20-2014</t>
  </si>
  <si>
    <t>12-19-2014</t>
  </si>
  <si>
    <t>3-24-2017</t>
  </si>
  <si>
    <t>6-15-2014</t>
  </si>
  <si>
    <t>9-29-2014</t>
  </si>
  <si>
    <t>6-29-2014</t>
  </si>
  <si>
    <t>5-25-2018</t>
  </si>
  <si>
    <t>11-17-2015</t>
  </si>
  <si>
    <t>3-22-2015</t>
  </si>
  <si>
    <t>4-29-2015</t>
  </si>
  <si>
    <t>10-15-2014</t>
  </si>
  <si>
    <t>7-23-2018</t>
  </si>
  <si>
    <t>1-23-2015</t>
  </si>
  <si>
    <t>11-22-2015</t>
  </si>
  <si>
    <t>3-22-2018</t>
  </si>
  <si>
    <t>9-18-2017</t>
  </si>
  <si>
    <t>11-15-2016</t>
  </si>
  <si>
    <t>5-21-2018</t>
  </si>
  <si>
    <t>8-29-2014</t>
  </si>
  <si>
    <t>2-26-2016</t>
  </si>
  <si>
    <t>12-22-2016</t>
  </si>
  <si>
    <t>8-27-2016</t>
  </si>
  <si>
    <t>2-25-2015</t>
  </si>
  <si>
    <t>5-22-2015</t>
  </si>
  <si>
    <t>6-24-2016</t>
  </si>
  <si>
    <t>1-15-2017</t>
  </si>
  <si>
    <t>9-19-2016</t>
  </si>
  <si>
    <t>11-21-2016</t>
  </si>
  <si>
    <t>3-20-2017</t>
  </si>
  <si>
    <t>6-13-2015</t>
  </si>
  <si>
    <t>11-30-2016</t>
  </si>
  <si>
    <t>1-29-2018</t>
  </si>
  <si>
    <t>7-31-2017</t>
  </si>
  <si>
    <t>8-16-2016</t>
  </si>
  <si>
    <t>9-18-2018</t>
  </si>
  <si>
    <t>10-18-2014</t>
  </si>
  <si>
    <t>3-24-2014</t>
  </si>
  <si>
    <t>9-27-2018</t>
  </si>
  <si>
    <t>5-19-2018</t>
  </si>
  <si>
    <t>5-17-2016</t>
  </si>
  <si>
    <t>5-23-2016</t>
  </si>
  <si>
    <t>3-31-2015</t>
  </si>
  <si>
    <t>2-24-2018</t>
  </si>
  <si>
    <t>12-14-2014</t>
  </si>
  <si>
    <t>4-22-2017</t>
  </si>
  <si>
    <t>8-18-2014</t>
  </si>
  <si>
    <t>10-14-2018</t>
  </si>
  <si>
    <t>5-28-2018</t>
  </si>
  <si>
    <t>10-25-2014</t>
  </si>
  <si>
    <t>3-31-2014</t>
  </si>
  <si>
    <t>8-20-2015</t>
  </si>
  <si>
    <t>3-16-2015</t>
  </si>
  <si>
    <t>12-29-2015</t>
  </si>
  <si>
    <t>2-17-2014</t>
  </si>
  <si>
    <t>5-28-2016</t>
  </si>
  <si>
    <t>9-23-2018</t>
  </si>
  <si>
    <t>3-15-2015</t>
  </si>
  <si>
    <t>12-21-2016</t>
  </si>
  <si>
    <t>6-25-2017</t>
  </si>
  <si>
    <t>5-20-2016</t>
  </si>
  <si>
    <t>7-19-2015</t>
  </si>
  <si>
    <t>12-28-2015</t>
  </si>
  <si>
    <t>12-21-2015</t>
  </si>
  <si>
    <t>5-15-2015</t>
  </si>
  <si>
    <t>12-24-2015</t>
  </si>
  <si>
    <t>9-20-2015</t>
  </si>
  <si>
    <t>7-15-2018</t>
  </si>
  <si>
    <t>7-17-2014</t>
  </si>
  <si>
    <t>10-31-2015</t>
  </si>
  <si>
    <t>2-21-2017</t>
  </si>
  <si>
    <t>1-14-2016</t>
  </si>
  <si>
    <t>11-18-2014</t>
  </si>
  <si>
    <t>8-27-2015</t>
  </si>
  <si>
    <t>10-15-2016</t>
  </si>
  <si>
    <t>2-23-2015</t>
  </si>
  <si>
    <t>4-30-2014</t>
  </si>
  <si>
    <t>12-25-2018</t>
  </si>
  <si>
    <t>10-27-2015</t>
  </si>
  <si>
    <t>10-21-2015</t>
  </si>
  <si>
    <t>1-25-2018</t>
  </si>
  <si>
    <t>5-31-2015</t>
  </si>
  <si>
    <t>7-18-2016</t>
  </si>
  <si>
    <t>1-27-2017</t>
  </si>
  <si>
    <t>8-27-2018</t>
  </si>
  <si>
    <t>2-13-2014</t>
  </si>
  <si>
    <t>9-20-2017</t>
  </si>
  <si>
    <t>10-13-2014</t>
  </si>
  <si>
    <t>12-16-2015</t>
  </si>
  <si>
    <t>9-18-2016</t>
  </si>
  <si>
    <t>2-21-2014</t>
  </si>
  <si>
    <t>6-23-2015</t>
  </si>
  <si>
    <t>11-19-2014</t>
  </si>
  <si>
    <t>7-25-2015</t>
  </si>
  <si>
    <t>6-21-2016</t>
  </si>
  <si>
    <t>6-19-2018</t>
  </si>
  <si>
    <t>7-28-2018</t>
  </si>
  <si>
    <t>7-22-2014</t>
  </si>
  <si>
    <t>12-22-2015</t>
  </si>
  <si>
    <t>10-19-2018</t>
  </si>
  <si>
    <t>5-27-2015</t>
  </si>
  <si>
    <t>11-22-2014</t>
  </si>
  <si>
    <t>6-21-2014</t>
  </si>
  <si>
    <t>10-26-2017</t>
  </si>
  <si>
    <t>2-21-2016</t>
  </si>
  <si>
    <t>9-19-2017</t>
  </si>
  <si>
    <t>9-21-2016</t>
  </si>
  <si>
    <t>2-19-2015</t>
  </si>
  <si>
    <t>10-14-2014</t>
  </si>
  <si>
    <t>6-23-2018</t>
  </si>
  <si>
    <t>6-18-2014</t>
  </si>
  <si>
    <t>9-25-2015</t>
  </si>
  <si>
    <t>2-16-2016</t>
  </si>
  <si>
    <t>8-14-2016</t>
  </si>
  <si>
    <t>8-15-2015</t>
  </si>
  <si>
    <t>7-18-2015</t>
  </si>
  <si>
    <t>3-26-2016</t>
  </si>
  <si>
    <t>1-22-2014</t>
  </si>
  <si>
    <t>8-24-2016</t>
  </si>
  <si>
    <t>5-29-2014</t>
  </si>
  <si>
    <t>10-31-2016</t>
  </si>
  <si>
    <t>4-23-2014</t>
  </si>
  <si>
    <t>3-14-2014</t>
  </si>
  <si>
    <t>1-14-2015</t>
  </si>
  <si>
    <t>1-20-2015</t>
  </si>
  <si>
    <t>11-23-2017</t>
  </si>
  <si>
    <t>6-16-2016</t>
  </si>
  <si>
    <t>2-14-2015</t>
  </si>
  <si>
    <t>3-19-2015</t>
  </si>
  <si>
    <t>7-24-2014</t>
  </si>
  <si>
    <t>2-23-2016</t>
  </si>
  <si>
    <t>10-29-2015</t>
  </si>
  <si>
    <t>10-13-2017</t>
  </si>
  <si>
    <t>8-16-2017</t>
  </si>
  <si>
    <t>10-19-2017</t>
  </si>
  <si>
    <t>8-28-2014</t>
  </si>
  <si>
    <t>3-17-2015</t>
  </si>
  <si>
    <t>10-20-2018</t>
  </si>
  <si>
    <t>1-16-2014</t>
  </si>
  <si>
    <t>3-29-2014</t>
  </si>
  <si>
    <t>6-28-2014</t>
  </si>
  <si>
    <t>8-30-2016</t>
  </si>
  <si>
    <t>11-19-2016</t>
  </si>
  <si>
    <t>3-18-2015</t>
  </si>
  <si>
    <t>12-23-2016</t>
  </si>
  <si>
    <t>4-18-2016</t>
  </si>
  <si>
    <t>7-25-2016</t>
  </si>
  <si>
    <t>3-21-2016</t>
  </si>
  <si>
    <t>7-30-2018</t>
  </si>
  <si>
    <t>9-24-2014</t>
  </si>
  <si>
    <t>12-13-2014</t>
  </si>
  <si>
    <t>3-22-2014</t>
  </si>
  <si>
    <t>4-25-2015</t>
  </si>
  <si>
    <t>5-22-2014</t>
  </si>
  <si>
    <t>IS NUMBER</t>
  </si>
  <si>
    <t/>
  </si>
  <si>
    <t>MM</t>
  </si>
  <si>
    <t>DD</t>
  </si>
  <si>
    <t>YYYY</t>
  </si>
  <si>
    <t>MM-DD-YYYY</t>
  </si>
  <si>
    <t>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</si>
</sst>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0"/>
  <sheetViews>
    <sheetView tabSelected="1" zoomScale="82" workbookViewId="0">
      <selection activeCell="G1" sqref="G1"/>
    </sheetView>
  </sheetViews>
  <sheetFormatPr defaultRowHeight="14.4" x14ac:dyDescent="0.3"/>
  <cols>
    <col min="1" max="1" width="7.33203125" bestFit="1" customWidth="1"/>
    <col min="2" max="2" width="14.5546875" bestFit="1" customWidth="1"/>
    <col min="3" max="3" width="13.21875" bestFit="1" customWidth="1"/>
    <col min="4" max="4" width="6.77734375" bestFit="1" customWidth="1"/>
    <col min="5" max="5" width="10.5546875" style="4" bestFit="1" customWidth="1"/>
    <col min="6" max="7" width="10.5546875" style="4" customWidth="1"/>
    <col min="8" max="8" width="15.44140625" bestFit="1" customWidth="1"/>
    <col min="9" max="9" width="18.77734375" bestFit="1" customWidth="1"/>
    <col min="10" max="10" width="8.21875" bestFit="1" customWidth="1"/>
    <col min="11" max="11" width="10.5546875" bestFit="1" customWidth="1"/>
    <col min="12" max="12" width="10" bestFit="1" customWidth="1"/>
    <col min="14" max="14" width="12.109375" bestFit="1" customWidth="1"/>
    <col min="19" max="20" width="10.33203125" bestFit="1" customWidth="1"/>
    <col min="21" max="21" width="10.33203125" style="4" bestFit="1" customWidth="1"/>
  </cols>
  <sheetData>
    <row r="1" spans="1:21" x14ac:dyDescent="0.3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3762</v>
      </c>
      <c r="G1" s="2" t="s">
        <v>3768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1" t="s">
        <v>3767</v>
      </c>
      <c r="P1" t="s">
        <v>3764</v>
      </c>
      <c r="Q1" t="s">
        <v>3765</v>
      </c>
      <c r="R1" t="s">
        <v>3766</v>
      </c>
      <c r="S1" s="4" t="e">
        <f>DATE(R1,P1,Q1)</f>
        <v>#VALUE!</v>
      </c>
    </row>
    <row r="2" spans="1:21" x14ac:dyDescent="0.3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2" t="b">
        <f>ISNUMBER(E2)</f>
        <v>1</v>
      </c>
      <c r="G2" s="2">
        <f>IF(F2=TRUE,E2,U2)</f>
        <v>43379</v>
      </c>
      <c r="H2" s="1" t="s">
        <v>14</v>
      </c>
      <c r="I2" s="1" t="s">
        <v>15</v>
      </c>
      <c r="J2" s="1">
        <v>80</v>
      </c>
      <c r="K2" s="1">
        <v>79</v>
      </c>
      <c r="L2" s="3">
        <v>1.2500000000000001E-2</v>
      </c>
      <c r="N2" t="s">
        <v>3763</v>
      </c>
      <c r="S2" s="4" t="e">
        <f>DATE(R2,P2,Q2)</f>
        <v>#NUM!</v>
      </c>
      <c r="T2" s="4" t="str">
        <f>IF(AND(P2&lt;&gt;"",Q2&lt;&gt;"",R2&lt;&gt;""),IFERROR(DATE(R2,P2,Q2),""),"")</f>
        <v/>
      </c>
      <c r="U2" s="4" t="s">
        <v>3763</v>
      </c>
    </row>
    <row r="3" spans="1:21" x14ac:dyDescent="0.3">
      <c r="A3" t="s">
        <v>16</v>
      </c>
      <c r="B3" s="1" t="s">
        <v>17</v>
      </c>
      <c r="C3" s="1" t="s">
        <v>18</v>
      </c>
      <c r="D3" s="1" t="s">
        <v>19</v>
      </c>
      <c r="E3" s="2" t="s">
        <v>2960</v>
      </c>
      <c r="F3" s="2" t="b">
        <f>ISNUMBER(E3)</f>
        <v>0</v>
      </c>
      <c r="G3" s="2">
        <f>IF(F3=TRUE,E3,U3)</f>
        <v>42117</v>
      </c>
      <c r="H3" s="1" t="s">
        <v>14</v>
      </c>
      <c r="I3" s="1" t="s">
        <v>20</v>
      </c>
      <c r="J3" s="1">
        <v>80</v>
      </c>
      <c r="K3" s="1">
        <v>54</v>
      </c>
      <c r="L3" s="3">
        <v>0.32500000000000001</v>
      </c>
      <c r="N3" t="s">
        <v>2960</v>
      </c>
      <c r="P3">
        <v>4</v>
      </c>
      <c r="Q3">
        <v>23</v>
      </c>
      <c r="R3">
        <v>2015</v>
      </c>
      <c r="S3" s="4">
        <f>DATE(R3,P3,Q3)</f>
        <v>42117</v>
      </c>
      <c r="T3" s="4">
        <f t="shared" ref="T3:T66" si="0">IF(AND(P3&lt;&gt;"",Q3&lt;&gt;"",R3&lt;&gt;""),IFERROR(DATE(R3,P3,Q3),""),"")</f>
        <v>42117</v>
      </c>
      <c r="U3" s="4">
        <v>42117</v>
      </c>
    </row>
    <row r="4" spans="1:21" x14ac:dyDescent="0.3">
      <c r="A4" t="s">
        <v>21</v>
      </c>
      <c r="B4" s="1" t="s">
        <v>22</v>
      </c>
      <c r="C4" s="1" t="s">
        <v>23</v>
      </c>
      <c r="D4" s="1" t="s">
        <v>24</v>
      </c>
      <c r="E4" s="2">
        <v>42828</v>
      </c>
      <c r="F4" s="2" t="b">
        <f>ISNUMBER(E4)</f>
        <v>1</v>
      </c>
      <c r="G4" s="2">
        <f t="shared" ref="G4:G67" si="1">IF(F4=TRUE,E4,U4)</f>
        <v>42828</v>
      </c>
      <c r="H4" s="1" t="s">
        <v>25</v>
      </c>
      <c r="I4" s="1" t="s">
        <v>26</v>
      </c>
      <c r="J4" s="1">
        <v>700</v>
      </c>
      <c r="K4" s="1">
        <v>686</v>
      </c>
      <c r="L4" s="3">
        <v>0.02</v>
      </c>
      <c r="N4" t="s">
        <v>3763</v>
      </c>
      <c r="S4" s="4" t="e">
        <f t="shared" ref="S4:S67" si="2">DATE(R4,P4,Q4)</f>
        <v>#NUM!</v>
      </c>
      <c r="T4" s="4" t="str">
        <f t="shared" si="0"/>
        <v/>
      </c>
      <c r="U4" s="4" t="s">
        <v>3763</v>
      </c>
    </row>
    <row r="5" spans="1:21" x14ac:dyDescent="0.3">
      <c r="A5" t="s">
        <v>27</v>
      </c>
      <c r="B5" s="1" t="s">
        <v>28</v>
      </c>
      <c r="C5" s="1" t="s">
        <v>29</v>
      </c>
      <c r="D5" s="1" t="s">
        <v>13</v>
      </c>
      <c r="E5" s="2" t="s">
        <v>2961</v>
      </c>
      <c r="F5" s="2" t="b">
        <f t="shared" ref="F5:F68" si="3">ISNUMBER(E5)</f>
        <v>0</v>
      </c>
      <c r="G5" s="2">
        <f t="shared" si="1"/>
        <v>43326</v>
      </c>
      <c r="H5" s="1" t="s">
        <v>30</v>
      </c>
      <c r="I5" s="1" t="s">
        <v>31</v>
      </c>
      <c r="J5" s="1">
        <v>150</v>
      </c>
      <c r="K5" s="1">
        <v>137</v>
      </c>
      <c r="L5" s="3">
        <v>8.6699999999999999E-2</v>
      </c>
      <c r="N5" t="s">
        <v>2961</v>
      </c>
      <c r="P5">
        <v>8</v>
      </c>
      <c r="Q5">
        <v>14</v>
      </c>
      <c r="R5">
        <v>2018</v>
      </c>
      <c r="S5" s="4">
        <f t="shared" si="2"/>
        <v>43326</v>
      </c>
      <c r="T5" s="4">
        <f t="shared" si="0"/>
        <v>43326</v>
      </c>
      <c r="U5" s="4">
        <v>43326</v>
      </c>
    </row>
    <row r="6" spans="1:21" x14ac:dyDescent="0.3">
      <c r="A6" t="s">
        <v>32</v>
      </c>
      <c r="B6" s="1" t="s">
        <v>33</v>
      </c>
      <c r="C6" s="1" t="s">
        <v>34</v>
      </c>
      <c r="D6" s="1" t="s">
        <v>35</v>
      </c>
      <c r="E6" s="2">
        <v>42066</v>
      </c>
      <c r="F6" s="2" t="b">
        <f t="shared" si="3"/>
        <v>1</v>
      </c>
      <c r="G6" s="2">
        <f t="shared" si="1"/>
        <v>42066</v>
      </c>
      <c r="H6" s="1" t="s">
        <v>36</v>
      </c>
      <c r="I6" s="1" t="s">
        <v>37</v>
      </c>
      <c r="J6" s="1">
        <v>50</v>
      </c>
      <c r="K6" s="1">
        <v>37</v>
      </c>
      <c r="L6" s="3">
        <v>0.26</v>
      </c>
      <c r="N6" t="s">
        <v>3763</v>
      </c>
      <c r="S6" s="4" t="e">
        <f t="shared" si="2"/>
        <v>#NUM!</v>
      </c>
      <c r="T6" s="4" t="str">
        <f t="shared" si="0"/>
        <v/>
      </c>
      <c r="U6" s="4" t="s">
        <v>3763</v>
      </c>
    </row>
    <row r="7" spans="1:21" x14ac:dyDescent="0.3">
      <c r="A7" t="s">
        <v>38</v>
      </c>
      <c r="B7" s="1" t="s">
        <v>39</v>
      </c>
      <c r="C7" s="1" t="s">
        <v>40</v>
      </c>
      <c r="D7" s="1" t="s">
        <v>35</v>
      </c>
      <c r="E7" s="2" t="s">
        <v>2962</v>
      </c>
      <c r="F7" s="2" t="b">
        <f t="shared" si="3"/>
        <v>0</v>
      </c>
      <c r="G7" s="2">
        <f t="shared" si="1"/>
        <v>42485</v>
      </c>
      <c r="H7" s="1" t="s">
        <v>41</v>
      </c>
      <c r="I7" s="1" t="s">
        <v>42</v>
      </c>
      <c r="J7" s="1">
        <v>30</v>
      </c>
      <c r="K7" s="1">
        <v>29</v>
      </c>
      <c r="L7" s="3">
        <v>3.3300000000000003E-2</v>
      </c>
      <c r="N7" t="s">
        <v>2962</v>
      </c>
      <c r="P7">
        <v>4</v>
      </c>
      <c r="Q7">
        <v>25</v>
      </c>
      <c r="R7">
        <v>2016</v>
      </c>
      <c r="S7" s="4">
        <f t="shared" si="2"/>
        <v>42485</v>
      </c>
      <c r="T7" s="4">
        <f t="shared" si="0"/>
        <v>42485</v>
      </c>
      <c r="U7" s="4">
        <v>42485</v>
      </c>
    </row>
    <row r="8" spans="1:21" x14ac:dyDescent="0.3">
      <c r="A8" t="s">
        <v>43</v>
      </c>
      <c r="B8" s="1" t="s">
        <v>44</v>
      </c>
      <c r="C8" s="1" t="s">
        <v>45</v>
      </c>
      <c r="D8" s="1" t="s">
        <v>24</v>
      </c>
      <c r="E8" s="2">
        <v>42527</v>
      </c>
      <c r="F8" s="2" t="b">
        <f t="shared" si="3"/>
        <v>1</v>
      </c>
      <c r="G8" s="2">
        <f t="shared" si="1"/>
        <v>42527</v>
      </c>
      <c r="H8" s="1" t="s">
        <v>46</v>
      </c>
      <c r="I8" s="1" t="s">
        <v>47</v>
      </c>
      <c r="J8" s="1">
        <v>500</v>
      </c>
      <c r="K8" s="1">
        <v>465</v>
      </c>
      <c r="L8" s="3">
        <v>7.0000000000000007E-2</v>
      </c>
      <c r="N8" t="s">
        <v>3763</v>
      </c>
      <c r="S8" s="4" t="e">
        <f t="shared" si="2"/>
        <v>#NUM!</v>
      </c>
      <c r="T8" s="4" t="str">
        <f t="shared" si="0"/>
        <v/>
      </c>
      <c r="U8" s="4" t="s">
        <v>3763</v>
      </c>
    </row>
    <row r="9" spans="1:21" x14ac:dyDescent="0.3">
      <c r="A9" t="s">
        <v>48</v>
      </c>
      <c r="B9" s="1" t="s">
        <v>49</v>
      </c>
      <c r="C9" s="1" t="s">
        <v>50</v>
      </c>
      <c r="D9" s="1" t="s">
        <v>24</v>
      </c>
      <c r="E9" s="2">
        <v>42528</v>
      </c>
      <c r="F9" s="2" t="b">
        <f t="shared" si="3"/>
        <v>1</v>
      </c>
      <c r="G9" s="2">
        <f t="shared" si="1"/>
        <v>42528</v>
      </c>
      <c r="H9" s="1" t="s">
        <v>41</v>
      </c>
      <c r="I9" s="1" t="s">
        <v>51</v>
      </c>
      <c r="J9" s="1">
        <v>30</v>
      </c>
      <c r="K9" s="1">
        <v>28</v>
      </c>
      <c r="L9" s="3">
        <v>6.6699999999999995E-2</v>
      </c>
      <c r="N9" t="s">
        <v>3763</v>
      </c>
      <c r="S9" s="4" t="e">
        <f t="shared" si="2"/>
        <v>#NUM!</v>
      </c>
      <c r="T9" s="4" t="str">
        <f t="shared" si="0"/>
        <v/>
      </c>
      <c r="U9" s="4" t="s">
        <v>3763</v>
      </c>
    </row>
    <row r="10" spans="1:21" x14ac:dyDescent="0.3">
      <c r="A10" t="s">
        <v>52</v>
      </c>
      <c r="B10" s="1" t="s">
        <v>53</v>
      </c>
      <c r="C10" s="1" t="s">
        <v>54</v>
      </c>
      <c r="D10" s="1" t="s">
        <v>13</v>
      </c>
      <c r="E10" s="2">
        <v>42349</v>
      </c>
      <c r="F10" s="2" t="b">
        <f t="shared" si="3"/>
        <v>1</v>
      </c>
      <c r="G10" s="2">
        <f t="shared" si="1"/>
        <v>42349</v>
      </c>
      <c r="H10" s="1" t="s">
        <v>55</v>
      </c>
      <c r="I10" s="1" t="s">
        <v>56</v>
      </c>
      <c r="J10" s="1">
        <v>800</v>
      </c>
      <c r="K10" s="1">
        <v>760</v>
      </c>
      <c r="L10" s="3">
        <v>0.05</v>
      </c>
      <c r="N10" t="s">
        <v>3763</v>
      </c>
      <c r="S10" s="4" t="e">
        <f t="shared" si="2"/>
        <v>#NUM!</v>
      </c>
      <c r="T10" s="4" t="str">
        <f t="shared" si="0"/>
        <v/>
      </c>
      <c r="U10" s="4" t="s">
        <v>3763</v>
      </c>
    </row>
    <row r="11" spans="1:21" x14ac:dyDescent="0.3">
      <c r="A11" t="s">
        <v>57</v>
      </c>
      <c r="B11" s="1" t="s">
        <v>44</v>
      </c>
      <c r="C11" s="1" t="s">
        <v>45</v>
      </c>
      <c r="D11" s="1" t="s">
        <v>24</v>
      </c>
      <c r="E11" s="2">
        <v>41889</v>
      </c>
      <c r="F11" s="2" t="b">
        <f t="shared" si="3"/>
        <v>1</v>
      </c>
      <c r="G11" s="2">
        <f t="shared" si="1"/>
        <v>41889</v>
      </c>
      <c r="H11" s="1" t="s">
        <v>41</v>
      </c>
      <c r="I11" s="1" t="s">
        <v>47</v>
      </c>
      <c r="J11" s="1">
        <v>30</v>
      </c>
      <c r="K11" s="1">
        <v>28</v>
      </c>
      <c r="L11" s="3">
        <v>6.6699999999999995E-2</v>
      </c>
      <c r="N11" t="s">
        <v>3763</v>
      </c>
      <c r="S11" s="4" t="e">
        <f t="shared" si="2"/>
        <v>#NUM!</v>
      </c>
      <c r="T11" s="4" t="str">
        <f t="shared" si="0"/>
        <v/>
      </c>
      <c r="U11" s="4" t="s">
        <v>3763</v>
      </c>
    </row>
    <row r="12" spans="1:21" x14ac:dyDescent="0.3">
      <c r="A12" t="s">
        <v>58</v>
      </c>
      <c r="B12" s="1" t="s">
        <v>59</v>
      </c>
      <c r="C12" s="1" t="s">
        <v>60</v>
      </c>
      <c r="D12" s="1" t="s">
        <v>13</v>
      </c>
      <c r="E12" s="2">
        <v>43015</v>
      </c>
      <c r="F12" s="2" t="b">
        <f t="shared" si="3"/>
        <v>1</v>
      </c>
      <c r="G12" s="2">
        <f t="shared" si="1"/>
        <v>43015</v>
      </c>
      <c r="H12" s="1" t="s">
        <v>61</v>
      </c>
      <c r="I12" s="1" t="s">
        <v>62</v>
      </c>
      <c r="J12" s="1">
        <v>1000</v>
      </c>
      <c r="K12" s="1">
        <v>500</v>
      </c>
      <c r="L12" s="3">
        <v>0.5</v>
      </c>
      <c r="N12" t="s">
        <v>3763</v>
      </c>
      <c r="S12" s="4" t="e">
        <f t="shared" si="2"/>
        <v>#NUM!</v>
      </c>
      <c r="T12" s="4" t="str">
        <f t="shared" si="0"/>
        <v/>
      </c>
      <c r="U12" s="4" t="s">
        <v>3763</v>
      </c>
    </row>
    <row r="13" spans="1:21" x14ac:dyDescent="0.3">
      <c r="A13" t="s">
        <v>63</v>
      </c>
      <c r="B13" s="1" t="s">
        <v>64</v>
      </c>
      <c r="C13" s="1" t="s">
        <v>65</v>
      </c>
      <c r="D13" s="1" t="s">
        <v>35</v>
      </c>
      <c r="E13" s="2" t="s">
        <v>2963</v>
      </c>
      <c r="F13" s="2" t="b">
        <f t="shared" si="3"/>
        <v>0</v>
      </c>
      <c r="G13" s="2">
        <f t="shared" si="1"/>
        <v>41872</v>
      </c>
      <c r="H13" s="1" t="s">
        <v>25</v>
      </c>
      <c r="I13" s="1" t="s">
        <v>66</v>
      </c>
      <c r="J13" s="1">
        <v>700</v>
      </c>
      <c r="K13" s="1">
        <v>679</v>
      </c>
      <c r="L13" s="3">
        <v>0.03</v>
      </c>
      <c r="N13" t="s">
        <v>2963</v>
      </c>
      <c r="P13">
        <v>8</v>
      </c>
      <c r="Q13">
        <v>21</v>
      </c>
      <c r="R13">
        <v>2014</v>
      </c>
      <c r="S13" s="4">
        <f t="shared" si="2"/>
        <v>41872</v>
      </c>
      <c r="T13" s="4">
        <f t="shared" si="0"/>
        <v>41872</v>
      </c>
      <c r="U13" s="4">
        <v>41872</v>
      </c>
    </row>
    <row r="14" spans="1:21" x14ac:dyDescent="0.3">
      <c r="A14" t="s">
        <v>67</v>
      </c>
      <c r="B14" s="1" t="s">
        <v>49</v>
      </c>
      <c r="C14" s="1" t="s">
        <v>50</v>
      </c>
      <c r="D14" s="1" t="s">
        <v>24</v>
      </c>
      <c r="E14" s="2">
        <v>42072</v>
      </c>
      <c r="F14" s="2" t="b">
        <f t="shared" si="3"/>
        <v>1</v>
      </c>
      <c r="G14" s="2">
        <f t="shared" si="1"/>
        <v>42072</v>
      </c>
      <c r="H14" s="1" t="s">
        <v>41</v>
      </c>
      <c r="I14" s="1" t="s">
        <v>68</v>
      </c>
      <c r="J14" s="1">
        <v>30</v>
      </c>
      <c r="K14" s="1">
        <v>28</v>
      </c>
      <c r="L14" s="3">
        <v>6.6699999999999995E-2</v>
      </c>
      <c r="N14" t="s">
        <v>3763</v>
      </c>
      <c r="S14" s="4" t="e">
        <f t="shared" si="2"/>
        <v>#NUM!</v>
      </c>
      <c r="T14" s="4" t="str">
        <f t="shared" si="0"/>
        <v/>
      </c>
      <c r="U14" s="4" t="s">
        <v>3763</v>
      </c>
    </row>
    <row r="15" spans="1:21" x14ac:dyDescent="0.3">
      <c r="A15" t="s">
        <v>69</v>
      </c>
      <c r="B15" s="1" t="s">
        <v>70</v>
      </c>
      <c r="C15" s="1" t="s">
        <v>71</v>
      </c>
      <c r="D15" s="1" t="s">
        <v>35</v>
      </c>
      <c r="E15" s="2" t="s">
        <v>2964</v>
      </c>
      <c r="F15" s="2" t="b">
        <f t="shared" si="3"/>
        <v>0</v>
      </c>
      <c r="G15" s="2">
        <f t="shared" si="1"/>
        <v>41789</v>
      </c>
      <c r="H15" s="1" t="s">
        <v>72</v>
      </c>
      <c r="I15" s="1" t="s">
        <v>73</v>
      </c>
      <c r="J15" s="1">
        <v>500</v>
      </c>
      <c r="K15" s="1">
        <v>490</v>
      </c>
      <c r="L15" s="3">
        <v>0.02</v>
      </c>
      <c r="N15" t="s">
        <v>2964</v>
      </c>
      <c r="P15">
        <v>5</v>
      </c>
      <c r="Q15">
        <v>30</v>
      </c>
      <c r="R15">
        <v>2014</v>
      </c>
      <c r="S15" s="4">
        <f t="shared" si="2"/>
        <v>41789</v>
      </c>
      <c r="T15" s="4">
        <f t="shared" si="0"/>
        <v>41789</v>
      </c>
      <c r="U15" s="4">
        <v>41789</v>
      </c>
    </row>
    <row r="16" spans="1:21" x14ac:dyDescent="0.3">
      <c r="A16" t="s">
        <v>74</v>
      </c>
      <c r="B16" s="1" t="s">
        <v>33</v>
      </c>
      <c r="C16" s="1" t="s">
        <v>34</v>
      </c>
      <c r="D16" s="1" t="s">
        <v>35</v>
      </c>
      <c r="E16" s="2">
        <v>43416</v>
      </c>
      <c r="F16" s="2" t="b">
        <f t="shared" si="3"/>
        <v>1</v>
      </c>
      <c r="G16" s="2">
        <f t="shared" si="1"/>
        <v>43416</v>
      </c>
      <c r="H16" s="1" t="s">
        <v>55</v>
      </c>
      <c r="I16" s="1" t="s">
        <v>75</v>
      </c>
      <c r="J16" s="1">
        <v>800</v>
      </c>
      <c r="K16" s="1">
        <v>672</v>
      </c>
      <c r="L16" s="3">
        <v>0.16</v>
      </c>
      <c r="N16" t="s">
        <v>3763</v>
      </c>
      <c r="S16" s="4" t="e">
        <f t="shared" si="2"/>
        <v>#NUM!</v>
      </c>
      <c r="T16" s="4" t="str">
        <f t="shared" si="0"/>
        <v/>
      </c>
      <c r="U16" s="4" t="s">
        <v>3763</v>
      </c>
    </row>
    <row r="17" spans="1:21" x14ac:dyDescent="0.3">
      <c r="A17" t="s">
        <v>76</v>
      </c>
      <c r="B17" s="1" t="s">
        <v>77</v>
      </c>
      <c r="C17" s="1" t="s">
        <v>78</v>
      </c>
      <c r="D17" s="1" t="s">
        <v>35</v>
      </c>
      <c r="E17" s="2" t="s">
        <v>2965</v>
      </c>
      <c r="F17" s="2" t="b">
        <f t="shared" si="3"/>
        <v>0</v>
      </c>
      <c r="G17" s="2">
        <f t="shared" si="1"/>
        <v>42148</v>
      </c>
      <c r="H17" s="1" t="s">
        <v>14</v>
      </c>
      <c r="I17" s="1" t="s">
        <v>79</v>
      </c>
      <c r="J17" s="1">
        <v>80</v>
      </c>
      <c r="K17" s="1">
        <v>78</v>
      </c>
      <c r="L17" s="3">
        <v>2.5000000000000001E-2</v>
      </c>
      <c r="N17" t="s">
        <v>2965</v>
      </c>
      <c r="P17">
        <v>5</v>
      </c>
      <c r="Q17">
        <v>24</v>
      </c>
      <c r="R17">
        <v>2015</v>
      </c>
      <c r="S17" s="4">
        <f t="shared" si="2"/>
        <v>42148</v>
      </c>
      <c r="T17" s="4">
        <f t="shared" si="0"/>
        <v>42148</v>
      </c>
      <c r="U17" s="4">
        <v>42148</v>
      </c>
    </row>
    <row r="18" spans="1:21" x14ac:dyDescent="0.3">
      <c r="A18" t="s">
        <v>80</v>
      </c>
      <c r="B18" s="1" t="s">
        <v>81</v>
      </c>
      <c r="C18" s="1" t="s">
        <v>82</v>
      </c>
      <c r="D18" s="1" t="s">
        <v>13</v>
      </c>
      <c r="E18" s="2">
        <v>41979</v>
      </c>
      <c r="F18" s="2" t="b">
        <f t="shared" si="3"/>
        <v>1</v>
      </c>
      <c r="G18" s="2">
        <f t="shared" si="1"/>
        <v>41979</v>
      </c>
      <c r="H18" s="1" t="s">
        <v>61</v>
      </c>
      <c r="I18" s="1" t="s">
        <v>83</v>
      </c>
      <c r="J18" s="1">
        <v>1000</v>
      </c>
      <c r="K18" s="1">
        <v>620</v>
      </c>
      <c r="L18" s="3">
        <v>0.38</v>
      </c>
      <c r="N18" t="s">
        <v>3763</v>
      </c>
      <c r="S18" s="4" t="e">
        <f t="shared" si="2"/>
        <v>#NUM!</v>
      </c>
      <c r="T18" s="4" t="str">
        <f t="shared" si="0"/>
        <v/>
      </c>
      <c r="U18" s="4" t="s">
        <v>3763</v>
      </c>
    </row>
    <row r="19" spans="1:21" x14ac:dyDescent="0.3">
      <c r="A19" t="s">
        <v>84</v>
      </c>
      <c r="B19" s="1" t="s">
        <v>85</v>
      </c>
      <c r="C19" s="1" t="s">
        <v>86</v>
      </c>
      <c r="D19" s="1" t="s">
        <v>13</v>
      </c>
      <c r="E19" s="2">
        <v>42927</v>
      </c>
      <c r="F19" s="2" t="b">
        <f t="shared" si="3"/>
        <v>1</v>
      </c>
      <c r="G19" s="2">
        <f t="shared" si="1"/>
        <v>42927</v>
      </c>
      <c r="H19" s="1" t="s">
        <v>72</v>
      </c>
      <c r="I19" s="1" t="s">
        <v>87</v>
      </c>
      <c r="J19" s="1">
        <v>500</v>
      </c>
      <c r="K19" s="1">
        <v>500</v>
      </c>
      <c r="L19" s="3">
        <v>0</v>
      </c>
      <c r="N19" t="s">
        <v>3763</v>
      </c>
      <c r="S19" s="4" t="e">
        <f t="shared" si="2"/>
        <v>#NUM!</v>
      </c>
      <c r="T19" s="4" t="str">
        <f t="shared" si="0"/>
        <v/>
      </c>
      <c r="U19" s="4" t="s">
        <v>3763</v>
      </c>
    </row>
    <row r="20" spans="1:21" x14ac:dyDescent="0.3">
      <c r="A20" t="s">
        <v>88</v>
      </c>
      <c r="B20" s="1" t="s">
        <v>17</v>
      </c>
      <c r="C20" s="1" t="s">
        <v>18</v>
      </c>
      <c r="D20" s="1" t="s">
        <v>19</v>
      </c>
      <c r="E20" s="2">
        <v>41709</v>
      </c>
      <c r="F20" s="2" t="b">
        <f t="shared" si="3"/>
        <v>1</v>
      </c>
      <c r="G20" s="2">
        <f t="shared" si="1"/>
        <v>41709</v>
      </c>
      <c r="H20" s="1" t="s">
        <v>30</v>
      </c>
      <c r="I20" s="1" t="s">
        <v>89</v>
      </c>
      <c r="J20" s="1">
        <v>150</v>
      </c>
      <c r="K20" s="1">
        <v>150</v>
      </c>
      <c r="L20" s="3">
        <v>0</v>
      </c>
      <c r="N20" t="s">
        <v>3763</v>
      </c>
      <c r="S20" s="4" t="e">
        <f t="shared" si="2"/>
        <v>#NUM!</v>
      </c>
      <c r="T20" s="4" t="str">
        <f t="shared" si="0"/>
        <v/>
      </c>
      <c r="U20" s="4" t="s">
        <v>3763</v>
      </c>
    </row>
    <row r="21" spans="1:21" x14ac:dyDescent="0.3">
      <c r="A21" t="s">
        <v>90</v>
      </c>
      <c r="B21" s="1" t="s">
        <v>91</v>
      </c>
      <c r="C21" s="1" t="s">
        <v>92</v>
      </c>
      <c r="D21" s="1" t="s">
        <v>35</v>
      </c>
      <c r="E21" s="2" t="s">
        <v>2966</v>
      </c>
      <c r="F21" s="2" t="b">
        <f t="shared" si="3"/>
        <v>0</v>
      </c>
      <c r="G21" s="2">
        <f t="shared" si="1"/>
        <v>42574</v>
      </c>
      <c r="H21" s="1" t="s">
        <v>61</v>
      </c>
      <c r="I21" s="1" t="s">
        <v>93</v>
      </c>
      <c r="J21" s="1">
        <v>1000</v>
      </c>
      <c r="K21" s="1">
        <v>950</v>
      </c>
      <c r="L21" s="3">
        <v>0.05</v>
      </c>
      <c r="N21" t="s">
        <v>2966</v>
      </c>
      <c r="P21">
        <v>7</v>
      </c>
      <c r="Q21">
        <v>23</v>
      </c>
      <c r="R21">
        <v>2016</v>
      </c>
      <c r="S21" s="4">
        <f t="shared" si="2"/>
        <v>42574</v>
      </c>
      <c r="T21" s="4">
        <f t="shared" si="0"/>
        <v>42574</v>
      </c>
      <c r="U21" s="4">
        <v>42574</v>
      </c>
    </row>
    <row r="22" spans="1:21" x14ac:dyDescent="0.3">
      <c r="A22" t="s">
        <v>94</v>
      </c>
      <c r="B22" s="1" t="s">
        <v>95</v>
      </c>
      <c r="C22" s="1" t="s">
        <v>96</v>
      </c>
      <c r="D22" s="1" t="s">
        <v>13</v>
      </c>
      <c r="E22" s="2" t="s">
        <v>2967</v>
      </c>
      <c r="F22" s="2" t="b">
        <f t="shared" si="3"/>
        <v>0</v>
      </c>
      <c r="G22" s="2">
        <f t="shared" si="1"/>
        <v>43006</v>
      </c>
      <c r="H22" s="1" t="s">
        <v>55</v>
      </c>
      <c r="I22" s="1" t="s">
        <v>97</v>
      </c>
      <c r="J22" s="1">
        <v>800</v>
      </c>
      <c r="K22" s="1">
        <v>736</v>
      </c>
      <c r="L22" s="3">
        <v>0.08</v>
      </c>
      <c r="N22" t="s">
        <v>2967</v>
      </c>
      <c r="P22">
        <v>9</v>
      </c>
      <c r="Q22">
        <v>28</v>
      </c>
      <c r="R22">
        <v>2017</v>
      </c>
      <c r="S22" s="4">
        <f t="shared" si="2"/>
        <v>43006</v>
      </c>
      <c r="T22" s="4">
        <f t="shared" si="0"/>
        <v>43006</v>
      </c>
      <c r="U22" s="4">
        <v>43006</v>
      </c>
    </row>
    <row r="23" spans="1:21" x14ac:dyDescent="0.3">
      <c r="A23" t="s">
        <v>98</v>
      </c>
      <c r="B23" s="1" t="s">
        <v>99</v>
      </c>
      <c r="C23" s="1" t="s">
        <v>100</v>
      </c>
      <c r="D23" s="1" t="s">
        <v>13</v>
      </c>
      <c r="E23" s="2" t="s">
        <v>2968</v>
      </c>
      <c r="F23" s="2" t="b">
        <f t="shared" si="3"/>
        <v>0</v>
      </c>
      <c r="G23" s="2">
        <f t="shared" si="1"/>
        <v>42111</v>
      </c>
      <c r="H23" s="1" t="s">
        <v>41</v>
      </c>
      <c r="I23" s="1" t="s">
        <v>101</v>
      </c>
      <c r="J23" s="1">
        <v>30</v>
      </c>
      <c r="K23" s="1">
        <v>22</v>
      </c>
      <c r="L23" s="3">
        <v>0.26669999999999999</v>
      </c>
      <c r="N23" t="s">
        <v>2968</v>
      </c>
      <c r="P23">
        <v>4</v>
      </c>
      <c r="Q23">
        <v>17</v>
      </c>
      <c r="R23">
        <v>2015</v>
      </c>
      <c r="S23" s="4">
        <f t="shared" si="2"/>
        <v>42111</v>
      </c>
      <c r="T23" s="4">
        <f t="shared" si="0"/>
        <v>42111</v>
      </c>
      <c r="U23" s="4">
        <v>42111</v>
      </c>
    </row>
    <row r="24" spans="1:21" x14ac:dyDescent="0.3">
      <c r="A24" t="s">
        <v>102</v>
      </c>
      <c r="B24" s="1" t="s">
        <v>103</v>
      </c>
      <c r="C24" s="1" t="s">
        <v>71</v>
      </c>
      <c r="D24" s="1" t="s">
        <v>35</v>
      </c>
      <c r="E24" s="2" t="s">
        <v>2969</v>
      </c>
      <c r="F24" s="2" t="b">
        <f t="shared" si="3"/>
        <v>0</v>
      </c>
      <c r="G24" s="2">
        <f t="shared" si="1"/>
        <v>43417</v>
      </c>
      <c r="H24" s="1" t="s">
        <v>104</v>
      </c>
      <c r="I24" s="1" t="s">
        <v>105</v>
      </c>
      <c r="J24" s="1">
        <v>70</v>
      </c>
      <c r="K24" s="1">
        <v>67</v>
      </c>
      <c r="L24" s="3">
        <v>4.2900000000000001E-2</v>
      </c>
      <c r="N24" t="s">
        <v>2969</v>
      </c>
      <c r="P24">
        <v>11</v>
      </c>
      <c r="Q24">
        <v>13</v>
      </c>
      <c r="R24">
        <v>2018</v>
      </c>
      <c r="S24" s="4">
        <f t="shared" si="2"/>
        <v>43417</v>
      </c>
      <c r="T24" s="4">
        <f t="shared" si="0"/>
        <v>43417</v>
      </c>
      <c r="U24" s="4">
        <v>43417</v>
      </c>
    </row>
    <row r="25" spans="1:21" x14ac:dyDescent="0.3">
      <c r="A25" t="s">
        <v>106</v>
      </c>
      <c r="B25" s="1" t="s">
        <v>107</v>
      </c>
      <c r="C25" s="1" t="s">
        <v>108</v>
      </c>
      <c r="D25" s="1" t="s">
        <v>19</v>
      </c>
      <c r="E25" s="2" t="s">
        <v>2970</v>
      </c>
      <c r="F25" s="2" t="b">
        <f t="shared" si="3"/>
        <v>0</v>
      </c>
      <c r="G25" s="2">
        <f t="shared" si="1"/>
        <v>43144</v>
      </c>
      <c r="H25" s="1" t="s">
        <v>41</v>
      </c>
      <c r="I25" s="1" t="s">
        <v>109</v>
      </c>
      <c r="J25" s="1">
        <v>30</v>
      </c>
      <c r="K25" s="1">
        <v>27</v>
      </c>
      <c r="L25" s="3">
        <v>0.1</v>
      </c>
      <c r="N25" t="s">
        <v>2970</v>
      </c>
      <c r="P25">
        <v>2</v>
      </c>
      <c r="Q25">
        <v>13</v>
      </c>
      <c r="R25">
        <v>2018</v>
      </c>
      <c r="S25" s="4">
        <f t="shared" si="2"/>
        <v>43144</v>
      </c>
      <c r="T25" s="4">
        <f t="shared" si="0"/>
        <v>43144</v>
      </c>
      <c r="U25" s="4">
        <v>43144</v>
      </c>
    </row>
    <row r="26" spans="1:21" x14ac:dyDescent="0.3">
      <c r="A26" t="s">
        <v>110</v>
      </c>
      <c r="B26" s="1" t="s">
        <v>111</v>
      </c>
      <c r="C26" s="1" t="s">
        <v>82</v>
      </c>
      <c r="D26" s="1" t="s">
        <v>13</v>
      </c>
      <c r="E26" s="2" t="s">
        <v>2971</v>
      </c>
      <c r="F26" s="2" t="b">
        <f t="shared" si="3"/>
        <v>0</v>
      </c>
      <c r="G26" s="2">
        <f t="shared" si="1"/>
        <v>43151</v>
      </c>
      <c r="H26" s="1" t="s">
        <v>72</v>
      </c>
      <c r="I26" s="1" t="s">
        <v>112</v>
      </c>
      <c r="J26" s="1">
        <v>500</v>
      </c>
      <c r="K26" s="1">
        <v>495</v>
      </c>
      <c r="L26" s="3">
        <v>0.01</v>
      </c>
      <c r="N26" t="s">
        <v>2971</v>
      </c>
      <c r="P26">
        <v>2</v>
      </c>
      <c r="Q26">
        <v>20</v>
      </c>
      <c r="R26">
        <v>2018</v>
      </c>
      <c r="S26" s="4">
        <f t="shared" si="2"/>
        <v>43151</v>
      </c>
      <c r="T26" s="4">
        <f t="shared" si="0"/>
        <v>43151</v>
      </c>
      <c r="U26" s="4">
        <v>43151</v>
      </c>
    </row>
    <row r="27" spans="1:21" x14ac:dyDescent="0.3">
      <c r="A27" t="s">
        <v>113</v>
      </c>
      <c r="B27" s="1" t="s">
        <v>114</v>
      </c>
      <c r="C27" s="1" t="s">
        <v>54</v>
      </c>
      <c r="D27" s="1" t="s">
        <v>13</v>
      </c>
      <c r="E27" s="2" t="s">
        <v>2972</v>
      </c>
      <c r="F27" s="2" t="b">
        <f t="shared" si="3"/>
        <v>0</v>
      </c>
      <c r="G27" s="2">
        <f t="shared" si="1"/>
        <v>42451</v>
      </c>
      <c r="H27" s="1" t="s">
        <v>115</v>
      </c>
      <c r="I27" s="1" t="s">
        <v>116</v>
      </c>
      <c r="J27" s="1">
        <v>250</v>
      </c>
      <c r="K27" s="1">
        <v>238</v>
      </c>
      <c r="L27" s="3">
        <v>4.8000000000000001E-2</v>
      </c>
      <c r="N27" t="s">
        <v>2972</v>
      </c>
      <c r="P27">
        <v>3</v>
      </c>
      <c r="Q27">
        <v>22</v>
      </c>
      <c r="R27">
        <v>2016</v>
      </c>
      <c r="S27" s="4">
        <f t="shared" si="2"/>
        <v>42451</v>
      </c>
      <c r="T27" s="4">
        <f t="shared" si="0"/>
        <v>42451</v>
      </c>
      <c r="U27" s="4">
        <v>42451</v>
      </c>
    </row>
    <row r="28" spans="1:21" x14ac:dyDescent="0.3">
      <c r="A28" t="s">
        <v>117</v>
      </c>
      <c r="B28" s="1" t="s">
        <v>118</v>
      </c>
      <c r="C28" s="1" t="s">
        <v>119</v>
      </c>
      <c r="D28" s="1" t="s">
        <v>35</v>
      </c>
      <c r="E28" s="2">
        <v>42918</v>
      </c>
      <c r="F28" s="2" t="b">
        <f t="shared" si="3"/>
        <v>1</v>
      </c>
      <c r="G28" s="2">
        <f t="shared" si="1"/>
        <v>42918</v>
      </c>
      <c r="H28" s="1" t="s">
        <v>115</v>
      </c>
      <c r="I28" s="1" t="s">
        <v>120</v>
      </c>
      <c r="J28" s="1">
        <v>250</v>
      </c>
      <c r="K28" s="1">
        <v>240</v>
      </c>
      <c r="L28" s="3">
        <v>0.04</v>
      </c>
      <c r="N28" t="s">
        <v>3763</v>
      </c>
      <c r="S28" s="4" t="e">
        <f t="shared" si="2"/>
        <v>#NUM!</v>
      </c>
      <c r="T28" s="4" t="str">
        <f t="shared" si="0"/>
        <v/>
      </c>
      <c r="U28" s="4" t="s">
        <v>3763</v>
      </c>
    </row>
    <row r="29" spans="1:21" x14ac:dyDescent="0.3">
      <c r="A29" t="s">
        <v>121</v>
      </c>
      <c r="B29" s="1" t="s">
        <v>17</v>
      </c>
      <c r="C29" s="1" t="s">
        <v>18</v>
      </c>
      <c r="D29" s="1" t="s">
        <v>19</v>
      </c>
      <c r="E29" s="2" t="s">
        <v>2973</v>
      </c>
      <c r="F29" s="2" t="b">
        <f t="shared" si="3"/>
        <v>0</v>
      </c>
      <c r="G29" s="2">
        <f t="shared" si="1"/>
        <v>42392</v>
      </c>
      <c r="H29" s="1" t="s">
        <v>122</v>
      </c>
      <c r="I29" s="1" t="s">
        <v>20</v>
      </c>
      <c r="J29" s="1">
        <v>50</v>
      </c>
      <c r="K29" s="1">
        <v>43</v>
      </c>
      <c r="L29" s="3">
        <v>0.14000000000000001</v>
      </c>
      <c r="N29" t="s">
        <v>2973</v>
      </c>
      <c r="P29">
        <v>1</v>
      </c>
      <c r="Q29">
        <v>23</v>
      </c>
      <c r="R29">
        <v>2016</v>
      </c>
      <c r="S29" s="4">
        <f t="shared" si="2"/>
        <v>42392</v>
      </c>
      <c r="T29" s="4">
        <f t="shared" si="0"/>
        <v>42392</v>
      </c>
      <c r="U29" s="4">
        <v>42392</v>
      </c>
    </row>
    <row r="30" spans="1:21" x14ac:dyDescent="0.3">
      <c r="A30" t="s">
        <v>123</v>
      </c>
      <c r="B30" s="1" t="s">
        <v>124</v>
      </c>
      <c r="C30" s="1" t="s">
        <v>40</v>
      </c>
      <c r="D30" s="1" t="s">
        <v>35</v>
      </c>
      <c r="E30" s="2" t="s">
        <v>2974</v>
      </c>
      <c r="F30" s="2" t="b">
        <f t="shared" si="3"/>
        <v>0</v>
      </c>
      <c r="G30" s="2">
        <f t="shared" si="1"/>
        <v>42305</v>
      </c>
      <c r="H30" s="1" t="s">
        <v>72</v>
      </c>
      <c r="I30" s="1" t="s">
        <v>125</v>
      </c>
      <c r="J30" s="1">
        <v>500</v>
      </c>
      <c r="K30" s="1">
        <v>495</v>
      </c>
      <c r="L30" s="3">
        <v>0.01</v>
      </c>
      <c r="N30" t="s">
        <v>2974</v>
      </c>
      <c r="P30">
        <v>10</v>
      </c>
      <c r="Q30">
        <v>28</v>
      </c>
      <c r="R30">
        <v>2015</v>
      </c>
      <c r="S30" s="4">
        <f t="shared" si="2"/>
        <v>42305</v>
      </c>
      <c r="T30" s="4">
        <f t="shared" si="0"/>
        <v>42305</v>
      </c>
      <c r="U30" s="4">
        <v>42305</v>
      </c>
    </row>
    <row r="31" spans="1:21" x14ac:dyDescent="0.3">
      <c r="A31" t="s">
        <v>126</v>
      </c>
      <c r="B31" s="1" t="s">
        <v>127</v>
      </c>
      <c r="C31" s="1" t="s">
        <v>128</v>
      </c>
      <c r="D31" s="1" t="s">
        <v>13</v>
      </c>
      <c r="E31" s="2" t="s">
        <v>2975</v>
      </c>
      <c r="F31" s="2" t="b">
        <f t="shared" si="3"/>
        <v>0</v>
      </c>
      <c r="G31" s="2">
        <f t="shared" si="1"/>
        <v>43083</v>
      </c>
      <c r="H31" s="1" t="s">
        <v>104</v>
      </c>
      <c r="I31" s="1" t="s">
        <v>129</v>
      </c>
      <c r="J31" s="1">
        <v>70</v>
      </c>
      <c r="K31" s="1">
        <v>64</v>
      </c>
      <c r="L31" s="3">
        <v>8.5699999999999998E-2</v>
      </c>
      <c r="N31" t="s">
        <v>2975</v>
      </c>
      <c r="P31">
        <v>12</v>
      </c>
      <c r="Q31">
        <v>14</v>
      </c>
      <c r="R31">
        <v>2017</v>
      </c>
      <c r="S31" s="4">
        <f t="shared" si="2"/>
        <v>43083</v>
      </c>
      <c r="T31" s="4">
        <f t="shared" si="0"/>
        <v>43083</v>
      </c>
      <c r="U31" s="4">
        <v>43083</v>
      </c>
    </row>
    <row r="32" spans="1:21" x14ac:dyDescent="0.3">
      <c r="A32" t="s">
        <v>130</v>
      </c>
      <c r="B32" s="1" t="s">
        <v>131</v>
      </c>
      <c r="C32" s="1" t="s">
        <v>108</v>
      </c>
      <c r="D32" s="1" t="s">
        <v>19</v>
      </c>
      <c r="E32" s="2">
        <v>41919</v>
      </c>
      <c r="F32" s="2" t="b">
        <f t="shared" si="3"/>
        <v>1</v>
      </c>
      <c r="G32" s="2">
        <f t="shared" si="1"/>
        <v>41919</v>
      </c>
      <c r="H32" s="1" t="s">
        <v>30</v>
      </c>
      <c r="I32" s="1" t="s">
        <v>132</v>
      </c>
      <c r="J32" s="1">
        <v>150</v>
      </c>
      <c r="K32" s="1">
        <v>138</v>
      </c>
      <c r="L32" s="3">
        <v>0.08</v>
      </c>
      <c r="N32" t="s">
        <v>3763</v>
      </c>
      <c r="S32" s="4" t="e">
        <f t="shared" si="2"/>
        <v>#NUM!</v>
      </c>
      <c r="T32" s="4" t="str">
        <f t="shared" si="0"/>
        <v/>
      </c>
      <c r="U32" s="4" t="s">
        <v>3763</v>
      </c>
    </row>
    <row r="33" spans="1:21" x14ac:dyDescent="0.3">
      <c r="A33" t="s">
        <v>133</v>
      </c>
      <c r="B33" s="1" t="s">
        <v>134</v>
      </c>
      <c r="C33" s="1" t="s">
        <v>92</v>
      </c>
      <c r="D33" s="1" t="s">
        <v>35</v>
      </c>
      <c r="E33" s="2" t="s">
        <v>2976</v>
      </c>
      <c r="F33" s="2" t="b">
        <f t="shared" si="3"/>
        <v>0</v>
      </c>
      <c r="G33" s="2">
        <f t="shared" si="1"/>
        <v>41931</v>
      </c>
      <c r="H33" s="1" t="s">
        <v>30</v>
      </c>
      <c r="I33" s="1" t="s">
        <v>135</v>
      </c>
      <c r="J33" s="1">
        <v>150</v>
      </c>
      <c r="K33" s="1">
        <v>117</v>
      </c>
      <c r="L33" s="3">
        <v>0.22</v>
      </c>
      <c r="N33" t="s">
        <v>2976</v>
      </c>
      <c r="P33">
        <v>10</v>
      </c>
      <c r="Q33">
        <v>19</v>
      </c>
      <c r="R33">
        <v>2014</v>
      </c>
      <c r="S33" s="4">
        <f t="shared" si="2"/>
        <v>41931</v>
      </c>
      <c r="T33" s="4">
        <f t="shared" si="0"/>
        <v>41931</v>
      </c>
      <c r="U33" s="4">
        <v>41931</v>
      </c>
    </row>
    <row r="34" spans="1:21" x14ac:dyDescent="0.3">
      <c r="A34" t="s">
        <v>136</v>
      </c>
      <c r="B34" s="1" t="s">
        <v>11</v>
      </c>
      <c r="C34" s="1" t="s">
        <v>12</v>
      </c>
      <c r="D34" s="1" t="s">
        <v>13</v>
      </c>
      <c r="E34" s="2" t="s">
        <v>2976</v>
      </c>
      <c r="F34" s="2" t="b">
        <f t="shared" si="3"/>
        <v>0</v>
      </c>
      <c r="G34" s="2">
        <f t="shared" si="1"/>
        <v>41931</v>
      </c>
      <c r="H34" s="1" t="s">
        <v>61</v>
      </c>
      <c r="I34" s="1" t="s">
        <v>137</v>
      </c>
      <c r="J34" s="1">
        <v>1000</v>
      </c>
      <c r="K34" s="1">
        <v>910</v>
      </c>
      <c r="L34" s="3">
        <v>0.09</v>
      </c>
      <c r="N34" t="s">
        <v>2976</v>
      </c>
      <c r="P34">
        <v>10</v>
      </c>
      <c r="Q34">
        <v>19</v>
      </c>
      <c r="R34">
        <v>2014</v>
      </c>
      <c r="S34" s="4">
        <f t="shared" si="2"/>
        <v>41931</v>
      </c>
      <c r="T34" s="4">
        <f t="shared" si="0"/>
        <v>41931</v>
      </c>
      <c r="U34" s="4">
        <v>41931</v>
      </c>
    </row>
    <row r="35" spans="1:21" x14ac:dyDescent="0.3">
      <c r="A35" t="s">
        <v>138</v>
      </c>
      <c r="B35" s="1" t="s">
        <v>99</v>
      </c>
      <c r="C35" s="1" t="s">
        <v>100</v>
      </c>
      <c r="D35" s="1" t="s">
        <v>13</v>
      </c>
      <c r="E35" s="2" t="s">
        <v>2977</v>
      </c>
      <c r="F35" s="2" t="b">
        <f t="shared" si="3"/>
        <v>0</v>
      </c>
      <c r="G35" s="2">
        <f t="shared" si="1"/>
        <v>43447</v>
      </c>
      <c r="H35" s="1" t="s">
        <v>55</v>
      </c>
      <c r="I35" s="1" t="s">
        <v>101</v>
      </c>
      <c r="J35" s="1">
        <v>800</v>
      </c>
      <c r="K35" s="1">
        <v>584</v>
      </c>
      <c r="L35" s="3">
        <v>0.27</v>
      </c>
      <c r="N35" t="s">
        <v>2977</v>
      </c>
      <c r="P35">
        <v>12</v>
      </c>
      <c r="Q35">
        <v>13</v>
      </c>
      <c r="R35">
        <v>2018</v>
      </c>
      <c r="S35" s="4">
        <f t="shared" si="2"/>
        <v>43447</v>
      </c>
      <c r="T35" s="4">
        <f t="shared" si="0"/>
        <v>43447</v>
      </c>
      <c r="U35" s="4">
        <v>43447</v>
      </c>
    </row>
    <row r="36" spans="1:21" x14ac:dyDescent="0.3">
      <c r="A36" t="s">
        <v>139</v>
      </c>
      <c r="B36" s="1" t="s">
        <v>64</v>
      </c>
      <c r="C36" s="1" t="s">
        <v>65</v>
      </c>
      <c r="D36" s="1" t="s">
        <v>35</v>
      </c>
      <c r="E36" s="2" t="s">
        <v>2978</v>
      </c>
      <c r="F36" s="2" t="b">
        <f t="shared" si="3"/>
        <v>0</v>
      </c>
      <c r="G36" s="2">
        <f t="shared" si="1"/>
        <v>42290</v>
      </c>
      <c r="H36" s="1" t="s">
        <v>14</v>
      </c>
      <c r="I36" s="1" t="s">
        <v>140</v>
      </c>
      <c r="J36" s="1">
        <v>80</v>
      </c>
      <c r="K36" s="1">
        <v>77</v>
      </c>
      <c r="L36" s="3">
        <v>3.7499999999999999E-2</v>
      </c>
      <c r="N36" t="s">
        <v>2978</v>
      </c>
      <c r="P36">
        <v>10</v>
      </c>
      <c r="Q36">
        <v>13</v>
      </c>
      <c r="R36">
        <v>2015</v>
      </c>
      <c r="S36" s="4">
        <f t="shared" si="2"/>
        <v>42290</v>
      </c>
      <c r="T36" s="4">
        <f t="shared" si="0"/>
        <v>42290</v>
      </c>
      <c r="U36" s="4">
        <v>42290</v>
      </c>
    </row>
    <row r="37" spans="1:21" x14ac:dyDescent="0.3">
      <c r="A37" t="s">
        <v>141</v>
      </c>
      <c r="B37" s="1" t="s">
        <v>70</v>
      </c>
      <c r="C37" s="1" t="s">
        <v>71</v>
      </c>
      <c r="D37" s="1" t="s">
        <v>35</v>
      </c>
      <c r="E37" s="2" t="s">
        <v>2979</v>
      </c>
      <c r="F37" s="2" t="b">
        <f t="shared" si="3"/>
        <v>0</v>
      </c>
      <c r="G37" s="2">
        <f t="shared" si="1"/>
        <v>43427</v>
      </c>
      <c r="H37" s="1" t="s">
        <v>72</v>
      </c>
      <c r="I37" s="1" t="s">
        <v>142</v>
      </c>
      <c r="J37" s="1">
        <v>500</v>
      </c>
      <c r="K37" s="1">
        <v>500</v>
      </c>
      <c r="L37" s="3">
        <v>0</v>
      </c>
      <c r="N37" t="s">
        <v>2979</v>
      </c>
      <c r="P37">
        <v>11</v>
      </c>
      <c r="Q37">
        <v>23</v>
      </c>
      <c r="R37">
        <v>2018</v>
      </c>
      <c r="S37" s="4">
        <f t="shared" si="2"/>
        <v>43427</v>
      </c>
      <c r="T37" s="4">
        <f t="shared" si="0"/>
        <v>43427</v>
      </c>
      <c r="U37" s="4">
        <v>43427</v>
      </c>
    </row>
    <row r="38" spans="1:21" x14ac:dyDescent="0.3">
      <c r="A38" t="s">
        <v>143</v>
      </c>
      <c r="B38" s="1" t="s">
        <v>22</v>
      </c>
      <c r="C38" s="1" t="s">
        <v>23</v>
      </c>
      <c r="D38" s="1" t="s">
        <v>24</v>
      </c>
      <c r="E38" s="2" t="s">
        <v>2980</v>
      </c>
      <c r="F38" s="2" t="b">
        <f t="shared" si="3"/>
        <v>0</v>
      </c>
      <c r="G38" s="2">
        <f t="shared" si="1"/>
        <v>42582</v>
      </c>
      <c r="H38" s="1" t="s">
        <v>30</v>
      </c>
      <c r="I38" s="1" t="s">
        <v>144</v>
      </c>
      <c r="J38" s="1">
        <v>150</v>
      </c>
      <c r="K38" s="1">
        <v>146</v>
      </c>
      <c r="L38" s="3">
        <v>2.6700000000000002E-2</v>
      </c>
      <c r="N38" t="s">
        <v>2980</v>
      </c>
      <c r="P38">
        <v>7</v>
      </c>
      <c r="Q38">
        <v>31</v>
      </c>
      <c r="R38">
        <v>2016</v>
      </c>
      <c r="S38" s="4">
        <f t="shared" si="2"/>
        <v>42582</v>
      </c>
      <c r="T38" s="4">
        <f t="shared" si="0"/>
        <v>42582</v>
      </c>
      <c r="U38" s="4">
        <v>42582</v>
      </c>
    </row>
    <row r="39" spans="1:21" x14ac:dyDescent="0.3">
      <c r="A39" t="s">
        <v>145</v>
      </c>
      <c r="B39" s="1" t="s">
        <v>146</v>
      </c>
      <c r="C39" s="1" t="s">
        <v>147</v>
      </c>
      <c r="D39" s="1" t="s">
        <v>13</v>
      </c>
      <c r="E39" s="2" t="s">
        <v>2981</v>
      </c>
      <c r="F39" s="2" t="b">
        <f t="shared" si="3"/>
        <v>0</v>
      </c>
      <c r="G39" s="2">
        <f t="shared" si="1"/>
        <v>42338</v>
      </c>
      <c r="H39" s="1" t="s">
        <v>46</v>
      </c>
      <c r="I39" s="1" t="s">
        <v>148</v>
      </c>
      <c r="J39" s="1">
        <v>500</v>
      </c>
      <c r="K39" s="1">
        <v>460</v>
      </c>
      <c r="L39" s="3">
        <v>0.08</v>
      </c>
      <c r="N39" t="s">
        <v>2981</v>
      </c>
      <c r="P39">
        <v>11</v>
      </c>
      <c r="Q39">
        <v>30</v>
      </c>
      <c r="R39">
        <v>2015</v>
      </c>
      <c r="S39" s="4">
        <f t="shared" si="2"/>
        <v>42338</v>
      </c>
      <c r="T39" s="4">
        <f t="shared" si="0"/>
        <v>42338</v>
      </c>
      <c r="U39" s="4">
        <v>42338</v>
      </c>
    </row>
    <row r="40" spans="1:21" x14ac:dyDescent="0.3">
      <c r="A40" t="s">
        <v>149</v>
      </c>
      <c r="B40" s="1" t="s">
        <v>150</v>
      </c>
      <c r="C40" s="1" t="s">
        <v>151</v>
      </c>
      <c r="D40" s="1" t="s">
        <v>13</v>
      </c>
      <c r="E40" s="2" t="s">
        <v>2982</v>
      </c>
      <c r="F40" s="2" t="b">
        <f t="shared" si="3"/>
        <v>0</v>
      </c>
      <c r="G40" s="2">
        <f t="shared" si="1"/>
        <v>43327</v>
      </c>
      <c r="H40" s="1" t="s">
        <v>122</v>
      </c>
      <c r="I40" s="1" t="s">
        <v>152</v>
      </c>
      <c r="J40" s="1">
        <v>50</v>
      </c>
      <c r="K40" s="1">
        <v>43</v>
      </c>
      <c r="L40" s="3">
        <v>0.14000000000000001</v>
      </c>
      <c r="N40" t="s">
        <v>2982</v>
      </c>
      <c r="P40">
        <v>8</v>
      </c>
      <c r="Q40">
        <v>15</v>
      </c>
      <c r="R40">
        <v>2018</v>
      </c>
      <c r="S40" s="4">
        <f t="shared" si="2"/>
        <v>43327</v>
      </c>
      <c r="T40" s="4">
        <f t="shared" si="0"/>
        <v>43327</v>
      </c>
      <c r="U40" s="4">
        <v>43327</v>
      </c>
    </row>
    <row r="41" spans="1:21" x14ac:dyDescent="0.3">
      <c r="A41" t="s">
        <v>153</v>
      </c>
      <c r="B41" s="1" t="s">
        <v>154</v>
      </c>
      <c r="C41" s="1" t="s">
        <v>108</v>
      </c>
      <c r="D41" s="1" t="s">
        <v>19</v>
      </c>
      <c r="E41" s="2" t="s">
        <v>2983</v>
      </c>
      <c r="F41" s="2" t="b">
        <f t="shared" si="3"/>
        <v>0</v>
      </c>
      <c r="G41" s="2">
        <f t="shared" si="1"/>
        <v>42993</v>
      </c>
      <c r="H41" s="1" t="s">
        <v>14</v>
      </c>
      <c r="I41" s="1" t="s">
        <v>155</v>
      </c>
      <c r="J41" s="1">
        <v>80</v>
      </c>
      <c r="K41" s="1">
        <v>72</v>
      </c>
      <c r="L41" s="3">
        <v>0.1</v>
      </c>
      <c r="N41" t="s">
        <v>2983</v>
      </c>
      <c r="P41">
        <v>9</v>
      </c>
      <c r="Q41">
        <v>15</v>
      </c>
      <c r="R41">
        <v>2017</v>
      </c>
      <c r="S41" s="4">
        <f t="shared" si="2"/>
        <v>42993</v>
      </c>
      <c r="T41" s="4">
        <f t="shared" si="0"/>
        <v>42993</v>
      </c>
      <c r="U41" s="4">
        <v>42993</v>
      </c>
    </row>
    <row r="42" spans="1:21" x14ac:dyDescent="0.3">
      <c r="A42" t="s">
        <v>156</v>
      </c>
      <c r="B42" s="1" t="s">
        <v>157</v>
      </c>
      <c r="C42" s="1" t="s">
        <v>108</v>
      </c>
      <c r="D42" s="1" t="s">
        <v>19</v>
      </c>
      <c r="E42" s="2" t="s">
        <v>2984</v>
      </c>
      <c r="F42" s="2" t="b">
        <f t="shared" si="3"/>
        <v>0</v>
      </c>
      <c r="G42" s="2">
        <f t="shared" si="1"/>
        <v>42936</v>
      </c>
      <c r="H42" s="1" t="s">
        <v>14</v>
      </c>
      <c r="I42" s="1" t="s">
        <v>158</v>
      </c>
      <c r="J42" s="1">
        <v>80</v>
      </c>
      <c r="K42" s="1">
        <v>75</v>
      </c>
      <c r="L42" s="3">
        <v>6.25E-2</v>
      </c>
      <c r="N42" t="s">
        <v>2984</v>
      </c>
      <c r="P42">
        <v>7</v>
      </c>
      <c r="Q42">
        <v>20</v>
      </c>
      <c r="R42">
        <v>2017</v>
      </c>
      <c r="S42" s="4">
        <f t="shared" si="2"/>
        <v>42936</v>
      </c>
      <c r="T42" s="4">
        <f t="shared" si="0"/>
        <v>42936</v>
      </c>
      <c r="U42" s="4">
        <v>42936</v>
      </c>
    </row>
    <row r="43" spans="1:21" x14ac:dyDescent="0.3">
      <c r="A43" t="s">
        <v>159</v>
      </c>
      <c r="B43" s="1" t="s">
        <v>33</v>
      </c>
      <c r="C43" s="1" t="s">
        <v>34</v>
      </c>
      <c r="D43" s="1" t="s">
        <v>35</v>
      </c>
      <c r="E43" s="2" t="s">
        <v>2985</v>
      </c>
      <c r="F43" s="2" t="b">
        <f t="shared" si="3"/>
        <v>0</v>
      </c>
      <c r="G43" s="2">
        <f t="shared" si="1"/>
        <v>42673</v>
      </c>
      <c r="H43" s="1" t="s">
        <v>41</v>
      </c>
      <c r="I43" s="1" t="s">
        <v>160</v>
      </c>
      <c r="J43" s="1">
        <v>30</v>
      </c>
      <c r="K43" s="1">
        <v>26</v>
      </c>
      <c r="L43" s="3">
        <v>0.1333</v>
      </c>
      <c r="N43" t="s">
        <v>2985</v>
      </c>
      <c r="P43">
        <v>10</v>
      </c>
      <c r="Q43">
        <v>30</v>
      </c>
      <c r="R43">
        <v>2016</v>
      </c>
      <c r="S43" s="4">
        <f t="shared" si="2"/>
        <v>42673</v>
      </c>
      <c r="T43" s="4">
        <f t="shared" si="0"/>
        <v>42673</v>
      </c>
      <c r="U43" s="4">
        <v>42673</v>
      </c>
    </row>
    <row r="44" spans="1:21" x14ac:dyDescent="0.3">
      <c r="A44" t="s">
        <v>161</v>
      </c>
      <c r="B44" s="1" t="s">
        <v>77</v>
      </c>
      <c r="C44" s="1" t="s">
        <v>78</v>
      </c>
      <c r="D44" s="1" t="s">
        <v>35</v>
      </c>
      <c r="E44" s="2" t="s">
        <v>2986</v>
      </c>
      <c r="F44" s="2" t="b">
        <f t="shared" si="3"/>
        <v>0</v>
      </c>
      <c r="G44" s="2">
        <f t="shared" si="1"/>
        <v>43184</v>
      </c>
      <c r="H44" s="1" t="s">
        <v>41</v>
      </c>
      <c r="I44" s="1" t="s">
        <v>162</v>
      </c>
      <c r="J44" s="1">
        <v>30</v>
      </c>
      <c r="K44" s="1">
        <v>26</v>
      </c>
      <c r="L44" s="3">
        <v>0.1333</v>
      </c>
      <c r="N44" t="s">
        <v>2986</v>
      </c>
      <c r="P44">
        <v>3</v>
      </c>
      <c r="Q44">
        <v>25</v>
      </c>
      <c r="R44">
        <v>2018</v>
      </c>
      <c r="S44" s="4">
        <f t="shared" si="2"/>
        <v>43184</v>
      </c>
      <c r="T44" s="4">
        <f t="shared" si="0"/>
        <v>43184</v>
      </c>
      <c r="U44" s="4">
        <v>43184</v>
      </c>
    </row>
    <row r="45" spans="1:21" x14ac:dyDescent="0.3">
      <c r="A45" t="s">
        <v>163</v>
      </c>
      <c r="B45" s="1" t="s">
        <v>39</v>
      </c>
      <c r="C45" s="1" t="s">
        <v>40</v>
      </c>
      <c r="D45" s="1" t="s">
        <v>35</v>
      </c>
      <c r="E45" s="2" t="s">
        <v>2987</v>
      </c>
      <c r="F45" s="2" t="b">
        <f t="shared" si="3"/>
        <v>0</v>
      </c>
      <c r="G45" s="2">
        <f t="shared" si="1"/>
        <v>42943</v>
      </c>
      <c r="H45" s="1" t="s">
        <v>55</v>
      </c>
      <c r="I45" s="1" t="s">
        <v>164</v>
      </c>
      <c r="J45" s="1">
        <v>800</v>
      </c>
      <c r="K45" s="1">
        <v>640</v>
      </c>
      <c r="L45" s="3">
        <v>0.2</v>
      </c>
      <c r="N45" t="s">
        <v>2987</v>
      </c>
      <c r="P45">
        <v>7</v>
      </c>
      <c r="Q45">
        <v>27</v>
      </c>
      <c r="R45">
        <v>2017</v>
      </c>
      <c r="S45" s="4">
        <f t="shared" si="2"/>
        <v>42943</v>
      </c>
      <c r="T45" s="4">
        <f t="shared" si="0"/>
        <v>42943</v>
      </c>
      <c r="U45" s="4">
        <v>42943</v>
      </c>
    </row>
    <row r="46" spans="1:21" x14ac:dyDescent="0.3">
      <c r="A46" t="s">
        <v>165</v>
      </c>
      <c r="B46" s="1" t="s">
        <v>85</v>
      </c>
      <c r="C46" s="1" t="s">
        <v>86</v>
      </c>
      <c r="D46" s="1" t="s">
        <v>13</v>
      </c>
      <c r="E46" s="2" t="s">
        <v>2988</v>
      </c>
      <c r="F46" s="2" t="b">
        <f t="shared" si="3"/>
        <v>0</v>
      </c>
      <c r="G46" s="2">
        <f t="shared" si="1"/>
        <v>42690</v>
      </c>
      <c r="H46" s="1" t="s">
        <v>55</v>
      </c>
      <c r="I46" s="1" t="s">
        <v>166</v>
      </c>
      <c r="J46" s="1">
        <v>800</v>
      </c>
      <c r="K46" s="1">
        <v>520</v>
      </c>
      <c r="L46" s="3">
        <v>0.35</v>
      </c>
      <c r="N46" t="s">
        <v>2988</v>
      </c>
      <c r="P46">
        <v>11</v>
      </c>
      <c r="Q46">
        <v>16</v>
      </c>
      <c r="R46">
        <v>2016</v>
      </c>
      <c r="S46" s="4">
        <f t="shared" si="2"/>
        <v>42690</v>
      </c>
      <c r="T46" s="4">
        <f t="shared" si="0"/>
        <v>42690</v>
      </c>
      <c r="U46" s="4">
        <v>42690</v>
      </c>
    </row>
    <row r="47" spans="1:21" x14ac:dyDescent="0.3">
      <c r="A47" t="s">
        <v>167</v>
      </c>
      <c r="B47" s="1" t="s">
        <v>114</v>
      </c>
      <c r="C47" s="1" t="s">
        <v>54</v>
      </c>
      <c r="D47" s="1" t="s">
        <v>13</v>
      </c>
      <c r="E47" s="2" t="s">
        <v>2989</v>
      </c>
      <c r="F47" s="2" t="b">
        <f t="shared" si="3"/>
        <v>0</v>
      </c>
      <c r="G47" s="2">
        <f t="shared" si="1"/>
        <v>43120</v>
      </c>
      <c r="H47" s="1" t="s">
        <v>115</v>
      </c>
      <c r="I47" s="1" t="s">
        <v>168</v>
      </c>
      <c r="J47" s="1">
        <v>250</v>
      </c>
      <c r="K47" s="1">
        <v>220</v>
      </c>
      <c r="L47" s="3">
        <v>0.12</v>
      </c>
      <c r="N47" t="s">
        <v>2989</v>
      </c>
      <c r="P47">
        <v>1</v>
      </c>
      <c r="Q47">
        <v>20</v>
      </c>
      <c r="R47">
        <v>2018</v>
      </c>
      <c r="S47" s="4">
        <f t="shared" si="2"/>
        <v>43120</v>
      </c>
      <c r="T47" s="4">
        <f t="shared" si="0"/>
        <v>43120</v>
      </c>
      <c r="U47" s="4">
        <v>43120</v>
      </c>
    </row>
    <row r="48" spans="1:21" x14ac:dyDescent="0.3">
      <c r="A48" t="s">
        <v>169</v>
      </c>
      <c r="B48" s="1" t="s">
        <v>170</v>
      </c>
      <c r="C48" s="1" t="s">
        <v>171</v>
      </c>
      <c r="D48" s="1" t="s">
        <v>13</v>
      </c>
      <c r="E48" s="2">
        <v>42038</v>
      </c>
      <c r="F48" s="2" t="b">
        <f t="shared" si="3"/>
        <v>1</v>
      </c>
      <c r="G48" s="2">
        <f t="shared" si="1"/>
        <v>42038</v>
      </c>
      <c r="H48" s="1" t="s">
        <v>25</v>
      </c>
      <c r="I48" s="1" t="s">
        <v>172</v>
      </c>
      <c r="J48" s="1">
        <v>700</v>
      </c>
      <c r="K48" s="1">
        <v>434</v>
      </c>
      <c r="L48" s="3">
        <v>0.38</v>
      </c>
      <c r="N48" t="s">
        <v>3763</v>
      </c>
      <c r="S48" s="4" t="e">
        <f t="shared" si="2"/>
        <v>#NUM!</v>
      </c>
      <c r="T48" s="4" t="str">
        <f t="shared" si="0"/>
        <v/>
      </c>
      <c r="U48" s="4" t="s">
        <v>3763</v>
      </c>
    </row>
    <row r="49" spans="1:21" x14ac:dyDescent="0.3">
      <c r="A49" t="s">
        <v>173</v>
      </c>
      <c r="B49" s="1" t="s">
        <v>174</v>
      </c>
      <c r="C49" s="1" t="s">
        <v>175</v>
      </c>
      <c r="D49" s="1" t="s">
        <v>13</v>
      </c>
      <c r="E49" s="2">
        <v>42310</v>
      </c>
      <c r="F49" s="2" t="b">
        <f t="shared" si="3"/>
        <v>1</v>
      </c>
      <c r="G49" s="2">
        <f t="shared" si="1"/>
        <v>42310</v>
      </c>
      <c r="H49" s="1" t="s">
        <v>14</v>
      </c>
      <c r="I49" s="1" t="s">
        <v>176</v>
      </c>
      <c r="J49" s="1">
        <v>80</v>
      </c>
      <c r="K49" s="1">
        <v>50</v>
      </c>
      <c r="L49" s="3">
        <v>0.375</v>
      </c>
      <c r="N49" t="s">
        <v>3763</v>
      </c>
      <c r="S49" s="4" t="e">
        <f t="shared" si="2"/>
        <v>#NUM!</v>
      </c>
      <c r="T49" s="4" t="str">
        <f t="shared" si="0"/>
        <v/>
      </c>
      <c r="U49" s="4" t="s">
        <v>3763</v>
      </c>
    </row>
    <row r="50" spans="1:21" x14ac:dyDescent="0.3">
      <c r="A50" t="s">
        <v>177</v>
      </c>
      <c r="B50" s="1" t="s">
        <v>17</v>
      </c>
      <c r="C50" s="1" t="s">
        <v>18</v>
      </c>
      <c r="D50" s="1" t="s">
        <v>19</v>
      </c>
      <c r="E50" s="2">
        <v>42895</v>
      </c>
      <c r="F50" s="2" t="b">
        <f t="shared" si="3"/>
        <v>1</v>
      </c>
      <c r="G50" s="2">
        <f t="shared" si="1"/>
        <v>42895</v>
      </c>
      <c r="H50" s="1" t="s">
        <v>115</v>
      </c>
      <c r="I50" s="1" t="s">
        <v>178</v>
      </c>
      <c r="J50" s="1">
        <v>250</v>
      </c>
      <c r="K50" s="1">
        <v>238</v>
      </c>
      <c r="L50" s="3">
        <v>4.8000000000000001E-2</v>
      </c>
      <c r="N50" t="s">
        <v>3763</v>
      </c>
      <c r="S50" s="4" t="e">
        <f t="shared" si="2"/>
        <v>#NUM!</v>
      </c>
      <c r="T50" s="4" t="str">
        <f t="shared" si="0"/>
        <v/>
      </c>
      <c r="U50" s="4" t="s">
        <v>3763</v>
      </c>
    </row>
    <row r="51" spans="1:21" x14ac:dyDescent="0.3">
      <c r="A51" t="s">
        <v>179</v>
      </c>
      <c r="B51" s="1" t="s">
        <v>95</v>
      </c>
      <c r="C51" s="1" t="s">
        <v>96</v>
      </c>
      <c r="D51" s="1" t="s">
        <v>13</v>
      </c>
      <c r="E51" s="2" t="s">
        <v>2990</v>
      </c>
      <c r="F51" s="2" t="b">
        <f t="shared" si="3"/>
        <v>0</v>
      </c>
      <c r="G51" s="2">
        <f t="shared" si="1"/>
        <v>43032</v>
      </c>
      <c r="H51" s="1" t="s">
        <v>30</v>
      </c>
      <c r="I51" s="1" t="s">
        <v>180</v>
      </c>
      <c r="J51" s="1">
        <v>150</v>
      </c>
      <c r="K51" s="1">
        <v>140</v>
      </c>
      <c r="L51" s="3">
        <v>6.6699999999999995E-2</v>
      </c>
      <c r="N51" t="s">
        <v>2990</v>
      </c>
      <c r="P51">
        <v>10</v>
      </c>
      <c r="Q51">
        <v>24</v>
      </c>
      <c r="R51">
        <v>2017</v>
      </c>
      <c r="S51" s="4">
        <f t="shared" si="2"/>
        <v>43032</v>
      </c>
      <c r="T51" s="4">
        <f t="shared" si="0"/>
        <v>43032</v>
      </c>
      <c r="U51" s="4">
        <v>43032</v>
      </c>
    </row>
    <row r="52" spans="1:21" x14ac:dyDescent="0.3">
      <c r="A52" t="s">
        <v>181</v>
      </c>
      <c r="B52" s="1" t="s">
        <v>182</v>
      </c>
      <c r="C52" s="1" t="s">
        <v>108</v>
      </c>
      <c r="D52" s="1" t="s">
        <v>19</v>
      </c>
      <c r="E52" s="2" t="s">
        <v>2991</v>
      </c>
      <c r="F52" s="2" t="b">
        <f t="shared" si="3"/>
        <v>0</v>
      </c>
      <c r="G52" s="2">
        <f t="shared" si="1"/>
        <v>42329</v>
      </c>
      <c r="H52" s="1" t="s">
        <v>61</v>
      </c>
      <c r="I52" s="1" t="s">
        <v>183</v>
      </c>
      <c r="J52" s="1">
        <v>1000</v>
      </c>
      <c r="K52" s="1">
        <v>740</v>
      </c>
      <c r="L52" s="3">
        <v>0.26</v>
      </c>
      <c r="N52" t="s">
        <v>2991</v>
      </c>
      <c r="P52">
        <v>11</v>
      </c>
      <c r="Q52">
        <v>21</v>
      </c>
      <c r="R52">
        <v>2015</v>
      </c>
      <c r="S52" s="4">
        <f t="shared" si="2"/>
        <v>42329</v>
      </c>
      <c r="T52" s="4">
        <f t="shared" si="0"/>
        <v>42329</v>
      </c>
      <c r="U52" s="4">
        <v>42329</v>
      </c>
    </row>
    <row r="53" spans="1:21" x14ac:dyDescent="0.3">
      <c r="A53" t="s">
        <v>184</v>
      </c>
      <c r="B53" s="1" t="s">
        <v>150</v>
      </c>
      <c r="C53" s="1" t="s">
        <v>151</v>
      </c>
      <c r="D53" s="1" t="s">
        <v>13</v>
      </c>
      <c r="E53" s="2">
        <v>41888</v>
      </c>
      <c r="F53" s="2" t="b">
        <f t="shared" si="3"/>
        <v>1</v>
      </c>
      <c r="G53" s="2">
        <f t="shared" si="1"/>
        <v>41888</v>
      </c>
      <c r="H53" s="1" t="s">
        <v>41</v>
      </c>
      <c r="I53" s="1" t="s">
        <v>185</v>
      </c>
      <c r="J53" s="1">
        <v>30</v>
      </c>
      <c r="K53" s="1">
        <v>25</v>
      </c>
      <c r="L53" s="3">
        <v>0.16669999999999999</v>
      </c>
      <c r="N53" t="s">
        <v>3763</v>
      </c>
      <c r="S53" s="4" t="e">
        <f t="shared" si="2"/>
        <v>#NUM!</v>
      </c>
      <c r="T53" s="4" t="str">
        <f t="shared" si="0"/>
        <v/>
      </c>
      <c r="U53" s="4" t="s">
        <v>3763</v>
      </c>
    </row>
    <row r="54" spans="1:21" x14ac:dyDescent="0.3">
      <c r="A54" t="s">
        <v>186</v>
      </c>
      <c r="B54" s="1" t="s">
        <v>187</v>
      </c>
      <c r="C54" s="1" t="s">
        <v>188</v>
      </c>
      <c r="D54" s="1" t="s">
        <v>13</v>
      </c>
      <c r="E54" s="2" t="s">
        <v>2992</v>
      </c>
      <c r="F54" s="2" t="b">
        <f t="shared" si="3"/>
        <v>0</v>
      </c>
      <c r="G54" s="2">
        <f t="shared" si="1"/>
        <v>43031</v>
      </c>
      <c r="H54" s="1" t="s">
        <v>25</v>
      </c>
      <c r="I54" s="1" t="s">
        <v>189</v>
      </c>
      <c r="J54" s="1">
        <v>700</v>
      </c>
      <c r="K54" s="1">
        <v>665</v>
      </c>
      <c r="L54" s="3">
        <v>0.05</v>
      </c>
      <c r="N54" t="s">
        <v>2992</v>
      </c>
      <c r="P54">
        <v>10</v>
      </c>
      <c r="Q54">
        <v>23</v>
      </c>
      <c r="R54">
        <v>2017</v>
      </c>
      <c r="S54" s="4">
        <f t="shared" si="2"/>
        <v>43031</v>
      </c>
      <c r="T54" s="4">
        <f t="shared" si="0"/>
        <v>43031</v>
      </c>
      <c r="U54" s="4">
        <v>43031</v>
      </c>
    </row>
    <row r="55" spans="1:21" x14ac:dyDescent="0.3">
      <c r="A55" t="s">
        <v>190</v>
      </c>
      <c r="B55" s="1" t="s">
        <v>103</v>
      </c>
      <c r="C55" s="1" t="s">
        <v>71</v>
      </c>
      <c r="D55" s="1" t="s">
        <v>35</v>
      </c>
      <c r="E55" s="2" t="s">
        <v>2993</v>
      </c>
      <c r="F55" s="2" t="b">
        <f t="shared" si="3"/>
        <v>0</v>
      </c>
      <c r="G55" s="2">
        <f t="shared" si="1"/>
        <v>41835</v>
      </c>
      <c r="H55" s="1" t="s">
        <v>46</v>
      </c>
      <c r="I55" s="1" t="s">
        <v>191</v>
      </c>
      <c r="J55" s="1">
        <v>500</v>
      </c>
      <c r="K55" s="1">
        <v>425</v>
      </c>
      <c r="L55" s="3">
        <v>0.15</v>
      </c>
      <c r="N55" t="s">
        <v>2993</v>
      </c>
      <c r="P55">
        <v>7</v>
      </c>
      <c r="Q55">
        <v>15</v>
      </c>
      <c r="R55">
        <v>2014</v>
      </c>
      <c r="S55" s="4">
        <f t="shared" si="2"/>
        <v>41835</v>
      </c>
      <c r="T55" s="4">
        <f t="shared" si="0"/>
        <v>41835</v>
      </c>
      <c r="U55" s="4">
        <v>41835</v>
      </c>
    </row>
    <row r="56" spans="1:21" x14ac:dyDescent="0.3">
      <c r="A56" t="s">
        <v>192</v>
      </c>
      <c r="B56" s="1" t="s">
        <v>11</v>
      </c>
      <c r="C56" s="1" t="s">
        <v>12</v>
      </c>
      <c r="D56" s="1" t="s">
        <v>13</v>
      </c>
      <c r="E56" s="2" t="s">
        <v>2994</v>
      </c>
      <c r="F56" s="2" t="b">
        <f t="shared" si="3"/>
        <v>0</v>
      </c>
      <c r="G56" s="2">
        <f t="shared" si="1"/>
        <v>41898</v>
      </c>
      <c r="H56" s="1" t="s">
        <v>14</v>
      </c>
      <c r="I56" s="1" t="s">
        <v>193</v>
      </c>
      <c r="J56" s="1">
        <v>80</v>
      </c>
      <c r="K56" s="1">
        <v>78</v>
      </c>
      <c r="L56" s="3">
        <v>2.5000000000000001E-2</v>
      </c>
      <c r="N56" t="s">
        <v>2994</v>
      </c>
      <c r="P56">
        <v>9</v>
      </c>
      <c r="Q56">
        <v>16</v>
      </c>
      <c r="R56">
        <v>2014</v>
      </c>
      <c r="S56" s="4">
        <f t="shared" si="2"/>
        <v>41898</v>
      </c>
      <c r="T56" s="4">
        <f t="shared" si="0"/>
        <v>41898</v>
      </c>
      <c r="U56" s="4">
        <v>41898</v>
      </c>
    </row>
    <row r="57" spans="1:21" x14ac:dyDescent="0.3">
      <c r="A57" t="s">
        <v>194</v>
      </c>
      <c r="B57" s="1" t="s">
        <v>81</v>
      </c>
      <c r="C57" s="1" t="s">
        <v>82</v>
      </c>
      <c r="D57" s="1" t="s">
        <v>13</v>
      </c>
      <c r="E57" s="2">
        <v>42282</v>
      </c>
      <c r="F57" s="2" t="b">
        <f t="shared" si="3"/>
        <v>1</v>
      </c>
      <c r="G57" s="2">
        <f t="shared" si="1"/>
        <v>42282</v>
      </c>
      <c r="H57" s="1" t="s">
        <v>122</v>
      </c>
      <c r="I57" s="1" t="s">
        <v>195</v>
      </c>
      <c r="J57" s="1">
        <v>50</v>
      </c>
      <c r="K57" s="1">
        <v>39</v>
      </c>
      <c r="L57" s="3">
        <v>0.22</v>
      </c>
      <c r="N57" t="s">
        <v>3763</v>
      </c>
      <c r="S57" s="4" t="e">
        <f t="shared" si="2"/>
        <v>#NUM!</v>
      </c>
      <c r="T57" s="4" t="str">
        <f t="shared" si="0"/>
        <v/>
      </c>
      <c r="U57" s="4" t="s">
        <v>3763</v>
      </c>
    </row>
    <row r="58" spans="1:21" x14ac:dyDescent="0.3">
      <c r="A58" t="s">
        <v>196</v>
      </c>
      <c r="B58" s="1" t="s">
        <v>33</v>
      </c>
      <c r="C58" s="1" t="s">
        <v>34</v>
      </c>
      <c r="D58" s="1" t="s">
        <v>35</v>
      </c>
      <c r="E58" s="2" t="s">
        <v>2995</v>
      </c>
      <c r="F58" s="2" t="b">
        <f t="shared" si="3"/>
        <v>0</v>
      </c>
      <c r="G58" s="2">
        <f t="shared" si="1"/>
        <v>42571</v>
      </c>
      <c r="H58" s="1" t="s">
        <v>41</v>
      </c>
      <c r="I58" s="1" t="s">
        <v>197</v>
      </c>
      <c r="J58" s="1">
        <v>30</v>
      </c>
      <c r="K58" s="1">
        <v>27</v>
      </c>
      <c r="L58" s="3">
        <v>0.1</v>
      </c>
      <c r="N58" t="s">
        <v>2995</v>
      </c>
      <c r="P58">
        <v>7</v>
      </c>
      <c r="Q58">
        <v>20</v>
      </c>
      <c r="R58">
        <v>2016</v>
      </c>
      <c r="S58" s="4">
        <f t="shared" si="2"/>
        <v>42571</v>
      </c>
      <c r="T58" s="4">
        <f t="shared" si="0"/>
        <v>42571</v>
      </c>
      <c r="U58" s="4">
        <v>42571</v>
      </c>
    </row>
    <row r="59" spans="1:21" x14ac:dyDescent="0.3">
      <c r="A59" t="s">
        <v>198</v>
      </c>
      <c r="B59" s="1" t="s">
        <v>91</v>
      </c>
      <c r="C59" s="1" t="s">
        <v>92</v>
      </c>
      <c r="D59" s="1" t="s">
        <v>35</v>
      </c>
      <c r="E59" s="2" t="s">
        <v>2996</v>
      </c>
      <c r="F59" s="2" t="b">
        <f t="shared" si="3"/>
        <v>0</v>
      </c>
      <c r="G59" s="2">
        <f t="shared" si="1"/>
        <v>43185</v>
      </c>
      <c r="H59" s="1" t="s">
        <v>104</v>
      </c>
      <c r="I59" s="1" t="s">
        <v>199</v>
      </c>
      <c r="J59" s="1">
        <v>70</v>
      </c>
      <c r="K59" s="1">
        <v>64</v>
      </c>
      <c r="L59" s="3">
        <v>8.5699999999999998E-2</v>
      </c>
      <c r="N59" t="s">
        <v>2996</v>
      </c>
      <c r="P59">
        <v>3</v>
      </c>
      <c r="Q59">
        <v>26</v>
      </c>
      <c r="R59">
        <v>2018</v>
      </c>
      <c r="S59" s="4">
        <f t="shared" si="2"/>
        <v>43185</v>
      </c>
      <c r="T59" s="4">
        <f t="shared" si="0"/>
        <v>43185</v>
      </c>
      <c r="U59" s="4">
        <v>43185</v>
      </c>
    </row>
    <row r="60" spans="1:21" x14ac:dyDescent="0.3">
      <c r="A60" t="s">
        <v>200</v>
      </c>
      <c r="B60" s="1" t="s">
        <v>44</v>
      </c>
      <c r="C60" s="1" t="s">
        <v>45</v>
      </c>
      <c r="D60" s="1" t="s">
        <v>24</v>
      </c>
      <c r="E60" s="2" t="s">
        <v>2997</v>
      </c>
      <c r="F60" s="2" t="b">
        <f t="shared" si="3"/>
        <v>0</v>
      </c>
      <c r="G60" s="2">
        <f t="shared" si="1"/>
        <v>41813</v>
      </c>
      <c r="H60" s="1" t="s">
        <v>36</v>
      </c>
      <c r="I60" s="1" t="s">
        <v>201</v>
      </c>
      <c r="J60" s="1">
        <v>50</v>
      </c>
      <c r="K60" s="1">
        <v>36</v>
      </c>
      <c r="L60" s="3">
        <v>0.28000000000000003</v>
      </c>
      <c r="N60" t="s">
        <v>2997</v>
      </c>
      <c r="P60">
        <v>6</v>
      </c>
      <c r="Q60">
        <v>23</v>
      </c>
      <c r="R60">
        <v>2014</v>
      </c>
      <c r="S60" s="4">
        <f t="shared" si="2"/>
        <v>41813</v>
      </c>
      <c r="T60" s="4">
        <f t="shared" si="0"/>
        <v>41813</v>
      </c>
      <c r="U60" s="4">
        <v>41813</v>
      </c>
    </row>
    <row r="61" spans="1:21" x14ac:dyDescent="0.3">
      <c r="A61" t="s">
        <v>202</v>
      </c>
      <c r="B61" s="1" t="s">
        <v>182</v>
      </c>
      <c r="C61" s="1" t="s">
        <v>108</v>
      </c>
      <c r="D61" s="1" t="s">
        <v>19</v>
      </c>
      <c r="E61" s="2" t="s">
        <v>2998</v>
      </c>
      <c r="F61" s="2" t="b">
        <f t="shared" si="3"/>
        <v>0</v>
      </c>
      <c r="G61" s="2">
        <f t="shared" si="1"/>
        <v>43342</v>
      </c>
      <c r="H61" s="1" t="s">
        <v>122</v>
      </c>
      <c r="I61" s="1" t="s">
        <v>203</v>
      </c>
      <c r="J61" s="1">
        <v>50</v>
      </c>
      <c r="K61" s="1">
        <v>43</v>
      </c>
      <c r="L61" s="3">
        <v>0.14000000000000001</v>
      </c>
      <c r="N61" t="s">
        <v>2998</v>
      </c>
      <c r="P61">
        <v>8</v>
      </c>
      <c r="Q61">
        <v>30</v>
      </c>
      <c r="R61">
        <v>2018</v>
      </c>
      <c r="S61" s="4">
        <f t="shared" si="2"/>
        <v>43342</v>
      </c>
      <c r="T61" s="4">
        <f t="shared" si="0"/>
        <v>43342</v>
      </c>
      <c r="U61" s="4">
        <v>43342</v>
      </c>
    </row>
    <row r="62" spans="1:21" x14ac:dyDescent="0.3">
      <c r="A62" t="s">
        <v>204</v>
      </c>
      <c r="B62" s="1" t="s">
        <v>205</v>
      </c>
      <c r="C62" s="1" t="s">
        <v>206</v>
      </c>
      <c r="D62" s="1" t="s">
        <v>24</v>
      </c>
      <c r="E62" s="2">
        <v>43104</v>
      </c>
      <c r="F62" s="2" t="b">
        <f t="shared" si="3"/>
        <v>1</v>
      </c>
      <c r="G62" s="2">
        <f t="shared" si="1"/>
        <v>43104</v>
      </c>
      <c r="H62" s="1" t="s">
        <v>25</v>
      </c>
      <c r="I62" s="1" t="s">
        <v>207</v>
      </c>
      <c r="J62" s="1">
        <v>700</v>
      </c>
      <c r="K62" s="1">
        <v>693</v>
      </c>
      <c r="L62" s="3">
        <v>0.01</v>
      </c>
      <c r="N62" t="s">
        <v>3763</v>
      </c>
      <c r="S62" s="4" t="e">
        <f t="shared" si="2"/>
        <v>#NUM!</v>
      </c>
      <c r="T62" s="4" t="str">
        <f t="shared" si="0"/>
        <v/>
      </c>
      <c r="U62" s="4" t="s">
        <v>3763</v>
      </c>
    </row>
    <row r="63" spans="1:21" x14ac:dyDescent="0.3">
      <c r="A63" t="s">
        <v>208</v>
      </c>
      <c r="B63" s="1" t="s">
        <v>170</v>
      </c>
      <c r="C63" s="1" t="s">
        <v>171</v>
      </c>
      <c r="D63" s="1" t="s">
        <v>13</v>
      </c>
      <c r="E63" s="2" t="s">
        <v>2999</v>
      </c>
      <c r="F63" s="2" t="b">
        <f t="shared" si="3"/>
        <v>0</v>
      </c>
      <c r="G63" s="2">
        <f t="shared" si="1"/>
        <v>41783</v>
      </c>
      <c r="H63" s="1" t="s">
        <v>61</v>
      </c>
      <c r="I63" s="1" t="s">
        <v>172</v>
      </c>
      <c r="J63" s="1">
        <v>1000</v>
      </c>
      <c r="K63" s="1">
        <v>810</v>
      </c>
      <c r="L63" s="3">
        <v>0.19</v>
      </c>
      <c r="N63" t="s">
        <v>2999</v>
      </c>
      <c r="P63">
        <v>5</v>
      </c>
      <c r="Q63">
        <v>24</v>
      </c>
      <c r="R63">
        <v>2014</v>
      </c>
      <c r="S63" s="4">
        <f t="shared" si="2"/>
        <v>41783</v>
      </c>
      <c r="T63" s="4">
        <f t="shared" si="0"/>
        <v>41783</v>
      </c>
      <c r="U63" s="4">
        <v>41783</v>
      </c>
    </row>
    <row r="64" spans="1:21" x14ac:dyDescent="0.3">
      <c r="A64" t="s">
        <v>209</v>
      </c>
      <c r="B64" s="1" t="s">
        <v>127</v>
      </c>
      <c r="C64" s="1" t="s">
        <v>128</v>
      </c>
      <c r="D64" s="1" t="s">
        <v>13</v>
      </c>
      <c r="E64" s="2">
        <v>42070</v>
      </c>
      <c r="F64" s="2" t="b">
        <f t="shared" si="3"/>
        <v>1</v>
      </c>
      <c r="G64" s="2">
        <f t="shared" si="1"/>
        <v>42070</v>
      </c>
      <c r="H64" s="1" t="s">
        <v>41</v>
      </c>
      <c r="I64" s="1" t="s">
        <v>210</v>
      </c>
      <c r="J64" s="1">
        <v>30</v>
      </c>
      <c r="K64" s="1">
        <v>24</v>
      </c>
      <c r="L64" s="3">
        <v>0.2</v>
      </c>
      <c r="N64" t="s">
        <v>3763</v>
      </c>
      <c r="S64" s="4" t="e">
        <f t="shared" si="2"/>
        <v>#NUM!</v>
      </c>
      <c r="T64" s="4" t="str">
        <f t="shared" si="0"/>
        <v/>
      </c>
      <c r="U64" s="4" t="s">
        <v>3763</v>
      </c>
    </row>
    <row r="65" spans="1:21" x14ac:dyDescent="0.3">
      <c r="A65" t="s">
        <v>211</v>
      </c>
      <c r="B65" s="1" t="s">
        <v>131</v>
      </c>
      <c r="C65" s="1" t="s">
        <v>108</v>
      </c>
      <c r="D65" s="1" t="s">
        <v>19</v>
      </c>
      <c r="E65" s="2" t="s">
        <v>3000</v>
      </c>
      <c r="F65" s="2" t="b">
        <f t="shared" si="3"/>
        <v>0</v>
      </c>
      <c r="G65" s="2">
        <f t="shared" si="1"/>
        <v>42783</v>
      </c>
      <c r="H65" s="1" t="s">
        <v>55</v>
      </c>
      <c r="I65" s="1" t="s">
        <v>212</v>
      </c>
      <c r="J65" s="1">
        <v>800</v>
      </c>
      <c r="K65" s="1">
        <v>648</v>
      </c>
      <c r="L65" s="3">
        <v>0.19</v>
      </c>
      <c r="N65" t="s">
        <v>3000</v>
      </c>
      <c r="P65">
        <v>2</v>
      </c>
      <c r="Q65">
        <v>17</v>
      </c>
      <c r="R65">
        <v>2017</v>
      </c>
      <c r="S65" s="4">
        <f t="shared" si="2"/>
        <v>42783</v>
      </c>
      <c r="T65" s="4">
        <f t="shared" si="0"/>
        <v>42783</v>
      </c>
      <c r="U65" s="4">
        <v>42783</v>
      </c>
    </row>
    <row r="66" spans="1:21" x14ac:dyDescent="0.3">
      <c r="A66" t="s">
        <v>213</v>
      </c>
      <c r="B66" s="1" t="s">
        <v>39</v>
      </c>
      <c r="C66" s="1" t="s">
        <v>40</v>
      </c>
      <c r="D66" s="1" t="s">
        <v>35</v>
      </c>
      <c r="E66" s="2" t="s">
        <v>3001</v>
      </c>
      <c r="F66" s="2" t="b">
        <f t="shared" si="3"/>
        <v>0</v>
      </c>
      <c r="G66" s="2">
        <f t="shared" si="1"/>
        <v>41714</v>
      </c>
      <c r="H66" s="1" t="s">
        <v>61</v>
      </c>
      <c r="I66" s="1" t="s">
        <v>214</v>
      </c>
      <c r="J66" s="1">
        <v>1000</v>
      </c>
      <c r="K66" s="1">
        <v>990</v>
      </c>
      <c r="L66" s="3">
        <v>0.01</v>
      </c>
      <c r="N66" t="s">
        <v>3001</v>
      </c>
      <c r="P66">
        <v>3</v>
      </c>
      <c r="Q66">
        <v>16</v>
      </c>
      <c r="R66">
        <v>2014</v>
      </c>
      <c r="S66" s="4">
        <f t="shared" si="2"/>
        <v>41714</v>
      </c>
      <c r="T66" s="4">
        <f t="shared" si="0"/>
        <v>41714</v>
      </c>
      <c r="U66" s="4">
        <v>41714</v>
      </c>
    </row>
    <row r="67" spans="1:21" x14ac:dyDescent="0.3">
      <c r="A67" t="s">
        <v>215</v>
      </c>
      <c r="B67" s="1" t="s">
        <v>95</v>
      </c>
      <c r="C67" s="1" t="s">
        <v>96</v>
      </c>
      <c r="D67" s="1" t="s">
        <v>13</v>
      </c>
      <c r="E67" s="2" t="s">
        <v>3002</v>
      </c>
      <c r="F67" s="2" t="b">
        <f t="shared" si="3"/>
        <v>0</v>
      </c>
      <c r="G67" s="2">
        <f t="shared" si="1"/>
        <v>42848</v>
      </c>
      <c r="H67" s="1" t="s">
        <v>55</v>
      </c>
      <c r="I67" s="1" t="s">
        <v>216</v>
      </c>
      <c r="J67" s="1">
        <v>800</v>
      </c>
      <c r="K67" s="1">
        <v>720</v>
      </c>
      <c r="L67" s="3">
        <v>0.1</v>
      </c>
      <c r="N67" t="s">
        <v>3002</v>
      </c>
      <c r="P67">
        <v>4</v>
      </c>
      <c r="Q67">
        <v>23</v>
      </c>
      <c r="R67">
        <v>2017</v>
      </c>
      <c r="S67" s="4">
        <f t="shared" si="2"/>
        <v>42848</v>
      </c>
      <c r="T67" s="4">
        <f t="shared" ref="T67:T130" si="4">IF(AND(P67&lt;&gt;"",Q67&lt;&gt;"",R67&lt;&gt;""),IFERROR(DATE(R67,P67,Q67),""),"")</f>
        <v>42848</v>
      </c>
      <c r="U67" s="4">
        <v>42848</v>
      </c>
    </row>
    <row r="68" spans="1:21" x14ac:dyDescent="0.3">
      <c r="A68" t="s">
        <v>217</v>
      </c>
      <c r="B68" s="1" t="s">
        <v>39</v>
      </c>
      <c r="C68" s="1" t="s">
        <v>40</v>
      </c>
      <c r="D68" s="1" t="s">
        <v>35</v>
      </c>
      <c r="E68" s="2">
        <v>41741</v>
      </c>
      <c r="F68" s="2" t="b">
        <f t="shared" si="3"/>
        <v>1</v>
      </c>
      <c r="G68" s="2">
        <f t="shared" ref="G68:G131" si="5">IF(F68=TRUE,E68,U68)</f>
        <v>41741</v>
      </c>
      <c r="H68" s="1" t="s">
        <v>36</v>
      </c>
      <c r="I68" s="1" t="s">
        <v>42</v>
      </c>
      <c r="J68" s="1">
        <v>50</v>
      </c>
      <c r="K68" s="1">
        <v>39</v>
      </c>
      <c r="L68" s="3">
        <v>0.22</v>
      </c>
      <c r="N68" t="s">
        <v>3763</v>
      </c>
      <c r="S68" s="4" t="e">
        <f t="shared" ref="S68:S131" si="6">DATE(R68,P68,Q68)</f>
        <v>#NUM!</v>
      </c>
      <c r="T68" s="4" t="str">
        <f t="shared" si="4"/>
        <v/>
      </c>
      <c r="U68" s="4" t="s">
        <v>3763</v>
      </c>
    </row>
    <row r="69" spans="1:21" x14ac:dyDescent="0.3">
      <c r="A69" t="s">
        <v>218</v>
      </c>
      <c r="B69" s="1" t="s">
        <v>174</v>
      </c>
      <c r="C69" s="1" t="s">
        <v>175</v>
      </c>
      <c r="D69" s="1" t="s">
        <v>13</v>
      </c>
      <c r="E69" s="2">
        <v>42655</v>
      </c>
      <c r="F69" s="2" t="b">
        <f t="shared" ref="F69:F132" si="7">ISNUMBER(E69)</f>
        <v>1</v>
      </c>
      <c r="G69" s="2">
        <f t="shared" si="5"/>
        <v>42655</v>
      </c>
      <c r="H69" s="1" t="s">
        <v>30</v>
      </c>
      <c r="I69" s="1" t="s">
        <v>219</v>
      </c>
      <c r="J69" s="1">
        <v>150</v>
      </c>
      <c r="K69" s="1">
        <v>144</v>
      </c>
      <c r="L69" s="3">
        <v>0.04</v>
      </c>
      <c r="N69" t="s">
        <v>3763</v>
      </c>
      <c r="S69" s="4" t="e">
        <f t="shared" si="6"/>
        <v>#NUM!</v>
      </c>
      <c r="T69" s="4" t="str">
        <f t="shared" si="4"/>
        <v/>
      </c>
      <c r="U69" s="4" t="s">
        <v>3763</v>
      </c>
    </row>
    <row r="70" spans="1:21" x14ac:dyDescent="0.3">
      <c r="A70" t="s">
        <v>220</v>
      </c>
      <c r="B70" s="1" t="s">
        <v>221</v>
      </c>
      <c r="C70" s="1" t="s">
        <v>40</v>
      </c>
      <c r="D70" s="1" t="s">
        <v>35</v>
      </c>
      <c r="E70" s="2" t="s">
        <v>3003</v>
      </c>
      <c r="F70" s="2" t="b">
        <f t="shared" si="7"/>
        <v>0</v>
      </c>
      <c r="G70" s="2">
        <f t="shared" si="5"/>
        <v>42628</v>
      </c>
      <c r="H70" s="1" t="s">
        <v>25</v>
      </c>
      <c r="I70" s="1" t="s">
        <v>222</v>
      </c>
      <c r="J70" s="1">
        <v>700</v>
      </c>
      <c r="K70" s="1">
        <v>693</v>
      </c>
      <c r="L70" s="3">
        <v>0.01</v>
      </c>
      <c r="N70" t="s">
        <v>3003</v>
      </c>
      <c r="P70">
        <v>9</v>
      </c>
      <c r="Q70">
        <v>15</v>
      </c>
      <c r="R70">
        <v>2016</v>
      </c>
      <c r="S70" s="4">
        <f t="shared" si="6"/>
        <v>42628</v>
      </c>
      <c r="T70" s="4">
        <f t="shared" si="4"/>
        <v>42628</v>
      </c>
      <c r="U70" s="4">
        <v>42628</v>
      </c>
    </row>
    <row r="71" spans="1:21" x14ac:dyDescent="0.3">
      <c r="A71" t="s">
        <v>223</v>
      </c>
      <c r="B71" s="1" t="s">
        <v>224</v>
      </c>
      <c r="C71" s="1" t="s">
        <v>50</v>
      </c>
      <c r="D71" s="1" t="s">
        <v>24</v>
      </c>
      <c r="E71" s="2" t="s">
        <v>3004</v>
      </c>
      <c r="F71" s="2" t="b">
        <f t="shared" si="7"/>
        <v>0</v>
      </c>
      <c r="G71" s="2">
        <f t="shared" si="5"/>
        <v>43307</v>
      </c>
      <c r="H71" s="1" t="s">
        <v>36</v>
      </c>
      <c r="I71" s="1" t="s">
        <v>225</v>
      </c>
      <c r="J71" s="1">
        <v>50</v>
      </c>
      <c r="K71" s="1">
        <v>45</v>
      </c>
      <c r="L71" s="3">
        <v>0.1</v>
      </c>
      <c r="N71" t="s">
        <v>3004</v>
      </c>
      <c r="P71">
        <v>7</v>
      </c>
      <c r="Q71">
        <v>26</v>
      </c>
      <c r="R71">
        <v>2018</v>
      </c>
      <c r="S71" s="4">
        <f t="shared" si="6"/>
        <v>43307</v>
      </c>
      <c r="T71" s="4">
        <f t="shared" si="4"/>
        <v>43307</v>
      </c>
      <c r="U71" s="4">
        <v>43307</v>
      </c>
    </row>
    <row r="72" spans="1:21" x14ac:dyDescent="0.3">
      <c r="A72" t="s">
        <v>226</v>
      </c>
      <c r="B72" s="1" t="s">
        <v>227</v>
      </c>
      <c r="C72" s="1" t="s">
        <v>228</v>
      </c>
      <c r="D72" s="1" t="s">
        <v>24</v>
      </c>
      <c r="E72" s="2">
        <v>43110</v>
      </c>
      <c r="F72" s="2" t="b">
        <f t="shared" si="7"/>
        <v>1</v>
      </c>
      <c r="G72" s="2">
        <f t="shared" si="5"/>
        <v>43110</v>
      </c>
      <c r="H72" s="1" t="s">
        <v>61</v>
      </c>
      <c r="I72" s="1" t="s">
        <v>229</v>
      </c>
      <c r="J72" s="1">
        <v>1000</v>
      </c>
      <c r="K72" s="1">
        <v>570</v>
      </c>
      <c r="L72" s="3">
        <v>0.43</v>
      </c>
      <c r="N72" t="s">
        <v>3763</v>
      </c>
      <c r="S72" s="4" t="e">
        <f t="shared" si="6"/>
        <v>#NUM!</v>
      </c>
      <c r="T72" s="4" t="str">
        <f t="shared" si="4"/>
        <v/>
      </c>
      <c r="U72" s="4" t="s">
        <v>3763</v>
      </c>
    </row>
    <row r="73" spans="1:21" x14ac:dyDescent="0.3">
      <c r="A73" t="s">
        <v>230</v>
      </c>
      <c r="B73" s="1" t="s">
        <v>221</v>
      </c>
      <c r="C73" s="1" t="s">
        <v>40</v>
      </c>
      <c r="D73" s="1" t="s">
        <v>35</v>
      </c>
      <c r="E73" s="2" t="s">
        <v>3005</v>
      </c>
      <c r="F73" s="2" t="b">
        <f t="shared" si="7"/>
        <v>0</v>
      </c>
      <c r="G73" s="2">
        <f t="shared" si="5"/>
        <v>41689</v>
      </c>
      <c r="H73" s="1" t="s">
        <v>122</v>
      </c>
      <c r="I73" s="1" t="s">
        <v>231</v>
      </c>
      <c r="J73" s="1">
        <v>50</v>
      </c>
      <c r="K73" s="1">
        <v>40</v>
      </c>
      <c r="L73" s="3">
        <v>0.2</v>
      </c>
      <c r="N73" t="s">
        <v>3005</v>
      </c>
      <c r="P73">
        <v>2</v>
      </c>
      <c r="Q73">
        <v>19</v>
      </c>
      <c r="R73">
        <v>2014</v>
      </c>
      <c r="S73" s="4">
        <f t="shared" si="6"/>
        <v>41689</v>
      </c>
      <c r="T73" s="4">
        <f t="shared" si="4"/>
        <v>41689</v>
      </c>
      <c r="U73" s="4">
        <v>41689</v>
      </c>
    </row>
    <row r="74" spans="1:21" x14ac:dyDescent="0.3">
      <c r="A74" t="s">
        <v>232</v>
      </c>
      <c r="B74" s="1" t="s">
        <v>127</v>
      </c>
      <c r="C74" s="1" t="s">
        <v>128</v>
      </c>
      <c r="D74" s="1" t="s">
        <v>13</v>
      </c>
      <c r="E74" s="2" t="s">
        <v>3006</v>
      </c>
      <c r="F74" s="2" t="b">
        <f t="shared" si="7"/>
        <v>0</v>
      </c>
      <c r="G74" s="2">
        <f t="shared" si="5"/>
        <v>43056</v>
      </c>
      <c r="H74" s="1" t="s">
        <v>55</v>
      </c>
      <c r="I74" s="1" t="s">
        <v>233</v>
      </c>
      <c r="J74" s="1">
        <v>800</v>
      </c>
      <c r="K74" s="1">
        <v>608</v>
      </c>
      <c r="L74" s="3">
        <v>0.24</v>
      </c>
      <c r="N74" t="s">
        <v>3006</v>
      </c>
      <c r="P74">
        <v>11</v>
      </c>
      <c r="Q74">
        <v>17</v>
      </c>
      <c r="R74">
        <v>2017</v>
      </c>
      <c r="S74" s="4">
        <f t="shared" si="6"/>
        <v>43056</v>
      </c>
      <c r="T74" s="4">
        <f t="shared" si="4"/>
        <v>43056</v>
      </c>
      <c r="U74" s="4">
        <v>43056</v>
      </c>
    </row>
    <row r="75" spans="1:21" x14ac:dyDescent="0.3">
      <c r="A75" t="s">
        <v>234</v>
      </c>
      <c r="B75" s="1" t="s">
        <v>114</v>
      </c>
      <c r="C75" s="1" t="s">
        <v>54</v>
      </c>
      <c r="D75" s="1" t="s">
        <v>13</v>
      </c>
      <c r="E75" s="2" t="s">
        <v>3007</v>
      </c>
      <c r="F75" s="2" t="b">
        <f t="shared" si="7"/>
        <v>0</v>
      </c>
      <c r="G75" s="2">
        <f t="shared" si="5"/>
        <v>42568</v>
      </c>
      <c r="H75" s="1" t="s">
        <v>14</v>
      </c>
      <c r="I75" s="1" t="s">
        <v>235</v>
      </c>
      <c r="J75" s="1">
        <v>80</v>
      </c>
      <c r="K75" s="1">
        <v>76</v>
      </c>
      <c r="L75" s="3">
        <v>0.05</v>
      </c>
      <c r="N75" t="s">
        <v>3007</v>
      </c>
      <c r="P75">
        <v>7</v>
      </c>
      <c r="Q75">
        <v>17</v>
      </c>
      <c r="R75">
        <v>2016</v>
      </c>
      <c r="S75" s="4">
        <f t="shared" si="6"/>
        <v>42568</v>
      </c>
      <c r="T75" s="4">
        <f t="shared" si="4"/>
        <v>42568</v>
      </c>
      <c r="U75" s="4">
        <v>42568</v>
      </c>
    </row>
    <row r="76" spans="1:21" x14ac:dyDescent="0.3">
      <c r="A76" t="s">
        <v>236</v>
      </c>
      <c r="B76" s="1" t="s">
        <v>187</v>
      </c>
      <c r="C76" s="1" t="s">
        <v>188</v>
      </c>
      <c r="D76" s="1" t="s">
        <v>13</v>
      </c>
      <c r="E76" s="2" t="s">
        <v>3008</v>
      </c>
      <c r="F76" s="2" t="b">
        <f t="shared" si="7"/>
        <v>0</v>
      </c>
      <c r="G76" s="2">
        <f t="shared" si="5"/>
        <v>42854</v>
      </c>
      <c r="H76" s="1" t="s">
        <v>25</v>
      </c>
      <c r="I76" s="1" t="s">
        <v>237</v>
      </c>
      <c r="J76" s="1">
        <v>700</v>
      </c>
      <c r="K76" s="1">
        <v>679</v>
      </c>
      <c r="L76" s="3">
        <v>0.03</v>
      </c>
      <c r="N76" t="s">
        <v>3008</v>
      </c>
      <c r="P76">
        <v>4</v>
      </c>
      <c r="Q76">
        <v>29</v>
      </c>
      <c r="R76">
        <v>2017</v>
      </c>
      <c r="S76" s="4">
        <f t="shared" si="6"/>
        <v>42854</v>
      </c>
      <c r="T76" s="4">
        <f t="shared" si="4"/>
        <v>42854</v>
      </c>
      <c r="U76" s="4">
        <v>42854</v>
      </c>
    </row>
    <row r="77" spans="1:21" x14ac:dyDescent="0.3">
      <c r="A77" t="s">
        <v>238</v>
      </c>
      <c r="B77" s="1" t="s">
        <v>107</v>
      </c>
      <c r="C77" s="1" t="s">
        <v>108</v>
      </c>
      <c r="D77" s="1" t="s">
        <v>19</v>
      </c>
      <c r="E77" s="2" t="s">
        <v>3009</v>
      </c>
      <c r="F77" s="2" t="b">
        <f t="shared" si="7"/>
        <v>0</v>
      </c>
      <c r="G77" s="2">
        <f t="shared" si="5"/>
        <v>41866</v>
      </c>
      <c r="H77" s="1" t="s">
        <v>14</v>
      </c>
      <c r="I77" s="1" t="s">
        <v>239</v>
      </c>
      <c r="J77" s="1">
        <v>80</v>
      </c>
      <c r="K77" s="1">
        <v>58</v>
      </c>
      <c r="L77" s="3">
        <v>0.27500000000000002</v>
      </c>
      <c r="N77" t="s">
        <v>3009</v>
      </c>
      <c r="P77">
        <v>8</v>
      </c>
      <c r="Q77">
        <v>15</v>
      </c>
      <c r="R77">
        <v>2014</v>
      </c>
      <c r="S77" s="4">
        <f t="shared" si="6"/>
        <v>41866</v>
      </c>
      <c r="T77" s="4">
        <f t="shared" si="4"/>
        <v>41866</v>
      </c>
      <c r="U77" s="4">
        <v>41866</v>
      </c>
    </row>
    <row r="78" spans="1:21" x14ac:dyDescent="0.3">
      <c r="A78" t="s">
        <v>240</v>
      </c>
      <c r="B78" s="1" t="s">
        <v>241</v>
      </c>
      <c r="C78" s="1" t="s">
        <v>242</v>
      </c>
      <c r="D78" s="1" t="s">
        <v>13</v>
      </c>
      <c r="E78" s="2" t="s">
        <v>3010</v>
      </c>
      <c r="F78" s="2" t="b">
        <f t="shared" si="7"/>
        <v>0</v>
      </c>
      <c r="G78" s="2">
        <f t="shared" si="5"/>
        <v>43173</v>
      </c>
      <c r="H78" s="1" t="s">
        <v>41</v>
      </c>
      <c r="I78" s="1" t="s">
        <v>243</v>
      </c>
      <c r="J78" s="1">
        <v>30</v>
      </c>
      <c r="K78" s="1">
        <v>26</v>
      </c>
      <c r="L78" s="3">
        <v>0.1333</v>
      </c>
      <c r="N78" t="s">
        <v>3010</v>
      </c>
      <c r="P78">
        <v>3</v>
      </c>
      <c r="Q78">
        <v>14</v>
      </c>
      <c r="R78">
        <v>2018</v>
      </c>
      <c r="S78" s="4">
        <f t="shared" si="6"/>
        <v>43173</v>
      </c>
      <c r="T78" s="4">
        <f t="shared" si="4"/>
        <v>43173</v>
      </c>
      <c r="U78" s="4">
        <v>43173</v>
      </c>
    </row>
    <row r="79" spans="1:21" x14ac:dyDescent="0.3">
      <c r="A79" t="s">
        <v>244</v>
      </c>
      <c r="B79" s="1" t="s">
        <v>221</v>
      </c>
      <c r="C79" s="1" t="s">
        <v>40</v>
      </c>
      <c r="D79" s="1" t="s">
        <v>35</v>
      </c>
      <c r="E79" s="2">
        <v>42896</v>
      </c>
      <c r="F79" s="2" t="b">
        <f t="shared" si="7"/>
        <v>1</v>
      </c>
      <c r="G79" s="2">
        <f t="shared" si="5"/>
        <v>42896</v>
      </c>
      <c r="H79" s="1" t="s">
        <v>30</v>
      </c>
      <c r="I79" s="1" t="s">
        <v>245</v>
      </c>
      <c r="J79" s="1">
        <v>150</v>
      </c>
      <c r="K79" s="1">
        <v>140</v>
      </c>
      <c r="L79" s="3">
        <v>6.6699999999999995E-2</v>
      </c>
      <c r="N79" t="s">
        <v>3763</v>
      </c>
      <c r="S79" s="4" t="e">
        <f t="shared" si="6"/>
        <v>#NUM!</v>
      </c>
      <c r="T79" s="4" t="str">
        <f t="shared" si="4"/>
        <v/>
      </c>
      <c r="U79" s="4" t="s">
        <v>3763</v>
      </c>
    </row>
    <row r="80" spans="1:21" x14ac:dyDescent="0.3">
      <c r="A80" t="s">
        <v>246</v>
      </c>
      <c r="B80" s="1" t="s">
        <v>103</v>
      </c>
      <c r="C80" s="1" t="s">
        <v>71</v>
      </c>
      <c r="D80" s="1" t="s">
        <v>35</v>
      </c>
      <c r="E80" s="2" t="s">
        <v>3011</v>
      </c>
      <c r="F80" s="2" t="b">
        <f t="shared" si="7"/>
        <v>0</v>
      </c>
      <c r="G80" s="2">
        <f t="shared" si="5"/>
        <v>42613</v>
      </c>
      <c r="H80" s="1" t="s">
        <v>72</v>
      </c>
      <c r="I80" s="1" t="s">
        <v>247</v>
      </c>
      <c r="J80" s="1">
        <v>500</v>
      </c>
      <c r="K80" s="1">
        <v>490</v>
      </c>
      <c r="L80" s="3">
        <v>0.02</v>
      </c>
      <c r="N80" t="s">
        <v>3011</v>
      </c>
      <c r="P80">
        <v>8</v>
      </c>
      <c r="Q80">
        <v>31</v>
      </c>
      <c r="R80">
        <v>2016</v>
      </c>
      <c r="S80" s="4">
        <f t="shared" si="6"/>
        <v>42613</v>
      </c>
      <c r="T80" s="4">
        <f t="shared" si="4"/>
        <v>42613</v>
      </c>
      <c r="U80" s="4">
        <v>42613</v>
      </c>
    </row>
    <row r="81" spans="1:21" x14ac:dyDescent="0.3">
      <c r="A81" t="s">
        <v>248</v>
      </c>
      <c r="B81" s="1" t="s">
        <v>28</v>
      </c>
      <c r="C81" s="1" t="s">
        <v>29</v>
      </c>
      <c r="D81" s="1" t="s">
        <v>13</v>
      </c>
      <c r="E81" s="2" t="s">
        <v>3012</v>
      </c>
      <c r="F81" s="2" t="b">
        <f t="shared" si="7"/>
        <v>0</v>
      </c>
      <c r="G81" s="2">
        <f t="shared" si="5"/>
        <v>42239</v>
      </c>
      <c r="H81" s="1" t="s">
        <v>115</v>
      </c>
      <c r="I81" s="1" t="s">
        <v>249</v>
      </c>
      <c r="J81" s="1">
        <v>250</v>
      </c>
      <c r="K81" s="1">
        <v>155</v>
      </c>
      <c r="L81" s="3">
        <v>0.38</v>
      </c>
      <c r="N81" t="s">
        <v>3012</v>
      </c>
      <c r="P81">
        <v>8</v>
      </c>
      <c r="Q81">
        <v>23</v>
      </c>
      <c r="R81">
        <v>2015</v>
      </c>
      <c r="S81" s="4">
        <f t="shared" si="6"/>
        <v>42239</v>
      </c>
      <c r="T81" s="4">
        <f t="shared" si="4"/>
        <v>42239</v>
      </c>
      <c r="U81" s="4">
        <v>42239</v>
      </c>
    </row>
    <row r="82" spans="1:21" x14ac:dyDescent="0.3">
      <c r="A82" t="s">
        <v>250</v>
      </c>
      <c r="B82" s="1" t="s">
        <v>205</v>
      </c>
      <c r="C82" s="1" t="s">
        <v>206</v>
      </c>
      <c r="D82" s="1" t="s">
        <v>24</v>
      </c>
      <c r="E82" s="2" t="s">
        <v>3013</v>
      </c>
      <c r="F82" s="2" t="b">
        <f t="shared" si="7"/>
        <v>0</v>
      </c>
      <c r="G82" s="2">
        <f t="shared" si="5"/>
        <v>42240</v>
      </c>
      <c r="H82" s="1" t="s">
        <v>104</v>
      </c>
      <c r="I82" s="1" t="s">
        <v>251</v>
      </c>
      <c r="J82" s="1">
        <v>70</v>
      </c>
      <c r="K82" s="1">
        <v>48</v>
      </c>
      <c r="L82" s="3">
        <v>0.31430000000000002</v>
      </c>
      <c r="N82" t="s">
        <v>3013</v>
      </c>
      <c r="P82">
        <v>8</v>
      </c>
      <c r="Q82">
        <v>24</v>
      </c>
      <c r="R82">
        <v>2015</v>
      </c>
      <c r="S82" s="4">
        <f t="shared" si="6"/>
        <v>42240</v>
      </c>
      <c r="T82" s="4">
        <f t="shared" si="4"/>
        <v>42240</v>
      </c>
      <c r="U82" s="4">
        <v>42240</v>
      </c>
    </row>
    <row r="83" spans="1:21" x14ac:dyDescent="0.3">
      <c r="A83" t="s">
        <v>252</v>
      </c>
      <c r="B83" s="1" t="s">
        <v>44</v>
      </c>
      <c r="C83" s="1" t="s">
        <v>45</v>
      </c>
      <c r="D83" s="1" t="s">
        <v>24</v>
      </c>
      <c r="E83" s="2">
        <v>43408</v>
      </c>
      <c r="F83" s="2" t="b">
        <f t="shared" si="7"/>
        <v>1</v>
      </c>
      <c r="G83" s="2">
        <f t="shared" si="5"/>
        <v>43408</v>
      </c>
      <c r="H83" s="1" t="s">
        <v>104</v>
      </c>
      <c r="I83" s="1" t="s">
        <v>253</v>
      </c>
      <c r="J83" s="1">
        <v>70</v>
      </c>
      <c r="K83" s="1">
        <v>69</v>
      </c>
      <c r="L83" s="3">
        <v>1.43E-2</v>
      </c>
      <c r="N83" t="s">
        <v>3763</v>
      </c>
      <c r="S83" s="4" t="e">
        <f t="shared" si="6"/>
        <v>#NUM!</v>
      </c>
      <c r="T83" s="4" t="str">
        <f t="shared" si="4"/>
        <v/>
      </c>
      <c r="U83" s="4" t="s">
        <v>3763</v>
      </c>
    </row>
    <row r="84" spans="1:21" x14ac:dyDescent="0.3">
      <c r="A84" t="s">
        <v>254</v>
      </c>
      <c r="B84" s="1" t="s">
        <v>255</v>
      </c>
      <c r="C84" s="1" t="s">
        <v>256</v>
      </c>
      <c r="D84" s="1" t="s">
        <v>13</v>
      </c>
      <c r="E84" s="2" t="s">
        <v>3014</v>
      </c>
      <c r="F84" s="2" t="b">
        <f t="shared" si="7"/>
        <v>0</v>
      </c>
      <c r="G84" s="2">
        <f t="shared" si="5"/>
        <v>43085</v>
      </c>
      <c r="H84" s="1" t="s">
        <v>36</v>
      </c>
      <c r="I84" s="1" t="s">
        <v>257</v>
      </c>
      <c r="J84" s="1">
        <v>50</v>
      </c>
      <c r="K84" s="1">
        <v>47</v>
      </c>
      <c r="L84" s="3">
        <v>0.06</v>
      </c>
      <c r="N84" t="s">
        <v>3014</v>
      </c>
      <c r="P84">
        <v>12</v>
      </c>
      <c r="Q84">
        <v>16</v>
      </c>
      <c r="R84">
        <v>2017</v>
      </c>
      <c r="S84" s="4">
        <f t="shared" si="6"/>
        <v>43085</v>
      </c>
      <c r="T84" s="4">
        <f t="shared" si="4"/>
        <v>43085</v>
      </c>
      <c r="U84" s="4">
        <v>43085</v>
      </c>
    </row>
    <row r="85" spans="1:21" x14ac:dyDescent="0.3">
      <c r="A85" t="s">
        <v>258</v>
      </c>
      <c r="B85" s="1" t="s">
        <v>22</v>
      </c>
      <c r="C85" s="1" t="s">
        <v>23</v>
      </c>
      <c r="D85" s="1" t="s">
        <v>24</v>
      </c>
      <c r="E85" s="2" t="s">
        <v>3015</v>
      </c>
      <c r="F85" s="2" t="b">
        <f t="shared" si="7"/>
        <v>0</v>
      </c>
      <c r="G85" s="2">
        <f t="shared" si="5"/>
        <v>41968</v>
      </c>
      <c r="H85" s="1" t="s">
        <v>115</v>
      </c>
      <c r="I85" s="1" t="s">
        <v>26</v>
      </c>
      <c r="J85" s="1">
        <v>250</v>
      </c>
      <c r="K85" s="1">
        <v>195</v>
      </c>
      <c r="L85" s="3">
        <v>0.22</v>
      </c>
      <c r="N85" t="s">
        <v>3015</v>
      </c>
      <c r="P85">
        <v>11</v>
      </c>
      <c r="Q85">
        <v>25</v>
      </c>
      <c r="R85">
        <v>2014</v>
      </c>
      <c r="S85" s="4">
        <f t="shared" si="6"/>
        <v>41968</v>
      </c>
      <c r="T85" s="4">
        <f t="shared" si="4"/>
        <v>41968</v>
      </c>
      <c r="U85" s="4">
        <v>41968</v>
      </c>
    </row>
    <row r="86" spans="1:21" x14ac:dyDescent="0.3">
      <c r="A86" t="s">
        <v>259</v>
      </c>
      <c r="B86" s="1" t="s">
        <v>221</v>
      </c>
      <c r="C86" s="1" t="s">
        <v>40</v>
      </c>
      <c r="D86" s="1" t="s">
        <v>35</v>
      </c>
      <c r="E86" s="2">
        <v>43293</v>
      </c>
      <c r="F86" s="2" t="b">
        <f t="shared" si="7"/>
        <v>1</v>
      </c>
      <c r="G86" s="2">
        <f t="shared" si="5"/>
        <v>43293</v>
      </c>
      <c r="H86" s="1" t="s">
        <v>55</v>
      </c>
      <c r="I86" s="1" t="s">
        <v>260</v>
      </c>
      <c r="J86" s="1">
        <v>800</v>
      </c>
      <c r="K86" s="1">
        <v>512</v>
      </c>
      <c r="L86" s="3">
        <v>0.36</v>
      </c>
      <c r="N86" t="s">
        <v>3763</v>
      </c>
      <c r="S86" s="4" t="e">
        <f t="shared" si="6"/>
        <v>#NUM!</v>
      </c>
      <c r="T86" s="4" t="str">
        <f t="shared" si="4"/>
        <v/>
      </c>
      <c r="U86" s="4" t="s">
        <v>3763</v>
      </c>
    </row>
    <row r="87" spans="1:21" x14ac:dyDescent="0.3">
      <c r="A87" t="s">
        <v>261</v>
      </c>
      <c r="B87" s="1" t="s">
        <v>221</v>
      </c>
      <c r="C87" s="1" t="s">
        <v>40</v>
      </c>
      <c r="D87" s="1" t="s">
        <v>35</v>
      </c>
      <c r="E87" s="2" t="s">
        <v>3016</v>
      </c>
      <c r="F87" s="2" t="b">
        <f t="shared" si="7"/>
        <v>0</v>
      </c>
      <c r="G87" s="2">
        <f t="shared" si="5"/>
        <v>43175</v>
      </c>
      <c r="H87" s="1" t="s">
        <v>14</v>
      </c>
      <c r="I87" s="1" t="s">
        <v>262</v>
      </c>
      <c r="J87" s="1">
        <v>80</v>
      </c>
      <c r="K87" s="1">
        <v>79</v>
      </c>
      <c r="L87" s="3">
        <v>1.2500000000000001E-2</v>
      </c>
      <c r="N87" t="s">
        <v>3016</v>
      </c>
      <c r="P87">
        <v>3</v>
      </c>
      <c r="Q87">
        <v>16</v>
      </c>
      <c r="R87">
        <v>2018</v>
      </c>
      <c r="S87" s="4">
        <f t="shared" si="6"/>
        <v>43175</v>
      </c>
      <c r="T87" s="4">
        <f t="shared" si="4"/>
        <v>43175</v>
      </c>
      <c r="U87" s="4">
        <v>43175</v>
      </c>
    </row>
    <row r="88" spans="1:21" x14ac:dyDescent="0.3">
      <c r="A88" t="s">
        <v>263</v>
      </c>
      <c r="B88" s="1" t="s">
        <v>264</v>
      </c>
      <c r="C88" s="1" t="s">
        <v>265</v>
      </c>
      <c r="D88" s="1" t="s">
        <v>13</v>
      </c>
      <c r="E88" s="2" t="s">
        <v>3017</v>
      </c>
      <c r="F88" s="2" t="b">
        <f t="shared" si="7"/>
        <v>0</v>
      </c>
      <c r="G88" s="2">
        <f t="shared" si="5"/>
        <v>42169</v>
      </c>
      <c r="H88" s="1" t="s">
        <v>104</v>
      </c>
      <c r="I88" s="1" t="s">
        <v>266</v>
      </c>
      <c r="J88" s="1">
        <v>70</v>
      </c>
      <c r="K88" s="1">
        <v>50</v>
      </c>
      <c r="L88" s="3">
        <v>0.28570000000000001</v>
      </c>
      <c r="N88" t="s">
        <v>3017</v>
      </c>
      <c r="P88">
        <v>6</v>
      </c>
      <c r="Q88">
        <v>14</v>
      </c>
      <c r="R88">
        <v>2015</v>
      </c>
      <c r="S88" s="4">
        <f t="shared" si="6"/>
        <v>42169</v>
      </c>
      <c r="T88" s="4">
        <f t="shared" si="4"/>
        <v>42169</v>
      </c>
      <c r="U88" s="4">
        <v>42169</v>
      </c>
    </row>
    <row r="89" spans="1:21" x14ac:dyDescent="0.3">
      <c r="A89" t="s">
        <v>267</v>
      </c>
      <c r="B89" s="1" t="s">
        <v>131</v>
      </c>
      <c r="C89" s="1" t="s">
        <v>108</v>
      </c>
      <c r="D89" s="1" t="s">
        <v>19</v>
      </c>
      <c r="E89" s="2" t="s">
        <v>2993</v>
      </c>
      <c r="F89" s="2" t="b">
        <f t="shared" si="7"/>
        <v>0</v>
      </c>
      <c r="G89" s="2">
        <f t="shared" si="5"/>
        <v>41835</v>
      </c>
      <c r="H89" s="1" t="s">
        <v>30</v>
      </c>
      <c r="I89" s="1" t="s">
        <v>268</v>
      </c>
      <c r="J89" s="1">
        <v>150</v>
      </c>
      <c r="K89" s="1">
        <v>150</v>
      </c>
      <c r="L89" s="3">
        <v>0</v>
      </c>
      <c r="N89" t="s">
        <v>2993</v>
      </c>
      <c r="P89">
        <v>7</v>
      </c>
      <c r="Q89">
        <v>15</v>
      </c>
      <c r="R89">
        <v>2014</v>
      </c>
      <c r="S89" s="4">
        <f t="shared" si="6"/>
        <v>41835</v>
      </c>
      <c r="T89" s="4">
        <f t="shared" si="4"/>
        <v>41835</v>
      </c>
      <c r="U89" s="4">
        <v>41835</v>
      </c>
    </row>
    <row r="90" spans="1:21" x14ac:dyDescent="0.3">
      <c r="A90" t="s">
        <v>269</v>
      </c>
      <c r="B90" s="1" t="s">
        <v>270</v>
      </c>
      <c r="C90" s="1" t="s">
        <v>271</v>
      </c>
      <c r="D90" s="1" t="s">
        <v>35</v>
      </c>
      <c r="E90" s="2" t="s">
        <v>3018</v>
      </c>
      <c r="F90" s="2" t="b">
        <f t="shared" si="7"/>
        <v>0</v>
      </c>
      <c r="G90" s="2">
        <f t="shared" si="5"/>
        <v>42482</v>
      </c>
      <c r="H90" s="1" t="s">
        <v>104</v>
      </c>
      <c r="I90" s="1" t="s">
        <v>272</v>
      </c>
      <c r="J90" s="1">
        <v>70</v>
      </c>
      <c r="K90" s="1">
        <v>64</v>
      </c>
      <c r="L90" s="3">
        <v>8.5699999999999998E-2</v>
      </c>
      <c r="N90" t="s">
        <v>3018</v>
      </c>
      <c r="P90">
        <v>4</v>
      </c>
      <c r="Q90">
        <v>22</v>
      </c>
      <c r="R90">
        <v>2016</v>
      </c>
      <c r="S90" s="4">
        <f t="shared" si="6"/>
        <v>42482</v>
      </c>
      <c r="T90" s="4">
        <f t="shared" si="4"/>
        <v>42482</v>
      </c>
      <c r="U90" s="4">
        <v>42482</v>
      </c>
    </row>
    <row r="91" spans="1:21" x14ac:dyDescent="0.3">
      <c r="A91" t="s">
        <v>273</v>
      </c>
      <c r="B91" s="1" t="s">
        <v>170</v>
      </c>
      <c r="C91" s="1" t="s">
        <v>171</v>
      </c>
      <c r="D91" s="1" t="s">
        <v>13</v>
      </c>
      <c r="E91" s="2">
        <v>42066</v>
      </c>
      <c r="F91" s="2" t="b">
        <f t="shared" si="7"/>
        <v>1</v>
      </c>
      <c r="G91" s="2">
        <f t="shared" si="5"/>
        <v>42066</v>
      </c>
      <c r="H91" s="1" t="s">
        <v>36</v>
      </c>
      <c r="I91" s="1" t="s">
        <v>274</v>
      </c>
      <c r="J91" s="1">
        <v>50</v>
      </c>
      <c r="K91" s="1">
        <v>46</v>
      </c>
      <c r="L91" s="3">
        <v>0.08</v>
      </c>
      <c r="N91" t="s">
        <v>3763</v>
      </c>
      <c r="S91" s="4" t="e">
        <f t="shared" si="6"/>
        <v>#NUM!</v>
      </c>
      <c r="T91" s="4" t="str">
        <f t="shared" si="4"/>
        <v/>
      </c>
      <c r="U91" s="4" t="s">
        <v>3763</v>
      </c>
    </row>
    <row r="92" spans="1:21" x14ac:dyDescent="0.3">
      <c r="A92" t="s">
        <v>275</v>
      </c>
      <c r="B92" s="1" t="s">
        <v>11</v>
      </c>
      <c r="C92" s="1" t="s">
        <v>12</v>
      </c>
      <c r="D92" s="1" t="s">
        <v>13</v>
      </c>
      <c r="E92" s="2" t="s">
        <v>3019</v>
      </c>
      <c r="F92" s="2" t="b">
        <f t="shared" si="7"/>
        <v>0</v>
      </c>
      <c r="G92" s="2">
        <f t="shared" si="5"/>
        <v>41963</v>
      </c>
      <c r="H92" s="1" t="s">
        <v>61</v>
      </c>
      <c r="I92" s="1" t="s">
        <v>276</v>
      </c>
      <c r="J92" s="1">
        <v>1000</v>
      </c>
      <c r="K92" s="1">
        <v>880</v>
      </c>
      <c r="L92" s="3">
        <v>0.12</v>
      </c>
      <c r="N92" t="s">
        <v>3019</v>
      </c>
      <c r="P92">
        <v>11</v>
      </c>
      <c r="Q92">
        <v>20</v>
      </c>
      <c r="R92">
        <v>2014</v>
      </c>
      <c r="S92" s="4">
        <f t="shared" si="6"/>
        <v>41963</v>
      </c>
      <c r="T92" s="4">
        <f t="shared" si="4"/>
        <v>41963</v>
      </c>
      <c r="U92" s="4">
        <v>41963</v>
      </c>
    </row>
    <row r="93" spans="1:21" x14ac:dyDescent="0.3">
      <c r="A93" t="s">
        <v>277</v>
      </c>
      <c r="B93" s="1" t="s">
        <v>227</v>
      </c>
      <c r="C93" s="1" t="s">
        <v>228</v>
      </c>
      <c r="D93" s="1" t="s">
        <v>24</v>
      </c>
      <c r="E93" s="2">
        <v>41642</v>
      </c>
      <c r="F93" s="2" t="b">
        <f t="shared" si="7"/>
        <v>1</v>
      </c>
      <c r="G93" s="2">
        <f t="shared" si="5"/>
        <v>41642</v>
      </c>
      <c r="H93" s="1" t="s">
        <v>55</v>
      </c>
      <c r="I93" s="1" t="s">
        <v>278</v>
      </c>
      <c r="J93" s="1">
        <v>800</v>
      </c>
      <c r="K93" s="1">
        <v>712</v>
      </c>
      <c r="L93" s="3">
        <v>0.11</v>
      </c>
      <c r="N93" t="s">
        <v>3763</v>
      </c>
      <c r="S93" s="4" t="e">
        <f t="shared" si="6"/>
        <v>#NUM!</v>
      </c>
      <c r="T93" s="4" t="str">
        <f t="shared" si="4"/>
        <v/>
      </c>
      <c r="U93" s="4" t="s">
        <v>3763</v>
      </c>
    </row>
    <row r="94" spans="1:21" x14ac:dyDescent="0.3">
      <c r="A94" t="s">
        <v>279</v>
      </c>
      <c r="B94" s="1" t="s">
        <v>64</v>
      </c>
      <c r="C94" s="1" t="s">
        <v>65</v>
      </c>
      <c r="D94" s="1" t="s">
        <v>35</v>
      </c>
      <c r="E94" s="2" t="s">
        <v>3020</v>
      </c>
      <c r="F94" s="2" t="b">
        <f t="shared" si="7"/>
        <v>0</v>
      </c>
      <c r="G94" s="2">
        <f t="shared" si="5"/>
        <v>42931</v>
      </c>
      <c r="H94" s="1" t="s">
        <v>61</v>
      </c>
      <c r="I94" s="1" t="s">
        <v>280</v>
      </c>
      <c r="J94" s="1">
        <v>1000</v>
      </c>
      <c r="K94" s="1">
        <v>740</v>
      </c>
      <c r="L94" s="3">
        <v>0.26</v>
      </c>
      <c r="N94" t="s">
        <v>3020</v>
      </c>
      <c r="P94">
        <v>7</v>
      </c>
      <c r="Q94">
        <v>15</v>
      </c>
      <c r="R94">
        <v>2017</v>
      </c>
      <c r="S94" s="4">
        <f t="shared" si="6"/>
        <v>42931</v>
      </c>
      <c r="T94" s="4">
        <f t="shared" si="4"/>
        <v>42931</v>
      </c>
      <c r="U94" s="4">
        <v>42931</v>
      </c>
    </row>
    <row r="95" spans="1:21" x14ac:dyDescent="0.3">
      <c r="A95" t="s">
        <v>281</v>
      </c>
      <c r="B95" s="1" t="s">
        <v>81</v>
      </c>
      <c r="C95" s="1" t="s">
        <v>82</v>
      </c>
      <c r="D95" s="1" t="s">
        <v>13</v>
      </c>
      <c r="E95" s="2" t="s">
        <v>3021</v>
      </c>
      <c r="F95" s="2" t="b">
        <f t="shared" si="7"/>
        <v>0</v>
      </c>
      <c r="G95" s="2">
        <f t="shared" si="5"/>
        <v>42050</v>
      </c>
      <c r="H95" s="1" t="s">
        <v>122</v>
      </c>
      <c r="I95" s="1" t="s">
        <v>282</v>
      </c>
      <c r="J95" s="1">
        <v>50</v>
      </c>
      <c r="K95" s="1">
        <v>35</v>
      </c>
      <c r="L95" s="3">
        <v>0.3</v>
      </c>
      <c r="N95" t="s">
        <v>3021</v>
      </c>
      <c r="P95">
        <v>2</v>
      </c>
      <c r="Q95">
        <v>15</v>
      </c>
      <c r="R95">
        <v>2015</v>
      </c>
      <c r="S95" s="4">
        <f t="shared" si="6"/>
        <v>42050</v>
      </c>
      <c r="T95" s="4">
        <f t="shared" si="4"/>
        <v>42050</v>
      </c>
      <c r="U95" s="4">
        <v>42050</v>
      </c>
    </row>
    <row r="96" spans="1:21" x14ac:dyDescent="0.3">
      <c r="A96" t="s">
        <v>283</v>
      </c>
      <c r="B96" s="1" t="s">
        <v>95</v>
      </c>
      <c r="C96" s="1" t="s">
        <v>96</v>
      </c>
      <c r="D96" s="1" t="s">
        <v>13</v>
      </c>
      <c r="E96" s="2" t="s">
        <v>3022</v>
      </c>
      <c r="F96" s="2" t="b">
        <f t="shared" si="7"/>
        <v>0</v>
      </c>
      <c r="G96" s="2">
        <f t="shared" si="5"/>
        <v>43066</v>
      </c>
      <c r="H96" s="1" t="s">
        <v>55</v>
      </c>
      <c r="I96" s="1" t="s">
        <v>97</v>
      </c>
      <c r="J96" s="1">
        <v>800</v>
      </c>
      <c r="K96" s="1">
        <v>704</v>
      </c>
      <c r="L96" s="3">
        <v>0.12</v>
      </c>
      <c r="N96" t="s">
        <v>3022</v>
      </c>
      <c r="P96">
        <v>11</v>
      </c>
      <c r="Q96">
        <v>27</v>
      </c>
      <c r="R96">
        <v>2017</v>
      </c>
      <c r="S96" s="4">
        <f t="shared" si="6"/>
        <v>43066</v>
      </c>
      <c r="T96" s="4">
        <f t="shared" si="4"/>
        <v>43066</v>
      </c>
      <c r="U96" s="4">
        <v>43066</v>
      </c>
    </row>
    <row r="97" spans="1:21" x14ac:dyDescent="0.3">
      <c r="A97" t="s">
        <v>284</v>
      </c>
      <c r="B97" s="1" t="s">
        <v>91</v>
      </c>
      <c r="C97" s="1" t="s">
        <v>92</v>
      </c>
      <c r="D97" s="1" t="s">
        <v>35</v>
      </c>
      <c r="E97" s="2">
        <v>43316</v>
      </c>
      <c r="F97" s="2" t="b">
        <f t="shared" si="7"/>
        <v>1</v>
      </c>
      <c r="G97" s="2">
        <f t="shared" si="5"/>
        <v>43316</v>
      </c>
      <c r="H97" s="1" t="s">
        <v>61</v>
      </c>
      <c r="I97" s="1" t="s">
        <v>285</v>
      </c>
      <c r="J97" s="1">
        <v>1000</v>
      </c>
      <c r="K97" s="1">
        <v>930</v>
      </c>
      <c r="L97" s="3">
        <v>7.0000000000000007E-2</v>
      </c>
      <c r="N97" t="s">
        <v>3763</v>
      </c>
      <c r="S97" s="4" t="e">
        <f t="shared" si="6"/>
        <v>#NUM!</v>
      </c>
      <c r="T97" s="4" t="str">
        <f t="shared" si="4"/>
        <v/>
      </c>
      <c r="U97" s="4" t="s">
        <v>3763</v>
      </c>
    </row>
    <row r="98" spans="1:21" x14ac:dyDescent="0.3">
      <c r="A98" t="s">
        <v>286</v>
      </c>
      <c r="B98" s="1" t="s">
        <v>241</v>
      </c>
      <c r="C98" s="1" t="s">
        <v>242</v>
      </c>
      <c r="D98" s="1" t="s">
        <v>13</v>
      </c>
      <c r="E98" s="2" t="s">
        <v>3023</v>
      </c>
      <c r="F98" s="2" t="b">
        <f t="shared" si="7"/>
        <v>0</v>
      </c>
      <c r="G98" s="2">
        <f t="shared" si="5"/>
        <v>42916</v>
      </c>
      <c r="H98" s="1" t="s">
        <v>46</v>
      </c>
      <c r="I98" s="1" t="s">
        <v>287</v>
      </c>
      <c r="J98" s="1">
        <v>500</v>
      </c>
      <c r="K98" s="1">
        <v>455</v>
      </c>
      <c r="L98" s="3">
        <v>0.09</v>
      </c>
      <c r="N98" t="s">
        <v>3023</v>
      </c>
      <c r="P98">
        <v>6</v>
      </c>
      <c r="Q98">
        <v>30</v>
      </c>
      <c r="R98">
        <v>2017</v>
      </c>
      <c r="S98" s="4">
        <f t="shared" si="6"/>
        <v>42916</v>
      </c>
      <c r="T98" s="4">
        <f t="shared" si="4"/>
        <v>42916</v>
      </c>
      <c r="U98" s="4">
        <v>42916</v>
      </c>
    </row>
    <row r="99" spans="1:21" x14ac:dyDescent="0.3">
      <c r="A99" t="s">
        <v>288</v>
      </c>
      <c r="B99" s="1" t="s">
        <v>289</v>
      </c>
      <c r="C99" s="1" t="s">
        <v>108</v>
      </c>
      <c r="D99" s="1" t="s">
        <v>19</v>
      </c>
      <c r="E99" s="2" t="s">
        <v>3024</v>
      </c>
      <c r="F99" s="2" t="b">
        <f t="shared" si="7"/>
        <v>0</v>
      </c>
      <c r="G99" s="2">
        <f t="shared" si="5"/>
        <v>41941</v>
      </c>
      <c r="H99" s="1" t="s">
        <v>25</v>
      </c>
      <c r="I99" s="1" t="s">
        <v>290</v>
      </c>
      <c r="J99" s="1">
        <v>700</v>
      </c>
      <c r="K99" s="1">
        <v>700</v>
      </c>
      <c r="L99" s="3">
        <v>0</v>
      </c>
      <c r="N99" t="s">
        <v>3024</v>
      </c>
      <c r="P99">
        <v>10</v>
      </c>
      <c r="Q99">
        <v>29</v>
      </c>
      <c r="R99">
        <v>2014</v>
      </c>
      <c r="S99" s="4">
        <f t="shared" si="6"/>
        <v>41941</v>
      </c>
      <c r="T99" s="4">
        <f t="shared" si="4"/>
        <v>41941</v>
      </c>
      <c r="U99" s="4">
        <v>41941</v>
      </c>
    </row>
    <row r="100" spans="1:21" x14ac:dyDescent="0.3">
      <c r="A100" t="s">
        <v>291</v>
      </c>
      <c r="B100" s="1" t="s">
        <v>270</v>
      </c>
      <c r="C100" s="1" t="s">
        <v>271</v>
      </c>
      <c r="D100" s="1" t="s">
        <v>35</v>
      </c>
      <c r="E100" s="2">
        <v>42686</v>
      </c>
      <c r="F100" s="2" t="b">
        <f t="shared" si="7"/>
        <v>1</v>
      </c>
      <c r="G100" s="2">
        <f t="shared" si="5"/>
        <v>42686</v>
      </c>
      <c r="H100" s="1" t="s">
        <v>14</v>
      </c>
      <c r="I100" s="1" t="s">
        <v>272</v>
      </c>
      <c r="J100" s="1">
        <v>80</v>
      </c>
      <c r="K100" s="1">
        <v>77</v>
      </c>
      <c r="L100" s="3">
        <v>3.7499999999999999E-2</v>
      </c>
      <c r="N100" t="s">
        <v>3763</v>
      </c>
      <c r="S100" s="4" t="e">
        <f t="shared" si="6"/>
        <v>#NUM!</v>
      </c>
      <c r="T100" s="4" t="str">
        <f t="shared" si="4"/>
        <v/>
      </c>
      <c r="U100" s="4" t="s">
        <v>3763</v>
      </c>
    </row>
    <row r="101" spans="1:21" x14ac:dyDescent="0.3">
      <c r="A101" t="s">
        <v>292</v>
      </c>
      <c r="B101" s="1" t="s">
        <v>11</v>
      </c>
      <c r="C101" s="1" t="s">
        <v>12</v>
      </c>
      <c r="D101" s="1" t="s">
        <v>13</v>
      </c>
      <c r="E101" s="2" t="s">
        <v>3025</v>
      </c>
      <c r="F101" s="2" t="b">
        <f t="shared" si="7"/>
        <v>0</v>
      </c>
      <c r="G101" s="2">
        <f t="shared" si="5"/>
        <v>43217</v>
      </c>
      <c r="H101" s="1" t="s">
        <v>41</v>
      </c>
      <c r="I101" s="1" t="s">
        <v>293</v>
      </c>
      <c r="J101" s="1">
        <v>30</v>
      </c>
      <c r="K101" s="1">
        <v>29</v>
      </c>
      <c r="L101" s="3">
        <v>3.3300000000000003E-2</v>
      </c>
      <c r="N101" t="s">
        <v>3025</v>
      </c>
      <c r="P101">
        <v>4</v>
      </c>
      <c r="Q101">
        <v>27</v>
      </c>
      <c r="R101">
        <v>2018</v>
      </c>
      <c r="S101" s="4">
        <f t="shared" si="6"/>
        <v>43217</v>
      </c>
      <c r="T101" s="4">
        <f t="shared" si="4"/>
        <v>43217</v>
      </c>
      <c r="U101" s="4">
        <v>43217</v>
      </c>
    </row>
    <row r="102" spans="1:21" x14ac:dyDescent="0.3">
      <c r="A102" t="s">
        <v>294</v>
      </c>
      <c r="B102" s="1" t="s">
        <v>111</v>
      </c>
      <c r="C102" s="1" t="s">
        <v>82</v>
      </c>
      <c r="D102" s="1" t="s">
        <v>13</v>
      </c>
      <c r="E102" s="2">
        <v>42859</v>
      </c>
      <c r="F102" s="2" t="b">
        <f t="shared" si="7"/>
        <v>1</v>
      </c>
      <c r="G102" s="2">
        <f t="shared" si="5"/>
        <v>42859</v>
      </c>
      <c r="H102" s="1" t="s">
        <v>122</v>
      </c>
      <c r="I102" s="1" t="s">
        <v>295</v>
      </c>
      <c r="J102" s="1">
        <v>50</v>
      </c>
      <c r="K102" s="1">
        <v>50</v>
      </c>
      <c r="L102" s="3">
        <v>0</v>
      </c>
      <c r="N102" t="s">
        <v>3763</v>
      </c>
      <c r="S102" s="4" t="e">
        <f t="shared" si="6"/>
        <v>#NUM!</v>
      </c>
      <c r="T102" s="4" t="str">
        <f t="shared" si="4"/>
        <v/>
      </c>
      <c r="U102" s="4" t="s">
        <v>3763</v>
      </c>
    </row>
    <row r="103" spans="1:21" x14ac:dyDescent="0.3">
      <c r="A103" t="s">
        <v>296</v>
      </c>
      <c r="B103" s="1" t="s">
        <v>11</v>
      </c>
      <c r="C103" s="1" t="s">
        <v>12</v>
      </c>
      <c r="D103" s="1" t="s">
        <v>13</v>
      </c>
      <c r="E103" s="2" t="s">
        <v>3026</v>
      </c>
      <c r="F103" s="2" t="b">
        <f t="shared" si="7"/>
        <v>0</v>
      </c>
      <c r="G103" s="2">
        <f t="shared" si="5"/>
        <v>43207</v>
      </c>
      <c r="H103" s="1" t="s">
        <v>25</v>
      </c>
      <c r="I103" s="1" t="s">
        <v>193</v>
      </c>
      <c r="J103" s="1">
        <v>700</v>
      </c>
      <c r="K103" s="1">
        <v>679</v>
      </c>
      <c r="L103" s="3">
        <v>0.03</v>
      </c>
      <c r="N103" t="s">
        <v>3026</v>
      </c>
      <c r="P103">
        <v>4</v>
      </c>
      <c r="Q103">
        <v>17</v>
      </c>
      <c r="R103">
        <v>2018</v>
      </c>
      <c r="S103" s="4">
        <f t="shared" si="6"/>
        <v>43207</v>
      </c>
      <c r="T103" s="4">
        <f t="shared" si="4"/>
        <v>43207</v>
      </c>
      <c r="U103" s="4">
        <v>43207</v>
      </c>
    </row>
    <row r="104" spans="1:21" x14ac:dyDescent="0.3">
      <c r="A104" t="s">
        <v>297</v>
      </c>
      <c r="B104" s="1" t="s">
        <v>39</v>
      </c>
      <c r="C104" s="1" t="s">
        <v>40</v>
      </c>
      <c r="D104" s="1" t="s">
        <v>35</v>
      </c>
      <c r="E104" s="2" t="s">
        <v>3027</v>
      </c>
      <c r="F104" s="2" t="b">
        <f t="shared" si="7"/>
        <v>0</v>
      </c>
      <c r="G104" s="2">
        <f t="shared" si="5"/>
        <v>41833</v>
      </c>
      <c r="H104" s="1" t="s">
        <v>122</v>
      </c>
      <c r="I104" s="1" t="s">
        <v>42</v>
      </c>
      <c r="J104" s="1">
        <v>50</v>
      </c>
      <c r="K104" s="1">
        <v>45</v>
      </c>
      <c r="L104" s="3">
        <v>0.1</v>
      </c>
      <c r="N104" t="s">
        <v>3027</v>
      </c>
      <c r="P104">
        <v>7</v>
      </c>
      <c r="Q104">
        <v>13</v>
      </c>
      <c r="R104">
        <v>2014</v>
      </c>
      <c r="S104" s="4">
        <f t="shared" si="6"/>
        <v>41833</v>
      </c>
      <c r="T104" s="4">
        <f t="shared" si="4"/>
        <v>41833</v>
      </c>
      <c r="U104" s="4">
        <v>41833</v>
      </c>
    </row>
    <row r="105" spans="1:21" x14ac:dyDescent="0.3">
      <c r="A105" t="s">
        <v>298</v>
      </c>
      <c r="B105" s="1" t="s">
        <v>64</v>
      </c>
      <c r="C105" s="1" t="s">
        <v>65</v>
      </c>
      <c r="D105" s="1" t="s">
        <v>35</v>
      </c>
      <c r="E105" s="2" t="s">
        <v>3028</v>
      </c>
      <c r="F105" s="2" t="b">
        <f t="shared" si="7"/>
        <v>0</v>
      </c>
      <c r="G105" s="2">
        <f t="shared" si="5"/>
        <v>42446</v>
      </c>
      <c r="H105" s="1" t="s">
        <v>41</v>
      </c>
      <c r="I105" s="1" t="s">
        <v>299</v>
      </c>
      <c r="J105" s="1">
        <v>30</v>
      </c>
      <c r="K105" s="1">
        <v>30</v>
      </c>
      <c r="L105" s="3">
        <v>0</v>
      </c>
      <c r="N105" t="s">
        <v>3028</v>
      </c>
      <c r="P105">
        <v>3</v>
      </c>
      <c r="Q105">
        <v>17</v>
      </c>
      <c r="R105">
        <v>2016</v>
      </c>
      <c r="S105" s="4">
        <f t="shared" si="6"/>
        <v>42446</v>
      </c>
      <c r="T105" s="4">
        <f t="shared" si="4"/>
        <v>42446</v>
      </c>
      <c r="U105" s="4">
        <v>42446</v>
      </c>
    </row>
    <row r="106" spans="1:21" x14ac:dyDescent="0.3">
      <c r="A106" t="s">
        <v>300</v>
      </c>
      <c r="B106" s="1" t="s">
        <v>44</v>
      </c>
      <c r="C106" s="1" t="s">
        <v>45</v>
      </c>
      <c r="D106" s="1" t="s">
        <v>24</v>
      </c>
      <c r="E106" s="2" t="s">
        <v>3029</v>
      </c>
      <c r="F106" s="2" t="b">
        <f t="shared" si="7"/>
        <v>0</v>
      </c>
      <c r="G106" s="2">
        <f t="shared" si="5"/>
        <v>43305</v>
      </c>
      <c r="H106" s="1" t="s">
        <v>41</v>
      </c>
      <c r="I106" s="1" t="s">
        <v>301</v>
      </c>
      <c r="J106" s="1">
        <v>30</v>
      </c>
      <c r="K106" s="1">
        <v>30</v>
      </c>
      <c r="L106" s="3">
        <v>0</v>
      </c>
      <c r="N106" t="s">
        <v>3029</v>
      </c>
      <c r="P106">
        <v>7</v>
      </c>
      <c r="Q106">
        <v>24</v>
      </c>
      <c r="R106">
        <v>2018</v>
      </c>
      <c r="S106" s="4">
        <f t="shared" si="6"/>
        <v>43305</v>
      </c>
      <c r="T106" s="4">
        <f t="shared" si="4"/>
        <v>43305</v>
      </c>
      <c r="U106" s="4">
        <v>43305</v>
      </c>
    </row>
    <row r="107" spans="1:21" x14ac:dyDescent="0.3">
      <c r="A107" t="s">
        <v>302</v>
      </c>
      <c r="B107" s="1" t="s">
        <v>127</v>
      </c>
      <c r="C107" s="1" t="s">
        <v>128</v>
      </c>
      <c r="D107" s="1" t="s">
        <v>13</v>
      </c>
      <c r="E107" s="2" t="s">
        <v>3030</v>
      </c>
      <c r="F107" s="2" t="b">
        <f t="shared" si="7"/>
        <v>0</v>
      </c>
      <c r="G107" s="2">
        <f t="shared" si="5"/>
        <v>42326</v>
      </c>
      <c r="H107" s="1" t="s">
        <v>14</v>
      </c>
      <c r="I107" s="1" t="s">
        <v>210</v>
      </c>
      <c r="J107" s="1">
        <v>80</v>
      </c>
      <c r="K107" s="1">
        <v>62</v>
      </c>
      <c r="L107" s="3">
        <v>0.22500000000000001</v>
      </c>
      <c r="N107" t="s">
        <v>3030</v>
      </c>
      <c r="P107">
        <v>11</v>
      </c>
      <c r="Q107">
        <v>18</v>
      </c>
      <c r="R107">
        <v>2015</v>
      </c>
      <c r="S107" s="4">
        <f t="shared" si="6"/>
        <v>42326</v>
      </c>
      <c r="T107" s="4">
        <f t="shared" si="4"/>
        <v>42326</v>
      </c>
      <c r="U107" s="4">
        <v>42326</v>
      </c>
    </row>
    <row r="108" spans="1:21" x14ac:dyDescent="0.3">
      <c r="A108" t="s">
        <v>303</v>
      </c>
      <c r="B108" s="1" t="s">
        <v>157</v>
      </c>
      <c r="C108" s="1" t="s">
        <v>108</v>
      </c>
      <c r="D108" s="1" t="s">
        <v>19</v>
      </c>
      <c r="E108" s="2" t="s">
        <v>3031</v>
      </c>
      <c r="F108" s="2" t="b">
        <f t="shared" si="7"/>
        <v>0</v>
      </c>
      <c r="G108" s="2">
        <f t="shared" si="5"/>
        <v>41904</v>
      </c>
      <c r="H108" s="1" t="s">
        <v>14</v>
      </c>
      <c r="I108" s="1" t="s">
        <v>304</v>
      </c>
      <c r="J108" s="1">
        <v>80</v>
      </c>
      <c r="K108" s="1">
        <v>76</v>
      </c>
      <c r="L108" s="3">
        <v>0.05</v>
      </c>
      <c r="N108" t="s">
        <v>3031</v>
      </c>
      <c r="P108">
        <v>9</v>
      </c>
      <c r="Q108">
        <v>22</v>
      </c>
      <c r="R108">
        <v>2014</v>
      </c>
      <c r="S108" s="4">
        <f t="shared" si="6"/>
        <v>41904</v>
      </c>
      <c r="T108" s="4">
        <f t="shared" si="4"/>
        <v>41904</v>
      </c>
      <c r="U108" s="4">
        <v>41904</v>
      </c>
    </row>
    <row r="109" spans="1:21" x14ac:dyDescent="0.3">
      <c r="A109" t="s">
        <v>305</v>
      </c>
      <c r="B109" s="1" t="s">
        <v>150</v>
      </c>
      <c r="C109" s="1" t="s">
        <v>151</v>
      </c>
      <c r="D109" s="1" t="s">
        <v>13</v>
      </c>
      <c r="E109" s="2" t="s">
        <v>3032</v>
      </c>
      <c r="F109" s="2" t="b">
        <f t="shared" si="7"/>
        <v>0</v>
      </c>
      <c r="G109" s="2">
        <f t="shared" si="5"/>
        <v>42765</v>
      </c>
      <c r="H109" s="1" t="s">
        <v>36</v>
      </c>
      <c r="I109" s="1" t="s">
        <v>306</v>
      </c>
      <c r="J109" s="1">
        <v>50</v>
      </c>
      <c r="K109" s="1">
        <v>45</v>
      </c>
      <c r="L109" s="3">
        <v>0.1</v>
      </c>
      <c r="N109" t="s">
        <v>3032</v>
      </c>
      <c r="P109">
        <v>1</v>
      </c>
      <c r="Q109">
        <v>30</v>
      </c>
      <c r="R109">
        <v>2017</v>
      </c>
      <c r="S109" s="4">
        <f t="shared" si="6"/>
        <v>42765</v>
      </c>
      <c r="T109" s="4">
        <f t="shared" si="4"/>
        <v>42765</v>
      </c>
      <c r="U109" s="4">
        <v>42765</v>
      </c>
    </row>
    <row r="110" spans="1:21" x14ac:dyDescent="0.3">
      <c r="A110" t="s">
        <v>307</v>
      </c>
      <c r="B110" s="1" t="s">
        <v>264</v>
      </c>
      <c r="C110" s="1" t="s">
        <v>265</v>
      </c>
      <c r="D110" s="1" t="s">
        <v>13</v>
      </c>
      <c r="E110" s="2">
        <v>42252</v>
      </c>
      <c r="F110" s="2" t="b">
        <f t="shared" si="7"/>
        <v>1</v>
      </c>
      <c r="G110" s="2">
        <f t="shared" si="5"/>
        <v>42252</v>
      </c>
      <c r="H110" s="1" t="s">
        <v>61</v>
      </c>
      <c r="I110" s="1" t="s">
        <v>308</v>
      </c>
      <c r="J110" s="1">
        <v>1000</v>
      </c>
      <c r="K110" s="1">
        <v>610</v>
      </c>
      <c r="L110" s="3">
        <v>0.39</v>
      </c>
      <c r="N110" t="s">
        <v>3763</v>
      </c>
      <c r="S110" s="4" t="e">
        <f t="shared" si="6"/>
        <v>#NUM!</v>
      </c>
      <c r="T110" s="4" t="str">
        <f t="shared" si="4"/>
        <v/>
      </c>
      <c r="U110" s="4" t="s">
        <v>3763</v>
      </c>
    </row>
    <row r="111" spans="1:21" x14ac:dyDescent="0.3">
      <c r="A111" t="s">
        <v>309</v>
      </c>
      <c r="B111" s="1" t="s">
        <v>22</v>
      </c>
      <c r="C111" s="1" t="s">
        <v>23</v>
      </c>
      <c r="D111" s="1" t="s">
        <v>24</v>
      </c>
      <c r="E111" s="2" t="s">
        <v>3033</v>
      </c>
      <c r="F111" s="2" t="b">
        <f t="shared" si="7"/>
        <v>0</v>
      </c>
      <c r="G111" s="2">
        <f t="shared" si="5"/>
        <v>42294</v>
      </c>
      <c r="H111" s="1" t="s">
        <v>104</v>
      </c>
      <c r="I111" s="1" t="s">
        <v>310</v>
      </c>
      <c r="J111" s="1">
        <v>70</v>
      </c>
      <c r="K111" s="1">
        <v>67</v>
      </c>
      <c r="L111" s="3">
        <v>4.2900000000000001E-2</v>
      </c>
      <c r="N111" t="s">
        <v>3033</v>
      </c>
      <c r="P111">
        <v>10</v>
      </c>
      <c r="Q111">
        <v>17</v>
      </c>
      <c r="R111">
        <v>2015</v>
      </c>
      <c r="S111" s="4">
        <f t="shared" si="6"/>
        <v>42294</v>
      </c>
      <c r="T111" s="4">
        <f t="shared" si="4"/>
        <v>42294</v>
      </c>
      <c r="U111" s="4">
        <v>42294</v>
      </c>
    </row>
    <row r="112" spans="1:21" x14ac:dyDescent="0.3">
      <c r="A112" t="s">
        <v>311</v>
      </c>
      <c r="B112" s="1" t="s">
        <v>59</v>
      </c>
      <c r="C112" s="1" t="s">
        <v>60</v>
      </c>
      <c r="D112" s="1" t="s">
        <v>13</v>
      </c>
      <c r="E112" s="2">
        <v>43012</v>
      </c>
      <c r="F112" s="2" t="b">
        <f t="shared" si="7"/>
        <v>1</v>
      </c>
      <c r="G112" s="2">
        <f t="shared" si="5"/>
        <v>43012</v>
      </c>
      <c r="H112" s="1" t="s">
        <v>104</v>
      </c>
      <c r="I112" s="1" t="s">
        <v>312</v>
      </c>
      <c r="J112" s="1">
        <v>70</v>
      </c>
      <c r="K112" s="1">
        <v>68</v>
      </c>
      <c r="L112" s="3">
        <v>2.86E-2</v>
      </c>
      <c r="N112" t="s">
        <v>3763</v>
      </c>
      <c r="S112" s="4" t="e">
        <f t="shared" si="6"/>
        <v>#NUM!</v>
      </c>
      <c r="T112" s="4" t="str">
        <f t="shared" si="4"/>
        <v/>
      </c>
      <c r="U112" s="4" t="s">
        <v>3763</v>
      </c>
    </row>
    <row r="113" spans="1:21" x14ac:dyDescent="0.3">
      <c r="A113" t="s">
        <v>313</v>
      </c>
      <c r="B113" s="1" t="s">
        <v>264</v>
      </c>
      <c r="C113" s="1" t="s">
        <v>265</v>
      </c>
      <c r="D113" s="1" t="s">
        <v>13</v>
      </c>
      <c r="E113" s="2" t="s">
        <v>3034</v>
      </c>
      <c r="F113" s="2" t="b">
        <f t="shared" si="7"/>
        <v>0</v>
      </c>
      <c r="G113" s="2">
        <f t="shared" si="5"/>
        <v>43024</v>
      </c>
      <c r="H113" s="1" t="s">
        <v>36</v>
      </c>
      <c r="I113" s="1" t="s">
        <v>314</v>
      </c>
      <c r="J113" s="1">
        <v>50</v>
      </c>
      <c r="K113" s="1">
        <v>50</v>
      </c>
      <c r="L113" s="3">
        <v>0</v>
      </c>
      <c r="N113" t="s">
        <v>3034</v>
      </c>
      <c r="P113">
        <v>10</v>
      </c>
      <c r="Q113">
        <v>16</v>
      </c>
      <c r="R113">
        <v>2017</v>
      </c>
      <c r="S113" s="4">
        <f t="shared" si="6"/>
        <v>43024</v>
      </c>
      <c r="T113" s="4">
        <f t="shared" si="4"/>
        <v>43024</v>
      </c>
      <c r="U113" s="4">
        <v>43024</v>
      </c>
    </row>
    <row r="114" spans="1:21" x14ac:dyDescent="0.3">
      <c r="A114" t="s">
        <v>315</v>
      </c>
      <c r="B114" s="1" t="s">
        <v>127</v>
      </c>
      <c r="C114" s="1" t="s">
        <v>128</v>
      </c>
      <c r="D114" s="1" t="s">
        <v>13</v>
      </c>
      <c r="E114" s="2" t="s">
        <v>3035</v>
      </c>
      <c r="F114" s="2" t="b">
        <f t="shared" si="7"/>
        <v>0</v>
      </c>
      <c r="G114" s="2">
        <f t="shared" si="5"/>
        <v>41841</v>
      </c>
      <c r="H114" s="1" t="s">
        <v>72</v>
      </c>
      <c r="I114" s="1" t="s">
        <v>129</v>
      </c>
      <c r="J114" s="1">
        <v>500</v>
      </c>
      <c r="K114" s="1">
        <v>495</v>
      </c>
      <c r="L114" s="3">
        <v>0.01</v>
      </c>
      <c r="N114" t="s">
        <v>3035</v>
      </c>
      <c r="P114">
        <v>7</v>
      </c>
      <c r="Q114">
        <v>21</v>
      </c>
      <c r="R114">
        <v>2014</v>
      </c>
      <c r="S114" s="4">
        <f t="shared" si="6"/>
        <v>41841</v>
      </c>
      <c r="T114" s="4">
        <f t="shared" si="4"/>
        <v>41841</v>
      </c>
      <c r="U114" s="4">
        <v>41841</v>
      </c>
    </row>
    <row r="115" spans="1:21" x14ac:dyDescent="0.3">
      <c r="A115" t="s">
        <v>316</v>
      </c>
      <c r="B115" s="1" t="s">
        <v>77</v>
      </c>
      <c r="C115" s="1" t="s">
        <v>78</v>
      </c>
      <c r="D115" s="1" t="s">
        <v>35</v>
      </c>
      <c r="E115" s="2">
        <v>41829</v>
      </c>
      <c r="F115" s="2" t="b">
        <f t="shared" si="7"/>
        <v>1</v>
      </c>
      <c r="G115" s="2">
        <f t="shared" si="5"/>
        <v>41829</v>
      </c>
      <c r="H115" s="1" t="s">
        <v>104</v>
      </c>
      <c r="I115" s="1" t="s">
        <v>317</v>
      </c>
      <c r="J115" s="1">
        <v>70</v>
      </c>
      <c r="K115" s="1">
        <v>62</v>
      </c>
      <c r="L115" s="3">
        <v>0.1143</v>
      </c>
      <c r="N115" t="s">
        <v>3763</v>
      </c>
      <c r="S115" s="4" t="e">
        <f t="shared" si="6"/>
        <v>#NUM!</v>
      </c>
      <c r="T115" s="4" t="str">
        <f t="shared" si="4"/>
        <v/>
      </c>
      <c r="U115" s="4" t="s">
        <v>3763</v>
      </c>
    </row>
    <row r="116" spans="1:21" x14ac:dyDescent="0.3">
      <c r="A116" t="s">
        <v>318</v>
      </c>
      <c r="B116" s="1" t="s">
        <v>174</v>
      </c>
      <c r="C116" s="1" t="s">
        <v>175</v>
      </c>
      <c r="D116" s="1" t="s">
        <v>13</v>
      </c>
      <c r="E116" s="2">
        <v>42836</v>
      </c>
      <c r="F116" s="2" t="b">
        <f t="shared" si="7"/>
        <v>1</v>
      </c>
      <c r="G116" s="2">
        <f t="shared" si="5"/>
        <v>42836</v>
      </c>
      <c r="H116" s="1" t="s">
        <v>72</v>
      </c>
      <c r="I116" s="1" t="s">
        <v>319</v>
      </c>
      <c r="J116" s="1">
        <v>500</v>
      </c>
      <c r="K116" s="1">
        <v>490</v>
      </c>
      <c r="L116" s="3">
        <v>0.02</v>
      </c>
      <c r="N116" t="s">
        <v>3763</v>
      </c>
      <c r="S116" s="4" t="e">
        <f t="shared" si="6"/>
        <v>#NUM!</v>
      </c>
      <c r="T116" s="4" t="str">
        <f t="shared" si="4"/>
        <v/>
      </c>
      <c r="U116" s="4" t="s">
        <v>3763</v>
      </c>
    </row>
    <row r="117" spans="1:21" x14ac:dyDescent="0.3">
      <c r="A117" t="s">
        <v>320</v>
      </c>
      <c r="B117" s="1" t="s">
        <v>44</v>
      </c>
      <c r="C117" s="1" t="s">
        <v>45</v>
      </c>
      <c r="D117" s="1" t="s">
        <v>24</v>
      </c>
      <c r="E117" s="2">
        <v>43042</v>
      </c>
      <c r="F117" s="2" t="b">
        <f t="shared" si="7"/>
        <v>1</v>
      </c>
      <c r="G117" s="2">
        <f t="shared" si="5"/>
        <v>43042</v>
      </c>
      <c r="H117" s="1" t="s">
        <v>14</v>
      </c>
      <c r="I117" s="1" t="s">
        <v>321</v>
      </c>
      <c r="J117" s="1">
        <v>80</v>
      </c>
      <c r="K117" s="1">
        <v>73</v>
      </c>
      <c r="L117" s="3">
        <v>8.7499999999999994E-2</v>
      </c>
      <c r="N117" t="s">
        <v>3763</v>
      </c>
      <c r="S117" s="4" t="e">
        <f t="shared" si="6"/>
        <v>#NUM!</v>
      </c>
      <c r="T117" s="4" t="str">
        <f t="shared" si="4"/>
        <v/>
      </c>
      <c r="U117" s="4" t="s">
        <v>3763</v>
      </c>
    </row>
    <row r="118" spans="1:21" x14ac:dyDescent="0.3">
      <c r="A118" t="s">
        <v>322</v>
      </c>
      <c r="B118" s="1" t="s">
        <v>28</v>
      </c>
      <c r="C118" s="1" t="s">
        <v>29</v>
      </c>
      <c r="D118" s="1" t="s">
        <v>13</v>
      </c>
      <c r="E118" s="2">
        <v>42675</v>
      </c>
      <c r="F118" s="2" t="b">
        <f t="shared" si="7"/>
        <v>1</v>
      </c>
      <c r="G118" s="2">
        <f t="shared" si="5"/>
        <v>42675</v>
      </c>
      <c r="H118" s="1" t="s">
        <v>25</v>
      </c>
      <c r="I118" s="1" t="s">
        <v>31</v>
      </c>
      <c r="J118" s="1">
        <v>700</v>
      </c>
      <c r="K118" s="1">
        <v>616</v>
      </c>
      <c r="L118" s="3">
        <v>0.12</v>
      </c>
      <c r="N118" t="s">
        <v>3763</v>
      </c>
      <c r="S118" s="4" t="e">
        <f t="shared" si="6"/>
        <v>#NUM!</v>
      </c>
      <c r="T118" s="4" t="str">
        <f t="shared" si="4"/>
        <v/>
      </c>
      <c r="U118" s="4" t="s">
        <v>3763</v>
      </c>
    </row>
    <row r="119" spans="1:21" x14ac:dyDescent="0.3">
      <c r="A119" t="s">
        <v>323</v>
      </c>
      <c r="B119" s="1" t="s">
        <v>324</v>
      </c>
      <c r="C119" s="1" t="s">
        <v>325</v>
      </c>
      <c r="D119" s="1" t="s">
        <v>13</v>
      </c>
      <c r="E119" s="2">
        <v>42716</v>
      </c>
      <c r="F119" s="2" t="b">
        <f t="shared" si="7"/>
        <v>1</v>
      </c>
      <c r="G119" s="2">
        <f t="shared" si="5"/>
        <v>42716</v>
      </c>
      <c r="H119" s="1" t="s">
        <v>41</v>
      </c>
      <c r="I119" s="1" t="s">
        <v>326</v>
      </c>
      <c r="J119" s="1">
        <v>30</v>
      </c>
      <c r="K119" s="1">
        <v>30</v>
      </c>
      <c r="L119" s="3">
        <v>0</v>
      </c>
      <c r="N119" t="s">
        <v>3763</v>
      </c>
      <c r="S119" s="4" t="e">
        <f t="shared" si="6"/>
        <v>#NUM!</v>
      </c>
      <c r="T119" s="4" t="str">
        <f t="shared" si="4"/>
        <v/>
      </c>
      <c r="U119" s="4" t="s">
        <v>3763</v>
      </c>
    </row>
    <row r="120" spans="1:21" x14ac:dyDescent="0.3">
      <c r="A120" t="s">
        <v>327</v>
      </c>
      <c r="B120" s="1" t="s">
        <v>70</v>
      </c>
      <c r="C120" s="1" t="s">
        <v>71</v>
      </c>
      <c r="D120" s="1" t="s">
        <v>35</v>
      </c>
      <c r="E120" s="2" t="s">
        <v>3036</v>
      </c>
      <c r="F120" s="2" t="b">
        <f t="shared" si="7"/>
        <v>0</v>
      </c>
      <c r="G120" s="2">
        <f t="shared" si="5"/>
        <v>42324</v>
      </c>
      <c r="H120" s="1" t="s">
        <v>41</v>
      </c>
      <c r="I120" s="1" t="s">
        <v>328</v>
      </c>
      <c r="J120" s="1">
        <v>30</v>
      </c>
      <c r="K120" s="1">
        <v>23</v>
      </c>
      <c r="L120" s="3">
        <v>0.23330000000000001</v>
      </c>
      <c r="N120" t="s">
        <v>3036</v>
      </c>
      <c r="P120">
        <v>11</v>
      </c>
      <c r="Q120">
        <v>16</v>
      </c>
      <c r="R120">
        <v>2015</v>
      </c>
      <c r="S120" s="4">
        <f t="shared" si="6"/>
        <v>42324</v>
      </c>
      <c r="T120" s="4">
        <f t="shared" si="4"/>
        <v>42324</v>
      </c>
      <c r="U120" s="4">
        <v>42324</v>
      </c>
    </row>
    <row r="121" spans="1:21" x14ac:dyDescent="0.3">
      <c r="A121" t="s">
        <v>329</v>
      </c>
      <c r="B121" s="1" t="s">
        <v>131</v>
      </c>
      <c r="C121" s="1" t="s">
        <v>108</v>
      </c>
      <c r="D121" s="1" t="s">
        <v>19</v>
      </c>
      <c r="E121" s="2" t="s">
        <v>3037</v>
      </c>
      <c r="F121" s="2" t="b">
        <f t="shared" si="7"/>
        <v>0</v>
      </c>
      <c r="G121" s="2">
        <f t="shared" si="5"/>
        <v>42266</v>
      </c>
      <c r="H121" s="1" t="s">
        <v>36</v>
      </c>
      <c r="I121" s="1" t="s">
        <v>212</v>
      </c>
      <c r="J121" s="1">
        <v>50</v>
      </c>
      <c r="K121" s="1">
        <v>36</v>
      </c>
      <c r="L121" s="3">
        <v>0.28000000000000003</v>
      </c>
      <c r="N121" t="s">
        <v>3037</v>
      </c>
      <c r="P121">
        <v>9</v>
      </c>
      <c r="Q121">
        <v>19</v>
      </c>
      <c r="R121">
        <v>2015</v>
      </c>
      <c r="S121" s="4">
        <f t="shared" si="6"/>
        <v>42266</v>
      </c>
      <c r="T121" s="4">
        <f t="shared" si="4"/>
        <v>42266</v>
      </c>
      <c r="U121" s="4">
        <v>42266</v>
      </c>
    </row>
    <row r="122" spans="1:21" x14ac:dyDescent="0.3">
      <c r="A122" t="s">
        <v>330</v>
      </c>
      <c r="B122" s="1" t="s">
        <v>241</v>
      </c>
      <c r="C122" s="1" t="s">
        <v>242</v>
      </c>
      <c r="D122" s="1" t="s">
        <v>13</v>
      </c>
      <c r="E122" s="2" t="s">
        <v>3038</v>
      </c>
      <c r="F122" s="2" t="b">
        <f t="shared" si="7"/>
        <v>0</v>
      </c>
      <c r="G122" s="2">
        <f t="shared" si="5"/>
        <v>41746</v>
      </c>
      <c r="H122" s="1" t="s">
        <v>72</v>
      </c>
      <c r="I122" s="1" t="s">
        <v>331</v>
      </c>
      <c r="J122" s="1">
        <v>500</v>
      </c>
      <c r="K122" s="1">
        <v>490</v>
      </c>
      <c r="L122" s="3">
        <v>0.02</v>
      </c>
      <c r="N122" t="s">
        <v>3038</v>
      </c>
      <c r="P122">
        <v>4</v>
      </c>
      <c r="Q122">
        <v>17</v>
      </c>
      <c r="R122">
        <v>2014</v>
      </c>
      <c r="S122" s="4">
        <f t="shared" si="6"/>
        <v>41746</v>
      </c>
      <c r="T122" s="4">
        <f t="shared" si="4"/>
        <v>41746</v>
      </c>
      <c r="U122" s="4">
        <v>41746</v>
      </c>
    </row>
    <row r="123" spans="1:21" x14ac:dyDescent="0.3">
      <c r="A123" t="s">
        <v>332</v>
      </c>
      <c r="B123" s="1" t="s">
        <v>95</v>
      </c>
      <c r="C123" s="1" t="s">
        <v>96</v>
      </c>
      <c r="D123" s="1" t="s">
        <v>13</v>
      </c>
      <c r="E123" s="2">
        <v>41921</v>
      </c>
      <c r="F123" s="2" t="b">
        <f t="shared" si="7"/>
        <v>1</v>
      </c>
      <c r="G123" s="2">
        <f t="shared" si="5"/>
        <v>41921</v>
      </c>
      <c r="H123" s="1" t="s">
        <v>55</v>
      </c>
      <c r="I123" s="1" t="s">
        <v>333</v>
      </c>
      <c r="J123" s="1">
        <v>800</v>
      </c>
      <c r="K123" s="1">
        <v>672</v>
      </c>
      <c r="L123" s="3">
        <v>0.16</v>
      </c>
      <c r="N123" t="s">
        <v>3763</v>
      </c>
      <c r="S123" s="4" t="e">
        <f t="shared" si="6"/>
        <v>#NUM!</v>
      </c>
      <c r="T123" s="4" t="str">
        <f t="shared" si="4"/>
        <v/>
      </c>
      <c r="U123" s="4" t="s">
        <v>3763</v>
      </c>
    </row>
    <row r="124" spans="1:21" x14ac:dyDescent="0.3">
      <c r="A124" t="s">
        <v>334</v>
      </c>
      <c r="B124" s="1" t="s">
        <v>28</v>
      </c>
      <c r="C124" s="1" t="s">
        <v>29</v>
      </c>
      <c r="D124" s="1" t="s">
        <v>13</v>
      </c>
      <c r="E124" s="2">
        <v>42777</v>
      </c>
      <c r="F124" s="2" t="b">
        <f t="shared" si="7"/>
        <v>1</v>
      </c>
      <c r="G124" s="2">
        <f t="shared" si="5"/>
        <v>42777</v>
      </c>
      <c r="H124" s="1" t="s">
        <v>72</v>
      </c>
      <c r="I124" s="1" t="s">
        <v>335</v>
      </c>
      <c r="J124" s="1">
        <v>500</v>
      </c>
      <c r="K124" s="1">
        <v>490</v>
      </c>
      <c r="L124" s="3">
        <v>0.02</v>
      </c>
      <c r="N124" t="s">
        <v>3763</v>
      </c>
      <c r="S124" s="4" t="e">
        <f t="shared" si="6"/>
        <v>#NUM!</v>
      </c>
      <c r="T124" s="4" t="str">
        <f t="shared" si="4"/>
        <v/>
      </c>
      <c r="U124" s="4" t="s">
        <v>3763</v>
      </c>
    </row>
    <row r="125" spans="1:21" x14ac:dyDescent="0.3">
      <c r="A125" t="s">
        <v>336</v>
      </c>
      <c r="B125" s="1" t="s">
        <v>270</v>
      </c>
      <c r="C125" s="1" t="s">
        <v>271</v>
      </c>
      <c r="D125" s="1" t="s">
        <v>35</v>
      </c>
      <c r="E125" s="2" t="s">
        <v>3039</v>
      </c>
      <c r="F125" s="2" t="b">
        <f t="shared" si="7"/>
        <v>0</v>
      </c>
      <c r="G125" s="2">
        <f t="shared" si="5"/>
        <v>42444</v>
      </c>
      <c r="H125" s="1" t="s">
        <v>30</v>
      </c>
      <c r="I125" s="1" t="s">
        <v>337</v>
      </c>
      <c r="J125" s="1">
        <v>150</v>
      </c>
      <c r="K125" s="1">
        <v>140</v>
      </c>
      <c r="L125" s="3">
        <v>6.6699999999999995E-2</v>
      </c>
      <c r="N125" t="s">
        <v>3039</v>
      </c>
      <c r="P125">
        <v>3</v>
      </c>
      <c r="Q125">
        <v>15</v>
      </c>
      <c r="R125">
        <v>2016</v>
      </c>
      <c r="S125" s="4">
        <f t="shared" si="6"/>
        <v>42444</v>
      </c>
      <c r="T125" s="4">
        <f t="shared" si="4"/>
        <v>42444</v>
      </c>
      <c r="U125" s="4">
        <v>42444</v>
      </c>
    </row>
    <row r="126" spans="1:21" x14ac:dyDescent="0.3">
      <c r="A126" t="s">
        <v>338</v>
      </c>
      <c r="B126" s="1" t="s">
        <v>182</v>
      </c>
      <c r="C126" s="1" t="s">
        <v>108</v>
      </c>
      <c r="D126" s="1" t="s">
        <v>19</v>
      </c>
      <c r="E126" s="2" t="s">
        <v>3040</v>
      </c>
      <c r="F126" s="2" t="b">
        <f t="shared" si="7"/>
        <v>0</v>
      </c>
      <c r="G126" s="2">
        <f t="shared" si="5"/>
        <v>43119</v>
      </c>
      <c r="H126" s="1" t="s">
        <v>72</v>
      </c>
      <c r="I126" s="1" t="s">
        <v>203</v>
      </c>
      <c r="J126" s="1">
        <v>500</v>
      </c>
      <c r="K126" s="1">
        <v>495</v>
      </c>
      <c r="L126" s="3">
        <v>0.01</v>
      </c>
      <c r="N126" t="s">
        <v>3040</v>
      </c>
      <c r="P126">
        <v>1</v>
      </c>
      <c r="Q126">
        <v>19</v>
      </c>
      <c r="R126">
        <v>2018</v>
      </c>
      <c r="S126" s="4">
        <f t="shared" si="6"/>
        <v>43119</v>
      </c>
      <c r="T126" s="4">
        <f t="shared" si="4"/>
        <v>43119</v>
      </c>
      <c r="U126" s="4">
        <v>43119</v>
      </c>
    </row>
    <row r="127" spans="1:21" x14ac:dyDescent="0.3">
      <c r="A127" t="s">
        <v>339</v>
      </c>
      <c r="B127" s="1" t="s">
        <v>85</v>
      </c>
      <c r="C127" s="1" t="s">
        <v>86</v>
      </c>
      <c r="D127" s="1" t="s">
        <v>13</v>
      </c>
      <c r="E127" s="2" t="s">
        <v>3041</v>
      </c>
      <c r="F127" s="2" t="b">
        <f t="shared" si="7"/>
        <v>0</v>
      </c>
      <c r="G127" s="2">
        <f t="shared" si="5"/>
        <v>43218</v>
      </c>
      <c r="H127" s="1" t="s">
        <v>30</v>
      </c>
      <c r="I127" s="1" t="s">
        <v>340</v>
      </c>
      <c r="J127" s="1">
        <v>150</v>
      </c>
      <c r="K127" s="1">
        <v>150</v>
      </c>
      <c r="L127" s="3">
        <v>0</v>
      </c>
      <c r="N127" t="s">
        <v>3041</v>
      </c>
      <c r="P127">
        <v>4</v>
      </c>
      <c r="Q127">
        <v>28</v>
      </c>
      <c r="R127">
        <v>2018</v>
      </c>
      <c r="S127" s="4">
        <f t="shared" si="6"/>
        <v>43218</v>
      </c>
      <c r="T127" s="4">
        <f t="shared" si="4"/>
        <v>43218</v>
      </c>
      <c r="U127" s="4">
        <v>43218</v>
      </c>
    </row>
    <row r="128" spans="1:21" x14ac:dyDescent="0.3">
      <c r="A128" t="s">
        <v>341</v>
      </c>
      <c r="B128" s="1" t="s">
        <v>114</v>
      </c>
      <c r="C128" s="1" t="s">
        <v>54</v>
      </c>
      <c r="D128" s="1" t="s">
        <v>13</v>
      </c>
      <c r="E128" s="2" t="s">
        <v>3042</v>
      </c>
      <c r="F128" s="2" t="b">
        <f t="shared" si="7"/>
        <v>0</v>
      </c>
      <c r="G128" s="2">
        <f t="shared" si="5"/>
        <v>41711</v>
      </c>
      <c r="H128" s="1" t="s">
        <v>41</v>
      </c>
      <c r="I128" s="1" t="s">
        <v>168</v>
      </c>
      <c r="J128" s="1">
        <v>30</v>
      </c>
      <c r="K128" s="1">
        <v>29</v>
      </c>
      <c r="L128" s="3">
        <v>3.3300000000000003E-2</v>
      </c>
      <c r="N128" t="s">
        <v>3042</v>
      </c>
      <c r="P128">
        <v>3</v>
      </c>
      <c r="Q128">
        <v>13</v>
      </c>
      <c r="R128">
        <v>2014</v>
      </c>
      <c r="S128" s="4">
        <f t="shared" si="6"/>
        <v>41711</v>
      </c>
      <c r="T128" s="4">
        <f t="shared" si="4"/>
        <v>41711</v>
      </c>
      <c r="U128" s="4">
        <v>41711</v>
      </c>
    </row>
    <row r="129" spans="1:21" x14ac:dyDescent="0.3">
      <c r="A129" t="s">
        <v>342</v>
      </c>
      <c r="B129" s="1" t="s">
        <v>182</v>
      </c>
      <c r="C129" s="1" t="s">
        <v>108</v>
      </c>
      <c r="D129" s="1" t="s">
        <v>19</v>
      </c>
      <c r="E129" s="2" t="s">
        <v>3043</v>
      </c>
      <c r="F129" s="2" t="b">
        <f t="shared" si="7"/>
        <v>0</v>
      </c>
      <c r="G129" s="2">
        <f t="shared" si="5"/>
        <v>42244</v>
      </c>
      <c r="H129" s="1" t="s">
        <v>72</v>
      </c>
      <c r="I129" s="1" t="s">
        <v>183</v>
      </c>
      <c r="J129" s="1">
        <v>500</v>
      </c>
      <c r="K129" s="1">
        <v>500</v>
      </c>
      <c r="L129" s="3">
        <v>0</v>
      </c>
      <c r="N129" t="s">
        <v>3043</v>
      </c>
      <c r="P129">
        <v>8</v>
      </c>
      <c r="Q129">
        <v>28</v>
      </c>
      <c r="R129">
        <v>2015</v>
      </c>
      <c r="S129" s="4">
        <f t="shared" si="6"/>
        <v>42244</v>
      </c>
      <c r="T129" s="4">
        <f t="shared" si="4"/>
        <v>42244</v>
      </c>
      <c r="U129" s="4">
        <v>42244</v>
      </c>
    </row>
    <row r="130" spans="1:21" x14ac:dyDescent="0.3">
      <c r="A130" t="s">
        <v>343</v>
      </c>
      <c r="B130" s="1" t="s">
        <v>91</v>
      </c>
      <c r="C130" s="1" t="s">
        <v>92</v>
      </c>
      <c r="D130" s="1" t="s">
        <v>35</v>
      </c>
      <c r="E130" s="2">
        <v>41827</v>
      </c>
      <c r="F130" s="2" t="b">
        <f t="shared" si="7"/>
        <v>1</v>
      </c>
      <c r="G130" s="2">
        <f t="shared" si="5"/>
        <v>41827</v>
      </c>
      <c r="H130" s="1" t="s">
        <v>61</v>
      </c>
      <c r="I130" s="1" t="s">
        <v>344</v>
      </c>
      <c r="J130" s="1">
        <v>1000</v>
      </c>
      <c r="K130" s="1">
        <v>510</v>
      </c>
      <c r="L130" s="3">
        <v>0.49</v>
      </c>
      <c r="N130" t="s">
        <v>3763</v>
      </c>
      <c r="S130" s="4" t="e">
        <f t="shared" si="6"/>
        <v>#NUM!</v>
      </c>
      <c r="T130" s="4" t="str">
        <f t="shared" si="4"/>
        <v/>
      </c>
      <c r="U130" s="4" t="s">
        <v>3763</v>
      </c>
    </row>
    <row r="131" spans="1:21" x14ac:dyDescent="0.3">
      <c r="A131" t="s">
        <v>345</v>
      </c>
      <c r="B131" s="1" t="s">
        <v>289</v>
      </c>
      <c r="C131" s="1" t="s">
        <v>108</v>
      </c>
      <c r="D131" s="1" t="s">
        <v>19</v>
      </c>
      <c r="E131" s="2" t="s">
        <v>3044</v>
      </c>
      <c r="F131" s="2" t="b">
        <f t="shared" si="7"/>
        <v>0</v>
      </c>
      <c r="G131" s="2">
        <f t="shared" si="5"/>
        <v>42422</v>
      </c>
      <c r="H131" s="1" t="s">
        <v>72</v>
      </c>
      <c r="I131" s="1" t="s">
        <v>346</v>
      </c>
      <c r="J131" s="1">
        <v>500</v>
      </c>
      <c r="K131" s="1">
        <v>490</v>
      </c>
      <c r="L131" s="3">
        <v>0.02</v>
      </c>
      <c r="N131" t="s">
        <v>3044</v>
      </c>
      <c r="P131">
        <v>2</v>
      </c>
      <c r="Q131">
        <v>22</v>
      </c>
      <c r="R131">
        <v>2016</v>
      </c>
      <c r="S131" s="4">
        <f t="shared" si="6"/>
        <v>42422</v>
      </c>
      <c r="T131" s="4">
        <f t="shared" ref="T131:T194" si="8">IF(AND(P131&lt;&gt;"",Q131&lt;&gt;"",R131&lt;&gt;""),IFERROR(DATE(R131,P131,Q131),""),"")</f>
        <v>42422</v>
      </c>
      <c r="U131" s="4">
        <v>42422</v>
      </c>
    </row>
    <row r="132" spans="1:21" x14ac:dyDescent="0.3">
      <c r="A132" t="s">
        <v>347</v>
      </c>
      <c r="B132" s="1" t="s">
        <v>11</v>
      </c>
      <c r="C132" s="1" t="s">
        <v>12</v>
      </c>
      <c r="D132" s="1" t="s">
        <v>13</v>
      </c>
      <c r="E132" s="2">
        <v>43051</v>
      </c>
      <c r="F132" s="2" t="b">
        <f t="shared" si="7"/>
        <v>1</v>
      </c>
      <c r="G132" s="2">
        <f t="shared" ref="G132:G195" si="9">IF(F132=TRUE,E132,U132)</f>
        <v>43051</v>
      </c>
      <c r="H132" s="1" t="s">
        <v>36</v>
      </c>
      <c r="I132" s="1" t="s">
        <v>348</v>
      </c>
      <c r="J132" s="1">
        <v>50</v>
      </c>
      <c r="K132" s="1">
        <v>50</v>
      </c>
      <c r="L132" s="3">
        <v>0</v>
      </c>
      <c r="N132" t="s">
        <v>3763</v>
      </c>
      <c r="S132" s="4" t="e">
        <f t="shared" ref="S132:S195" si="10">DATE(R132,P132,Q132)</f>
        <v>#NUM!</v>
      </c>
      <c r="T132" s="4" t="str">
        <f t="shared" si="8"/>
        <v/>
      </c>
      <c r="U132" s="4" t="s">
        <v>3763</v>
      </c>
    </row>
    <row r="133" spans="1:21" x14ac:dyDescent="0.3">
      <c r="A133" t="s">
        <v>349</v>
      </c>
      <c r="B133" s="1" t="s">
        <v>241</v>
      </c>
      <c r="C133" s="1" t="s">
        <v>242</v>
      </c>
      <c r="D133" s="1" t="s">
        <v>13</v>
      </c>
      <c r="E133" s="2">
        <v>42528</v>
      </c>
      <c r="F133" s="2" t="b">
        <f t="shared" ref="F133:F196" si="11">ISNUMBER(E133)</f>
        <v>1</v>
      </c>
      <c r="G133" s="2">
        <f t="shared" si="9"/>
        <v>42528</v>
      </c>
      <c r="H133" s="1" t="s">
        <v>25</v>
      </c>
      <c r="I133" s="1" t="s">
        <v>350</v>
      </c>
      <c r="J133" s="1">
        <v>700</v>
      </c>
      <c r="K133" s="1">
        <v>665</v>
      </c>
      <c r="L133" s="3">
        <v>0.05</v>
      </c>
      <c r="N133" t="s">
        <v>3763</v>
      </c>
      <c r="S133" s="4" t="e">
        <f t="shared" si="10"/>
        <v>#NUM!</v>
      </c>
      <c r="T133" s="4" t="str">
        <f t="shared" si="8"/>
        <v/>
      </c>
      <c r="U133" s="4" t="s">
        <v>3763</v>
      </c>
    </row>
    <row r="134" spans="1:21" x14ac:dyDescent="0.3">
      <c r="A134" t="s">
        <v>351</v>
      </c>
      <c r="B134" s="1" t="s">
        <v>154</v>
      </c>
      <c r="C134" s="1" t="s">
        <v>108</v>
      </c>
      <c r="D134" s="1" t="s">
        <v>19</v>
      </c>
      <c r="E134" s="2">
        <v>41678</v>
      </c>
      <c r="F134" s="2" t="b">
        <f t="shared" si="11"/>
        <v>1</v>
      </c>
      <c r="G134" s="2">
        <f t="shared" si="9"/>
        <v>41678</v>
      </c>
      <c r="H134" s="1" t="s">
        <v>115</v>
      </c>
      <c r="I134" s="1" t="s">
        <v>352</v>
      </c>
      <c r="J134" s="1">
        <v>250</v>
      </c>
      <c r="K134" s="1">
        <v>175</v>
      </c>
      <c r="L134" s="3">
        <v>0.3</v>
      </c>
      <c r="N134" t="s">
        <v>3763</v>
      </c>
      <c r="S134" s="4" t="e">
        <f t="shared" si="10"/>
        <v>#NUM!</v>
      </c>
      <c r="T134" s="4" t="str">
        <f t="shared" si="8"/>
        <v/>
      </c>
      <c r="U134" s="4" t="s">
        <v>3763</v>
      </c>
    </row>
    <row r="135" spans="1:21" x14ac:dyDescent="0.3">
      <c r="A135" t="s">
        <v>353</v>
      </c>
      <c r="B135" s="1" t="s">
        <v>107</v>
      </c>
      <c r="C135" s="1" t="s">
        <v>108</v>
      </c>
      <c r="D135" s="1" t="s">
        <v>19</v>
      </c>
      <c r="E135" s="2" t="s">
        <v>2985</v>
      </c>
      <c r="F135" s="2" t="b">
        <f t="shared" si="11"/>
        <v>0</v>
      </c>
      <c r="G135" s="2">
        <f t="shared" si="9"/>
        <v>42673</v>
      </c>
      <c r="H135" s="1" t="s">
        <v>122</v>
      </c>
      <c r="I135" s="1" t="s">
        <v>354</v>
      </c>
      <c r="J135" s="1">
        <v>50</v>
      </c>
      <c r="K135" s="1">
        <v>48</v>
      </c>
      <c r="L135" s="3">
        <v>0.04</v>
      </c>
      <c r="N135" t="s">
        <v>2985</v>
      </c>
      <c r="P135">
        <v>10</v>
      </c>
      <c r="Q135">
        <v>30</v>
      </c>
      <c r="R135">
        <v>2016</v>
      </c>
      <c r="S135" s="4">
        <f t="shared" si="10"/>
        <v>42673</v>
      </c>
      <c r="T135" s="4">
        <f t="shared" si="8"/>
        <v>42673</v>
      </c>
      <c r="U135" s="4">
        <v>42673</v>
      </c>
    </row>
    <row r="136" spans="1:21" x14ac:dyDescent="0.3">
      <c r="A136" t="s">
        <v>355</v>
      </c>
      <c r="B136" s="1" t="s">
        <v>241</v>
      </c>
      <c r="C136" s="1" t="s">
        <v>242</v>
      </c>
      <c r="D136" s="1" t="s">
        <v>13</v>
      </c>
      <c r="E136" s="2" t="s">
        <v>3045</v>
      </c>
      <c r="F136" s="2" t="b">
        <f t="shared" si="11"/>
        <v>0</v>
      </c>
      <c r="G136" s="2">
        <f t="shared" si="9"/>
        <v>42479</v>
      </c>
      <c r="H136" s="1" t="s">
        <v>30</v>
      </c>
      <c r="I136" s="1" t="s">
        <v>243</v>
      </c>
      <c r="J136" s="1">
        <v>150</v>
      </c>
      <c r="K136" s="1">
        <v>146</v>
      </c>
      <c r="L136" s="3">
        <v>2.6700000000000002E-2</v>
      </c>
      <c r="N136" t="s">
        <v>3045</v>
      </c>
      <c r="P136">
        <v>4</v>
      </c>
      <c r="Q136">
        <v>19</v>
      </c>
      <c r="R136">
        <v>2016</v>
      </c>
      <c r="S136" s="4">
        <f t="shared" si="10"/>
        <v>42479</v>
      </c>
      <c r="T136" s="4">
        <f t="shared" si="8"/>
        <v>42479</v>
      </c>
      <c r="U136" s="4">
        <v>42479</v>
      </c>
    </row>
    <row r="137" spans="1:21" x14ac:dyDescent="0.3">
      <c r="A137" t="s">
        <v>356</v>
      </c>
      <c r="B137" s="1" t="s">
        <v>64</v>
      </c>
      <c r="C137" s="1" t="s">
        <v>65</v>
      </c>
      <c r="D137" s="1" t="s">
        <v>35</v>
      </c>
      <c r="E137" s="2" t="s">
        <v>3046</v>
      </c>
      <c r="F137" s="2" t="b">
        <f t="shared" si="11"/>
        <v>0</v>
      </c>
      <c r="G137" s="2">
        <f t="shared" si="9"/>
        <v>42149</v>
      </c>
      <c r="H137" s="1" t="s">
        <v>30</v>
      </c>
      <c r="I137" s="1" t="s">
        <v>280</v>
      </c>
      <c r="J137" s="1">
        <v>150</v>
      </c>
      <c r="K137" s="1">
        <v>143</v>
      </c>
      <c r="L137" s="3">
        <v>4.6699999999999998E-2</v>
      </c>
      <c r="N137" t="s">
        <v>3046</v>
      </c>
      <c r="P137">
        <v>5</v>
      </c>
      <c r="Q137">
        <v>25</v>
      </c>
      <c r="R137">
        <v>2015</v>
      </c>
      <c r="S137" s="4">
        <f t="shared" si="10"/>
        <v>42149</v>
      </c>
      <c r="T137" s="4">
        <f t="shared" si="8"/>
        <v>42149</v>
      </c>
      <c r="U137" s="4">
        <v>42149</v>
      </c>
    </row>
    <row r="138" spans="1:21" x14ac:dyDescent="0.3">
      <c r="A138" t="s">
        <v>357</v>
      </c>
      <c r="B138" s="1" t="s">
        <v>146</v>
      </c>
      <c r="C138" s="1" t="s">
        <v>147</v>
      </c>
      <c r="D138" s="1" t="s">
        <v>13</v>
      </c>
      <c r="E138" s="2">
        <v>42134</v>
      </c>
      <c r="F138" s="2" t="b">
        <f t="shared" si="11"/>
        <v>1</v>
      </c>
      <c r="G138" s="2">
        <f t="shared" si="9"/>
        <v>42134</v>
      </c>
      <c r="H138" s="1" t="s">
        <v>104</v>
      </c>
      <c r="I138" s="1" t="s">
        <v>358</v>
      </c>
      <c r="J138" s="1">
        <v>70</v>
      </c>
      <c r="K138" s="1">
        <v>57</v>
      </c>
      <c r="L138" s="3">
        <v>0.1857</v>
      </c>
      <c r="N138" t="s">
        <v>3763</v>
      </c>
      <c r="S138" s="4" t="e">
        <f t="shared" si="10"/>
        <v>#NUM!</v>
      </c>
      <c r="T138" s="4" t="str">
        <f t="shared" si="8"/>
        <v/>
      </c>
      <c r="U138" s="4" t="s">
        <v>3763</v>
      </c>
    </row>
    <row r="139" spans="1:21" x14ac:dyDescent="0.3">
      <c r="A139" t="s">
        <v>359</v>
      </c>
      <c r="B139" s="1" t="s">
        <v>59</v>
      </c>
      <c r="C139" s="1" t="s">
        <v>60</v>
      </c>
      <c r="D139" s="1" t="s">
        <v>13</v>
      </c>
      <c r="E139" s="2">
        <v>42927</v>
      </c>
      <c r="F139" s="2" t="b">
        <f t="shared" si="11"/>
        <v>1</v>
      </c>
      <c r="G139" s="2">
        <f t="shared" si="9"/>
        <v>42927</v>
      </c>
      <c r="H139" s="1" t="s">
        <v>122</v>
      </c>
      <c r="I139" s="1" t="s">
        <v>312</v>
      </c>
      <c r="J139" s="1">
        <v>50</v>
      </c>
      <c r="K139" s="1">
        <v>46</v>
      </c>
      <c r="L139" s="3">
        <v>0.08</v>
      </c>
      <c r="N139" t="s">
        <v>3763</v>
      </c>
      <c r="S139" s="4" t="e">
        <f t="shared" si="10"/>
        <v>#NUM!</v>
      </c>
      <c r="T139" s="4" t="str">
        <f t="shared" si="8"/>
        <v/>
      </c>
      <c r="U139" s="4" t="s">
        <v>3763</v>
      </c>
    </row>
    <row r="140" spans="1:21" x14ac:dyDescent="0.3">
      <c r="A140" t="s">
        <v>360</v>
      </c>
      <c r="B140" s="1" t="s">
        <v>205</v>
      </c>
      <c r="C140" s="1" t="s">
        <v>206</v>
      </c>
      <c r="D140" s="1" t="s">
        <v>24</v>
      </c>
      <c r="E140" s="2" t="s">
        <v>3047</v>
      </c>
      <c r="F140" s="2" t="b">
        <f t="shared" si="11"/>
        <v>0</v>
      </c>
      <c r="G140" s="2">
        <f t="shared" si="9"/>
        <v>43094</v>
      </c>
      <c r="H140" s="1" t="s">
        <v>41</v>
      </c>
      <c r="I140" s="1" t="s">
        <v>361</v>
      </c>
      <c r="J140" s="1">
        <v>30</v>
      </c>
      <c r="K140" s="1">
        <v>27</v>
      </c>
      <c r="L140" s="3">
        <v>0.1</v>
      </c>
      <c r="N140" t="s">
        <v>3047</v>
      </c>
      <c r="P140">
        <v>12</v>
      </c>
      <c r="Q140">
        <v>25</v>
      </c>
      <c r="R140">
        <v>2017</v>
      </c>
      <c r="S140" s="4">
        <f t="shared" si="10"/>
        <v>43094</v>
      </c>
      <c r="T140" s="4">
        <f t="shared" si="8"/>
        <v>43094</v>
      </c>
      <c r="U140" s="4">
        <v>43094</v>
      </c>
    </row>
    <row r="141" spans="1:21" x14ac:dyDescent="0.3">
      <c r="A141" t="s">
        <v>362</v>
      </c>
      <c r="B141" s="1" t="s">
        <v>85</v>
      </c>
      <c r="C141" s="1" t="s">
        <v>86</v>
      </c>
      <c r="D141" s="1" t="s">
        <v>13</v>
      </c>
      <c r="E141" s="2">
        <v>41763</v>
      </c>
      <c r="F141" s="2" t="b">
        <f t="shared" si="11"/>
        <v>1</v>
      </c>
      <c r="G141" s="2">
        <f t="shared" si="9"/>
        <v>41763</v>
      </c>
      <c r="H141" s="1" t="s">
        <v>46</v>
      </c>
      <c r="I141" s="1" t="s">
        <v>363</v>
      </c>
      <c r="J141" s="1">
        <v>500</v>
      </c>
      <c r="K141" s="1">
        <v>500</v>
      </c>
      <c r="L141" s="3">
        <v>0</v>
      </c>
      <c r="N141" t="s">
        <v>3763</v>
      </c>
      <c r="S141" s="4" t="e">
        <f t="shared" si="10"/>
        <v>#NUM!</v>
      </c>
      <c r="T141" s="4" t="str">
        <f t="shared" si="8"/>
        <v/>
      </c>
      <c r="U141" s="4" t="s">
        <v>3763</v>
      </c>
    </row>
    <row r="142" spans="1:21" x14ac:dyDescent="0.3">
      <c r="A142" t="s">
        <v>364</v>
      </c>
      <c r="B142" s="1" t="s">
        <v>324</v>
      </c>
      <c r="C142" s="1" t="s">
        <v>325</v>
      </c>
      <c r="D142" s="1" t="s">
        <v>13</v>
      </c>
      <c r="E142" s="2">
        <v>43288</v>
      </c>
      <c r="F142" s="2" t="b">
        <f t="shared" si="11"/>
        <v>1</v>
      </c>
      <c r="G142" s="2">
        <f t="shared" si="9"/>
        <v>43288</v>
      </c>
      <c r="H142" s="1" t="s">
        <v>46</v>
      </c>
      <c r="I142" s="1" t="s">
        <v>365</v>
      </c>
      <c r="J142" s="1">
        <v>500</v>
      </c>
      <c r="K142" s="1">
        <v>500</v>
      </c>
      <c r="L142" s="3">
        <v>0</v>
      </c>
      <c r="N142" t="s">
        <v>3763</v>
      </c>
      <c r="S142" s="4" t="e">
        <f t="shared" si="10"/>
        <v>#NUM!</v>
      </c>
      <c r="T142" s="4" t="str">
        <f t="shared" si="8"/>
        <v/>
      </c>
      <c r="U142" s="4" t="s">
        <v>3763</v>
      </c>
    </row>
    <row r="143" spans="1:21" x14ac:dyDescent="0.3">
      <c r="A143" t="s">
        <v>366</v>
      </c>
      <c r="B143" s="1" t="s">
        <v>114</v>
      </c>
      <c r="C143" s="1" t="s">
        <v>54</v>
      </c>
      <c r="D143" s="1" t="s">
        <v>13</v>
      </c>
      <c r="E143" s="2">
        <v>43170</v>
      </c>
      <c r="F143" s="2" t="b">
        <f t="shared" si="11"/>
        <v>1</v>
      </c>
      <c r="G143" s="2">
        <f t="shared" si="9"/>
        <v>43170</v>
      </c>
      <c r="H143" s="1" t="s">
        <v>115</v>
      </c>
      <c r="I143" s="1" t="s">
        <v>367</v>
      </c>
      <c r="J143" s="1">
        <v>250</v>
      </c>
      <c r="K143" s="1">
        <v>225</v>
      </c>
      <c r="L143" s="3">
        <v>0.1</v>
      </c>
      <c r="N143" t="s">
        <v>3763</v>
      </c>
      <c r="S143" s="4" t="e">
        <f t="shared" si="10"/>
        <v>#NUM!</v>
      </c>
      <c r="T143" s="4" t="str">
        <f t="shared" si="8"/>
        <v/>
      </c>
      <c r="U143" s="4" t="s">
        <v>3763</v>
      </c>
    </row>
    <row r="144" spans="1:21" x14ac:dyDescent="0.3">
      <c r="A144" t="s">
        <v>368</v>
      </c>
      <c r="B144" s="1" t="s">
        <v>264</v>
      </c>
      <c r="C144" s="1" t="s">
        <v>265</v>
      </c>
      <c r="D144" s="1" t="s">
        <v>13</v>
      </c>
      <c r="E144" s="2">
        <v>42134</v>
      </c>
      <c r="F144" s="2" t="b">
        <f t="shared" si="11"/>
        <v>1</v>
      </c>
      <c r="G144" s="2">
        <f t="shared" si="9"/>
        <v>42134</v>
      </c>
      <c r="H144" s="1" t="s">
        <v>41</v>
      </c>
      <c r="I144" s="1" t="s">
        <v>369</v>
      </c>
      <c r="J144" s="1">
        <v>30</v>
      </c>
      <c r="K144" s="1">
        <v>26</v>
      </c>
      <c r="L144" s="3">
        <v>0.1333</v>
      </c>
      <c r="N144" t="s">
        <v>3763</v>
      </c>
      <c r="S144" s="4" t="e">
        <f t="shared" si="10"/>
        <v>#NUM!</v>
      </c>
      <c r="T144" s="4" t="str">
        <f t="shared" si="8"/>
        <v/>
      </c>
      <c r="U144" s="4" t="s">
        <v>3763</v>
      </c>
    </row>
    <row r="145" spans="1:21" x14ac:dyDescent="0.3">
      <c r="A145" t="s">
        <v>370</v>
      </c>
      <c r="B145" s="1" t="s">
        <v>205</v>
      </c>
      <c r="C145" s="1" t="s">
        <v>206</v>
      </c>
      <c r="D145" s="1" t="s">
        <v>24</v>
      </c>
      <c r="E145" s="2" t="s">
        <v>3048</v>
      </c>
      <c r="F145" s="2" t="b">
        <f t="shared" si="11"/>
        <v>0</v>
      </c>
      <c r="G145" s="2">
        <f t="shared" si="9"/>
        <v>42397</v>
      </c>
      <c r="H145" s="1" t="s">
        <v>41</v>
      </c>
      <c r="I145" s="1" t="s">
        <v>361</v>
      </c>
      <c r="J145" s="1">
        <v>30</v>
      </c>
      <c r="K145" s="1">
        <v>27</v>
      </c>
      <c r="L145" s="3">
        <v>0.1</v>
      </c>
      <c r="N145" t="s">
        <v>3048</v>
      </c>
      <c r="P145">
        <v>1</v>
      </c>
      <c r="Q145">
        <v>28</v>
      </c>
      <c r="R145">
        <v>2016</v>
      </c>
      <c r="S145" s="4">
        <f t="shared" si="10"/>
        <v>42397</v>
      </c>
      <c r="T145" s="4">
        <f t="shared" si="8"/>
        <v>42397</v>
      </c>
      <c r="U145" s="4">
        <v>42397</v>
      </c>
    </row>
    <row r="146" spans="1:21" x14ac:dyDescent="0.3">
      <c r="A146" t="s">
        <v>371</v>
      </c>
      <c r="B146" s="1" t="s">
        <v>111</v>
      </c>
      <c r="C146" s="1" t="s">
        <v>82</v>
      </c>
      <c r="D146" s="1" t="s">
        <v>13</v>
      </c>
      <c r="E146" s="2">
        <v>42259</v>
      </c>
      <c r="F146" s="2" t="b">
        <f t="shared" si="11"/>
        <v>1</v>
      </c>
      <c r="G146" s="2">
        <f t="shared" si="9"/>
        <v>42259</v>
      </c>
      <c r="H146" s="1" t="s">
        <v>122</v>
      </c>
      <c r="I146" s="1" t="s">
        <v>372</v>
      </c>
      <c r="J146" s="1">
        <v>50</v>
      </c>
      <c r="K146" s="1">
        <v>34</v>
      </c>
      <c r="L146" s="3">
        <v>0.32</v>
      </c>
      <c r="N146" t="s">
        <v>3763</v>
      </c>
      <c r="S146" s="4" t="e">
        <f t="shared" si="10"/>
        <v>#NUM!</v>
      </c>
      <c r="T146" s="4" t="str">
        <f t="shared" si="8"/>
        <v/>
      </c>
      <c r="U146" s="4" t="s">
        <v>3763</v>
      </c>
    </row>
    <row r="147" spans="1:21" x14ac:dyDescent="0.3">
      <c r="A147" t="s">
        <v>373</v>
      </c>
      <c r="B147" s="1" t="s">
        <v>134</v>
      </c>
      <c r="C147" s="1" t="s">
        <v>92</v>
      </c>
      <c r="D147" s="1" t="s">
        <v>35</v>
      </c>
      <c r="E147" s="2">
        <v>43323</v>
      </c>
      <c r="F147" s="2" t="b">
        <f t="shared" si="11"/>
        <v>1</v>
      </c>
      <c r="G147" s="2">
        <f t="shared" si="9"/>
        <v>43323</v>
      </c>
      <c r="H147" s="1" t="s">
        <v>72</v>
      </c>
      <c r="I147" s="1" t="s">
        <v>374</v>
      </c>
      <c r="J147" s="1">
        <v>500</v>
      </c>
      <c r="K147" s="1">
        <v>500</v>
      </c>
      <c r="L147" s="3">
        <v>0</v>
      </c>
      <c r="N147" t="s">
        <v>3763</v>
      </c>
      <c r="S147" s="4" t="e">
        <f t="shared" si="10"/>
        <v>#NUM!</v>
      </c>
      <c r="T147" s="4" t="str">
        <f t="shared" si="8"/>
        <v/>
      </c>
      <c r="U147" s="4" t="s">
        <v>3763</v>
      </c>
    </row>
    <row r="148" spans="1:21" x14ac:dyDescent="0.3">
      <c r="A148" t="s">
        <v>375</v>
      </c>
      <c r="B148" s="1" t="s">
        <v>255</v>
      </c>
      <c r="C148" s="1" t="s">
        <v>256</v>
      </c>
      <c r="D148" s="1" t="s">
        <v>13</v>
      </c>
      <c r="E148" s="2" t="s">
        <v>3049</v>
      </c>
      <c r="F148" s="2" t="b">
        <f t="shared" si="11"/>
        <v>0</v>
      </c>
      <c r="G148" s="2">
        <f t="shared" si="9"/>
        <v>42855</v>
      </c>
      <c r="H148" s="1" t="s">
        <v>61</v>
      </c>
      <c r="I148" s="1" t="s">
        <v>376</v>
      </c>
      <c r="J148" s="1">
        <v>1000</v>
      </c>
      <c r="K148" s="1">
        <v>780</v>
      </c>
      <c r="L148" s="3">
        <v>0.22</v>
      </c>
      <c r="N148" t="s">
        <v>3049</v>
      </c>
      <c r="P148">
        <v>4</v>
      </c>
      <c r="Q148">
        <v>30</v>
      </c>
      <c r="R148">
        <v>2017</v>
      </c>
      <c r="S148" s="4">
        <f t="shared" si="10"/>
        <v>42855</v>
      </c>
      <c r="T148" s="4">
        <f t="shared" si="8"/>
        <v>42855</v>
      </c>
      <c r="U148" s="4">
        <v>42855</v>
      </c>
    </row>
    <row r="149" spans="1:21" x14ac:dyDescent="0.3">
      <c r="A149" t="s">
        <v>377</v>
      </c>
      <c r="B149" s="1" t="s">
        <v>49</v>
      </c>
      <c r="C149" s="1" t="s">
        <v>50</v>
      </c>
      <c r="D149" s="1" t="s">
        <v>24</v>
      </c>
      <c r="E149" s="2">
        <v>42858</v>
      </c>
      <c r="F149" s="2" t="b">
        <f t="shared" si="11"/>
        <v>1</v>
      </c>
      <c r="G149" s="2">
        <f t="shared" si="9"/>
        <v>42858</v>
      </c>
      <c r="H149" s="1" t="s">
        <v>115</v>
      </c>
      <c r="I149" s="1" t="s">
        <v>378</v>
      </c>
      <c r="J149" s="1">
        <v>250</v>
      </c>
      <c r="K149" s="1">
        <v>245</v>
      </c>
      <c r="L149" s="3">
        <v>0.02</v>
      </c>
      <c r="N149" t="s">
        <v>3763</v>
      </c>
      <c r="S149" s="4" t="e">
        <f t="shared" si="10"/>
        <v>#NUM!</v>
      </c>
      <c r="T149" s="4" t="str">
        <f t="shared" si="8"/>
        <v/>
      </c>
      <c r="U149" s="4" t="s">
        <v>3763</v>
      </c>
    </row>
    <row r="150" spans="1:21" x14ac:dyDescent="0.3">
      <c r="A150" t="s">
        <v>379</v>
      </c>
      <c r="B150" s="1" t="s">
        <v>241</v>
      </c>
      <c r="C150" s="1" t="s">
        <v>242</v>
      </c>
      <c r="D150" s="1" t="s">
        <v>13</v>
      </c>
      <c r="E150" s="2" t="s">
        <v>3050</v>
      </c>
      <c r="F150" s="2" t="b">
        <f t="shared" si="11"/>
        <v>0</v>
      </c>
      <c r="G150" s="2">
        <f t="shared" si="9"/>
        <v>42755</v>
      </c>
      <c r="H150" s="1" t="s">
        <v>55</v>
      </c>
      <c r="I150" s="1" t="s">
        <v>380</v>
      </c>
      <c r="J150" s="1">
        <v>800</v>
      </c>
      <c r="K150" s="1">
        <v>784</v>
      </c>
      <c r="L150" s="3">
        <v>0.02</v>
      </c>
      <c r="N150" t="s">
        <v>3050</v>
      </c>
      <c r="P150">
        <v>1</v>
      </c>
      <c r="Q150">
        <v>20</v>
      </c>
      <c r="R150">
        <v>2017</v>
      </c>
      <c r="S150" s="4">
        <f t="shared" si="10"/>
        <v>42755</v>
      </c>
      <c r="T150" s="4">
        <f t="shared" si="8"/>
        <v>42755</v>
      </c>
      <c r="U150" s="4">
        <v>42755</v>
      </c>
    </row>
    <row r="151" spans="1:21" x14ac:dyDescent="0.3">
      <c r="A151" t="s">
        <v>381</v>
      </c>
      <c r="B151" s="1" t="s">
        <v>131</v>
      </c>
      <c r="C151" s="1" t="s">
        <v>108</v>
      </c>
      <c r="D151" s="1" t="s">
        <v>19</v>
      </c>
      <c r="E151" s="2">
        <v>43286</v>
      </c>
      <c r="F151" s="2" t="b">
        <f t="shared" si="11"/>
        <v>1</v>
      </c>
      <c r="G151" s="2">
        <f t="shared" si="9"/>
        <v>43286</v>
      </c>
      <c r="H151" s="1" t="s">
        <v>104</v>
      </c>
      <c r="I151" s="1" t="s">
        <v>382</v>
      </c>
      <c r="J151" s="1">
        <v>70</v>
      </c>
      <c r="K151" s="1">
        <v>60</v>
      </c>
      <c r="L151" s="3">
        <v>0.1429</v>
      </c>
      <c r="N151" t="s">
        <v>3763</v>
      </c>
      <c r="S151" s="4" t="e">
        <f t="shared" si="10"/>
        <v>#NUM!</v>
      </c>
      <c r="T151" s="4" t="str">
        <f t="shared" si="8"/>
        <v/>
      </c>
      <c r="U151" s="4" t="s">
        <v>3763</v>
      </c>
    </row>
    <row r="152" spans="1:21" x14ac:dyDescent="0.3">
      <c r="A152" t="s">
        <v>383</v>
      </c>
      <c r="B152" s="1" t="s">
        <v>17</v>
      </c>
      <c r="C152" s="1" t="s">
        <v>18</v>
      </c>
      <c r="D152" s="1" t="s">
        <v>19</v>
      </c>
      <c r="E152" s="2" t="s">
        <v>3051</v>
      </c>
      <c r="F152" s="2" t="b">
        <f t="shared" si="11"/>
        <v>0</v>
      </c>
      <c r="G152" s="2">
        <f t="shared" si="9"/>
        <v>43388</v>
      </c>
      <c r="H152" s="1" t="s">
        <v>72</v>
      </c>
      <c r="I152" s="1" t="s">
        <v>178</v>
      </c>
      <c r="J152" s="1">
        <v>500</v>
      </c>
      <c r="K152" s="1">
        <v>500</v>
      </c>
      <c r="L152" s="3">
        <v>0</v>
      </c>
      <c r="N152" t="s">
        <v>3051</v>
      </c>
      <c r="P152">
        <v>10</v>
      </c>
      <c r="Q152">
        <v>15</v>
      </c>
      <c r="R152">
        <v>2018</v>
      </c>
      <c r="S152" s="4">
        <f t="shared" si="10"/>
        <v>43388</v>
      </c>
      <c r="T152" s="4">
        <f t="shared" si="8"/>
        <v>43388</v>
      </c>
      <c r="U152" s="4">
        <v>43388</v>
      </c>
    </row>
    <row r="153" spans="1:21" x14ac:dyDescent="0.3">
      <c r="A153" t="s">
        <v>384</v>
      </c>
      <c r="B153" s="1" t="s">
        <v>127</v>
      </c>
      <c r="C153" s="1" t="s">
        <v>128</v>
      </c>
      <c r="D153" s="1" t="s">
        <v>13</v>
      </c>
      <c r="E153" s="2">
        <v>43199</v>
      </c>
      <c r="F153" s="2" t="b">
        <f t="shared" si="11"/>
        <v>1</v>
      </c>
      <c r="G153" s="2">
        <f t="shared" si="9"/>
        <v>43199</v>
      </c>
      <c r="H153" s="1" t="s">
        <v>55</v>
      </c>
      <c r="I153" s="1" t="s">
        <v>385</v>
      </c>
      <c r="J153" s="1">
        <v>800</v>
      </c>
      <c r="K153" s="1">
        <v>496</v>
      </c>
      <c r="L153" s="3">
        <v>0.38</v>
      </c>
      <c r="N153" t="s">
        <v>3763</v>
      </c>
      <c r="S153" s="4" t="e">
        <f t="shared" si="10"/>
        <v>#NUM!</v>
      </c>
      <c r="T153" s="4" t="str">
        <f t="shared" si="8"/>
        <v/>
      </c>
      <c r="U153" s="4" t="s">
        <v>3763</v>
      </c>
    </row>
    <row r="154" spans="1:21" x14ac:dyDescent="0.3">
      <c r="A154" t="s">
        <v>386</v>
      </c>
      <c r="B154" s="1" t="s">
        <v>81</v>
      </c>
      <c r="C154" s="1" t="s">
        <v>82</v>
      </c>
      <c r="D154" s="1" t="s">
        <v>13</v>
      </c>
      <c r="E154" s="2" t="s">
        <v>3052</v>
      </c>
      <c r="F154" s="2" t="b">
        <f t="shared" si="11"/>
        <v>0</v>
      </c>
      <c r="G154" s="2">
        <f t="shared" si="9"/>
        <v>43343</v>
      </c>
      <c r="H154" s="1" t="s">
        <v>104</v>
      </c>
      <c r="I154" s="1" t="s">
        <v>387</v>
      </c>
      <c r="J154" s="1">
        <v>70</v>
      </c>
      <c r="K154" s="1">
        <v>69</v>
      </c>
      <c r="L154" s="3">
        <v>1.43E-2</v>
      </c>
      <c r="N154" t="s">
        <v>3052</v>
      </c>
      <c r="P154">
        <v>8</v>
      </c>
      <c r="Q154">
        <v>31</v>
      </c>
      <c r="R154">
        <v>2018</v>
      </c>
      <c r="S154" s="4">
        <f t="shared" si="10"/>
        <v>43343</v>
      </c>
      <c r="T154" s="4">
        <f t="shared" si="8"/>
        <v>43343</v>
      </c>
      <c r="U154" s="4">
        <v>43343</v>
      </c>
    </row>
    <row r="155" spans="1:21" x14ac:dyDescent="0.3">
      <c r="A155" t="s">
        <v>388</v>
      </c>
      <c r="B155" s="1" t="s">
        <v>103</v>
      </c>
      <c r="C155" s="1" t="s">
        <v>71</v>
      </c>
      <c r="D155" s="1" t="s">
        <v>35</v>
      </c>
      <c r="E155" s="2" t="s">
        <v>3053</v>
      </c>
      <c r="F155" s="2" t="b">
        <f t="shared" si="11"/>
        <v>0</v>
      </c>
      <c r="G155" s="2">
        <f t="shared" si="9"/>
        <v>43330</v>
      </c>
      <c r="H155" s="1" t="s">
        <v>41</v>
      </c>
      <c r="I155" s="1" t="s">
        <v>247</v>
      </c>
      <c r="J155" s="1">
        <v>30</v>
      </c>
      <c r="K155" s="1">
        <v>29</v>
      </c>
      <c r="L155" s="3">
        <v>3.3300000000000003E-2</v>
      </c>
      <c r="N155" t="s">
        <v>3053</v>
      </c>
      <c r="P155">
        <v>8</v>
      </c>
      <c r="Q155">
        <v>18</v>
      </c>
      <c r="R155">
        <v>2018</v>
      </c>
      <c r="S155" s="4">
        <f t="shared" si="10"/>
        <v>43330</v>
      </c>
      <c r="T155" s="4">
        <f t="shared" si="8"/>
        <v>43330</v>
      </c>
      <c r="U155" s="4">
        <v>43330</v>
      </c>
    </row>
    <row r="156" spans="1:21" x14ac:dyDescent="0.3">
      <c r="A156" t="s">
        <v>389</v>
      </c>
      <c r="B156" s="1" t="s">
        <v>150</v>
      </c>
      <c r="C156" s="1" t="s">
        <v>151</v>
      </c>
      <c r="D156" s="1" t="s">
        <v>13</v>
      </c>
      <c r="E156" s="2" t="s">
        <v>3054</v>
      </c>
      <c r="F156" s="2" t="b">
        <f t="shared" si="11"/>
        <v>0</v>
      </c>
      <c r="G156" s="2">
        <f t="shared" si="9"/>
        <v>42536</v>
      </c>
      <c r="H156" s="1" t="s">
        <v>104</v>
      </c>
      <c r="I156" s="1" t="s">
        <v>152</v>
      </c>
      <c r="J156" s="1">
        <v>70</v>
      </c>
      <c r="K156" s="1">
        <v>65</v>
      </c>
      <c r="L156" s="3">
        <v>7.1400000000000005E-2</v>
      </c>
      <c r="N156" t="s">
        <v>3054</v>
      </c>
      <c r="P156">
        <v>6</v>
      </c>
      <c r="Q156">
        <v>15</v>
      </c>
      <c r="R156">
        <v>2016</v>
      </c>
      <c r="S156" s="4">
        <f t="shared" si="10"/>
        <v>42536</v>
      </c>
      <c r="T156" s="4">
        <f t="shared" si="8"/>
        <v>42536</v>
      </c>
      <c r="U156" s="4">
        <v>42536</v>
      </c>
    </row>
    <row r="157" spans="1:21" x14ac:dyDescent="0.3">
      <c r="A157" t="s">
        <v>390</v>
      </c>
      <c r="B157" s="1" t="s">
        <v>70</v>
      </c>
      <c r="C157" s="1" t="s">
        <v>71</v>
      </c>
      <c r="D157" s="1" t="s">
        <v>35</v>
      </c>
      <c r="E157" s="2">
        <v>42494</v>
      </c>
      <c r="F157" s="2" t="b">
        <f t="shared" si="11"/>
        <v>1</v>
      </c>
      <c r="G157" s="2">
        <f t="shared" si="9"/>
        <v>42494</v>
      </c>
      <c r="H157" s="1" t="s">
        <v>14</v>
      </c>
      <c r="I157" s="1" t="s">
        <v>391</v>
      </c>
      <c r="J157" s="1">
        <v>80</v>
      </c>
      <c r="K157" s="1">
        <v>78</v>
      </c>
      <c r="L157" s="3">
        <v>2.5000000000000001E-2</v>
      </c>
      <c r="N157" t="s">
        <v>3763</v>
      </c>
      <c r="S157" s="4" t="e">
        <f t="shared" si="10"/>
        <v>#NUM!</v>
      </c>
      <c r="T157" s="4" t="str">
        <f t="shared" si="8"/>
        <v/>
      </c>
      <c r="U157" s="4" t="s">
        <v>3763</v>
      </c>
    </row>
    <row r="158" spans="1:21" x14ac:dyDescent="0.3">
      <c r="A158" t="s">
        <v>392</v>
      </c>
      <c r="B158" s="1" t="s">
        <v>221</v>
      </c>
      <c r="C158" s="1" t="s">
        <v>40</v>
      </c>
      <c r="D158" s="1" t="s">
        <v>35</v>
      </c>
      <c r="E158" s="2" t="s">
        <v>3055</v>
      </c>
      <c r="F158" s="2" t="b">
        <f t="shared" si="11"/>
        <v>0</v>
      </c>
      <c r="G158" s="2">
        <f t="shared" si="9"/>
        <v>42171</v>
      </c>
      <c r="H158" s="1" t="s">
        <v>122</v>
      </c>
      <c r="I158" s="1" t="s">
        <v>231</v>
      </c>
      <c r="J158" s="1">
        <v>50</v>
      </c>
      <c r="K158" s="1">
        <v>39</v>
      </c>
      <c r="L158" s="3">
        <v>0.22</v>
      </c>
      <c r="N158" t="s">
        <v>3055</v>
      </c>
      <c r="P158">
        <v>6</v>
      </c>
      <c r="Q158">
        <v>16</v>
      </c>
      <c r="R158">
        <v>2015</v>
      </c>
      <c r="S158" s="4">
        <f t="shared" si="10"/>
        <v>42171</v>
      </c>
      <c r="T158" s="4">
        <f t="shared" si="8"/>
        <v>42171</v>
      </c>
      <c r="U158" s="4">
        <v>42171</v>
      </c>
    </row>
    <row r="159" spans="1:21" x14ac:dyDescent="0.3">
      <c r="A159" t="s">
        <v>393</v>
      </c>
      <c r="B159" s="1" t="s">
        <v>77</v>
      </c>
      <c r="C159" s="1" t="s">
        <v>78</v>
      </c>
      <c r="D159" s="1" t="s">
        <v>35</v>
      </c>
      <c r="E159" s="2" t="s">
        <v>3056</v>
      </c>
      <c r="F159" s="2" t="b">
        <f t="shared" si="11"/>
        <v>0</v>
      </c>
      <c r="G159" s="2">
        <f t="shared" si="9"/>
        <v>42840</v>
      </c>
      <c r="H159" s="1" t="s">
        <v>41</v>
      </c>
      <c r="I159" s="1" t="s">
        <v>394</v>
      </c>
      <c r="J159" s="1">
        <v>30</v>
      </c>
      <c r="K159" s="1">
        <v>28</v>
      </c>
      <c r="L159" s="3">
        <v>6.6699999999999995E-2</v>
      </c>
      <c r="N159" t="s">
        <v>3056</v>
      </c>
      <c r="P159">
        <v>4</v>
      </c>
      <c r="Q159">
        <v>15</v>
      </c>
      <c r="R159">
        <v>2017</v>
      </c>
      <c r="S159" s="4">
        <f t="shared" si="10"/>
        <v>42840</v>
      </c>
      <c r="T159" s="4">
        <f t="shared" si="8"/>
        <v>42840</v>
      </c>
      <c r="U159" s="4">
        <v>42840</v>
      </c>
    </row>
    <row r="160" spans="1:21" x14ac:dyDescent="0.3">
      <c r="A160" t="s">
        <v>395</v>
      </c>
      <c r="B160" s="1" t="s">
        <v>28</v>
      </c>
      <c r="C160" s="1" t="s">
        <v>29</v>
      </c>
      <c r="D160" s="1" t="s">
        <v>13</v>
      </c>
      <c r="E160" s="2" t="s">
        <v>3057</v>
      </c>
      <c r="F160" s="2" t="b">
        <f t="shared" si="11"/>
        <v>0</v>
      </c>
      <c r="G160" s="2">
        <f t="shared" si="9"/>
        <v>42180</v>
      </c>
      <c r="H160" s="1" t="s">
        <v>46</v>
      </c>
      <c r="I160" s="1" t="s">
        <v>396</v>
      </c>
      <c r="J160" s="1">
        <v>500</v>
      </c>
      <c r="K160" s="1">
        <v>315</v>
      </c>
      <c r="L160" s="3">
        <v>0.37</v>
      </c>
      <c r="N160" t="s">
        <v>3057</v>
      </c>
      <c r="P160">
        <v>6</v>
      </c>
      <c r="Q160">
        <v>25</v>
      </c>
      <c r="R160">
        <v>2015</v>
      </c>
      <c r="S160" s="4">
        <f t="shared" si="10"/>
        <v>42180</v>
      </c>
      <c r="T160" s="4">
        <f t="shared" si="8"/>
        <v>42180</v>
      </c>
      <c r="U160" s="4">
        <v>42180</v>
      </c>
    </row>
    <row r="161" spans="1:21" x14ac:dyDescent="0.3">
      <c r="A161" t="s">
        <v>397</v>
      </c>
      <c r="B161" s="1" t="s">
        <v>49</v>
      </c>
      <c r="C161" s="1" t="s">
        <v>50</v>
      </c>
      <c r="D161" s="1" t="s">
        <v>24</v>
      </c>
      <c r="E161" s="2">
        <v>42495</v>
      </c>
      <c r="F161" s="2" t="b">
        <f t="shared" si="11"/>
        <v>1</v>
      </c>
      <c r="G161" s="2">
        <f t="shared" si="9"/>
        <v>42495</v>
      </c>
      <c r="H161" s="1" t="s">
        <v>41</v>
      </c>
      <c r="I161" s="1" t="s">
        <v>398</v>
      </c>
      <c r="J161" s="1">
        <v>30</v>
      </c>
      <c r="K161" s="1">
        <v>29</v>
      </c>
      <c r="L161" s="3">
        <v>3.3300000000000003E-2</v>
      </c>
      <c r="N161" t="s">
        <v>3763</v>
      </c>
      <c r="S161" s="4" t="e">
        <f t="shared" si="10"/>
        <v>#NUM!</v>
      </c>
      <c r="T161" s="4" t="str">
        <f t="shared" si="8"/>
        <v/>
      </c>
      <c r="U161" s="4" t="s">
        <v>3763</v>
      </c>
    </row>
    <row r="162" spans="1:21" x14ac:dyDescent="0.3">
      <c r="A162" t="s">
        <v>399</v>
      </c>
      <c r="B162" s="1" t="s">
        <v>400</v>
      </c>
      <c r="C162" s="1" t="s">
        <v>401</v>
      </c>
      <c r="D162" s="1" t="s">
        <v>13</v>
      </c>
      <c r="E162" s="2" t="s">
        <v>3058</v>
      </c>
      <c r="F162" s="2" t="b">
        <f t="shared" si="11"/>
        <v>0</v>
      </c>
      <c r="G162" s="2">
        <f t="shared" si="9"/>
        <v>42509</v>
      </c>
      <c r="H162" s="1" t="s">
        <v>25</v>
      </c>
      <c r="I162" s="1" t="s">
        <v>402</v>
      </c>
      <c r="J162" s="1">
        <v>700</v>
      </c>
      <c r="K162" s="1">
        <v>595</v>
      </c>
      <c r="L162" s="3">
        <v>0.15</v>
      </c>
      <c r="N162" t="s">
        <v>3058</v>
      </c>
      <c r="P162">
        <v>5</v>
      </c>
      <c r="Q162">
        <v>19</v>
      </c>
      <c r="R162">
        <v>2016</v>
      </c>
      <c r="S162" s="4">
        <f t="shared" si="10"/>
        <v>42509</v>
      </c>
      <c r="T162" s="4">
        <f t="shared" si="8"/>
        <v>42509</v>
      </c>
      <c r="U162" s="4">
        <v>42509</v>
      </c>
    </row>
    <row r="163" spans="1:21" x14ac:dyDescent="0.3">
      <c r="A163" t="s">
        <v>403</v>
      </c>
      <c r="B163" s="1" t="s">
        <v>53</v>
      </c>
      <c r="C163" s="1" t="s">
        <v>54</v>
      </c>
      <c r="D163" s="1" t="s">
        <v>13</v>
      </c>
      <c r="E163" s="2" t="s">
        <v>3059</v>
      </c>
      <c r="F163" s="2" t="b">
        <f t="shared" si="11"/>
        <v>0</v>
      </c>
      <c r="G163" s="2">
        <f t="shared" si="9"/>
        <v>41696</v>
      </c>
      <c r="H163" s="1" t="s">
        <v>72</v>
      </c>
      <c r="I163" s="1" t="s">
        <v>404</v>
      </c>
      <c r="J163" s="1">
        <v>500</v>
      </c>
      <c r="K163" s="1">
        <v>500</v>
      </c>
      <c r="L163" s="3">
        <v>0</v>
      </c>
      <c r="N163" t="s">
        <v>3059</v>
      </c>
      <c r="P163">
        <v>2</v>
      </c>
      <c r="Q163">
        <v>26</v>
      </c>
      <c r="R163">
        <v>2014</v>
      </c>
      <c r="S163" s="4">
        <f t="shared" si="10"/>
        <v>41696</v>
      </c>
      <c r="T163" s="4">
        <f t="shared" si="8"/>
        <v>41696</v>
      </c>
      <c r="U163" s="4">
        <v>41696</v>
      </c>
    </row>
    <row r="164" spans="1:21" x14ac:dyDescent="0.3">
      <c r="A164" t="s">
        <v>405</v>
      </c>
      <c r="B164" s="1" t="s">
        <v>49</v>
      </c>
      <c r="C164" s="1" t="s">
        <v>50</v>
      </c>
      <c r="D164" s="1" t="s">
        <v>24</v>
      </c>
      <c r="E164" s="2" t="s">
        <v>3060</v>
      </c>
      <c r="F164" s="2" t="b">
        <f t="shared" si="11"/>
        <v>0</v>
      </c>
      <c r="G164" s="2">
        <f t="shared" si="9"/>
        <v>41969</v>
      </c>
      <c r="H164" s="1" t="s">
        <v>115</v>
      </c>
      <c r="I164" s="1" t="s">
        <v>51</v>
      </c>
      <c r="J164" s="1">
        <v>250</v>
      </c>
      <c r="K164" s="1">
        <v>243</v>
      </c>
      <c r="L164" s="3">
        <v>2.8000000000000001E-2</v>
      </c>
      <c r="N164" t="s">
        <v>3060</v>
      </c>
      <c r="P164">
        <v>11</v>
      </c>
      <c r="Q164">
        <v>26</v>
      </c>
      <c r="R164">
        <v>2014</v>
      </c>
      <c r="S164" s="4">
        <f t="shared" si="10"/>
        <v>41969</v>
      </c>
      <c r="T164" s="4">
        <f t="shared" si="8"/>
        <v>41969</v>
      </c>
      <c r="U164" s="4">
        <v>41969</v>
      </c>
    </row>
    <row r="165" spans="1:21" x14ac:dyDescent="0.3">
      <c r="A165" t="s">
        <v>406</v>
      </c>
      <c r="B165" s="1" t="s">
        <v>131</v>
      </c>
      <c r="C165" s="1" t="s">
        <v>108</v>
      </c>
      <c r="D165" s="1" t="s">
        <v>19</v>
      </c>
      <c r="E165" s="2" t="s">
        <v>3061</v>
      </c>
      <c r="F165" s="2" t="b">
        <f t="shared" si="11"/>
        <v>0</v>
      </c>
      <c r="G165" s="2">
        <f t="shared" si="9"/>
        <v>41665</v>
      </c>
      <c r="H165" s="1" t="s">
        <v>36</v>
      </c>
      <c r="I165" s="1" t="s">
        <v>132</v>
      </c>
      <c r="J165" s="1">
        <v>50</v>
      </c>
      <c r="K165" s="1">
        <v>40</v>
      </c>
      <c r="L165" s="3">
        <v>0.2</v>
      </c>
      <c r="N165" t="s">
        <v>3061</v>
      </c>
      <c r="P165">
        <v>1</v>
      </c>
      <c r="Q165">
        <v>26</v>
      </c>
      <c r="R165">
        <v>2014</v>
      </c>
      <c r="S165" s="4">
        <f t="shared" si="10"/>
        <v>41665</v>
      </c>
      <c r="T165" s="4">
        <f t="shared" si="8"/>
        <v>41665</v>
      </c>
      <c r="U165" s="4">
        <v>41665</v>
      </c>
    </row>
    <row r="166" spans="1:21" x14ac:dyDescent="0.3">
      <c r="A166" t="s">
        <v>407</v>
      </c>
      <c r="B166" s="1" t="s">
        <v>91</v>
      </c>
      <c r="C166" s="1" t="s">
        <v>92</v>
      </c>
      <c r="D166" s="1" t="s">
        <v>35</v>
      </c>
      <c r="E166" s="2" t="s">
        <v>3062</v>
      </c>
      <c r="F166" s="2" t="b">
        <f t="shared" si="11"/>
        <v>0</v>
      </c>
      <c r="G166" s="2">
        <f t="shared" si="9"/>
        <v>42120</v>
      </c>
      <c r="H166" s="1" t="s">
        <v>104</v>
      </c>
      <c r="I166" s="1" t="s">
        <v>285</v>
      </c>
      <c r="J166" s="1">
        <v>70</v>
      </c>
      <c r="K166" s="1">
        <v>47</v>
      </c>
      <c r="L166" s="3">
        <v>0.3286</v>
      </c>
      <c r="N166" t="s">
        <v>3062</v>
      </c>
      <c r="P166">
        <v>4</v>
      </c>
      <c r="Q166">
        <v>26</v>
      </c>
      <c r="R166">
        <v>2015</v>
      </c>
      <c r="S166" s="4">
        <f t="shared" si="10"/>
        <v>42120</v>
      </c>
      <c r="T166" s="4">
        <f t="shared" si="8"/>
        <v>42120</v>
      </c>
      <c r="U166" s="4">
        <v>42120</v>
      </c>
    </row>
    <row r="167" spans="1:21" x14ac:dyDescent="0.3">
      <c r="A167" t="s">
        <v>408</v>
      </c>
      <c r="B167" s="1" t="s">
        <v>150</v>
      </c>
      <c r="C167" s="1" t="s">
        <v>151</v>
      </c>
      <c r="D167" s="1" t="s">
        <v>13</v>
      </c>
      <c r="E167" s="2">
        <v>42159</v>
      </c>
      <c r="F167" s="2" t="b">
        <f t="shared" si="11"/>
        <v>1</v>
      </c>
      <c r="G167" s="2">
        <f t="shared" si="9"/>
        <v>42159</v>
      </c>
      <c r="H167" s="1" t="s">
        <v>122</v>
      </c>
      <c r="I167" s="1" t="s">
        <v>409</v>
      </c>
      <c r="J167" s="1">
        <v>50</v>
      </c>
      <c r="K167" s="1">
        <v>46</v>
      </c>
      <c r="L167" s="3">
        <v>0.08</v>
      </c>
      <c r="N167" t="s">
        <v>3763</v>
      </c>
      <c r="S167" s="4" t="e">
        <f t="shared" si="10"/>
        <v>#NUM!</v>
      </c>
      <c r="T167" s="4" t="str">
        <f t="shared" si="8"/>
        <v/>
      </c>
      <c r="U167" s="4" t="s">
        <v>3763</v>
      </c>
    </row>
    <row r="168" spans="1:21" x14ac:dyDescent="0.3">
      <c r="A168" t="s">
        <v>410</v>
      </c>
      <c r="B168" s="1" t="s">
        <v>170</v>
      </c>
      <c r="C168" s="1" t="s">
        <v>171</v>
      </c>
      <c r="D168" s="1" t="s">
        <v>13</v>
      </c>
      <c r="E168" s="2">
        <v>42069</v>
      </c>
      <c r="F168" s="2" t="b">
        <f t="shared" si="11"/>
        <v>1</v>
      </c>
      <c r="G168" s="2">
        <f t="shared" si="9"/>
        <v>42069</v>
      </c>
      <c r="H168" s="1" t="s">
        <v>72</v>
      </c>
      <c r="I168" s="1" t="s">
        <v>411</v>
      </c>
      <c r="J168" s="1">
        <v>500</v>
      </c>
      <c r="K168" s="1">
        <v>500</v>
      </c>
      <c r="L168" s="3">
        <v>0</v>
      </c>
      <c r="N168" t="s">
        <v>3763</v>
      </c>
      <c r="S168" s="4" t="e">
        <f t="shared" si="10"/>
        <v>#NUM!</v>
      </c>
      <c r="T168" s="4" t="str">
        <f t="shared" si="8"/>
        <v/>
      </c>
      <c r="U168" s="4" t="s">
        <v>3763</v>
      </c>
    </row>
    <row r="169" spans="1:21" x14ac:dyDescent="0.3">
      <c r="A169" t="s">
        <v>412</v>
      </c>
      <c r="B169" s="1" t="s">
        <v>224</v>
      </c>
      <c r="C169" s="1" t="s">
        <v>50</v>
      </c>
      <c r="D169" s="1" t="s">
        <v>24</v>
      </c>
      <c r="E169" s="2" t="s">
        <v>3063</v>
      </c>
      <c r="F169" s="2" t="b">
        <f t="shared" si="11"/>
        <v>0</v>
      </c>
      <c r="G169" s="2">
        <f t="shared" si="9"/>
        <v>42819</v>
      </c>
      <c r="H169" s="1" t="s">
        <v>14</v>
      </c>
      <c r="I169" s="1" t="s">
        <v>413</v>
      </c>
      <c r="J169" s="1">
        <v>80</v>
      </c>
      <c r="K169" s="1">
        <v>77</v>
      </c>
      <c r="L169" s="3">
        <v>3.7499999999999999E-2</v>
      </c>
      <c r="N169" t="s">
        <v>3063</v>
      </c>
      <c r="P169">
        <v>3</v>
      </c>
      <c r="Q169">
        <v>25</v>
      </c>
      <c r="R169">
        <v>2017</v>
      </c>
      <c r="S169" s="4">
        <f t="shared" si="10"/>
        <v>42819</v>
      </c>
      <c r="T169" s="4">
        <f t="shared" si="8"/>
        <v>42819</v>
      </c>
      <c r="U169" s="4">
        <v>42819</v>
      </c>
    </row>
    <row r="170" spans="1:21" x14ac:dyDescent="0.3">
      <c r="A170" t="s">
        <v>414</v>
      </c>
      <c r="B170" s="1" t="s">
        <v>187</v>
      </c>
      <c r="C170" s="1" t="s">
        <v>188</v>
      </c>
      <c r="D170" s="1" t="s">
        <v>13</v>
      </c>
      <c r="E170" s="2" t="s">
        <v>3064</v>
      </c>
      <c r="F170" s="2" t="b">
        <f t="shared" si="11"/>
        <v>0</v>
      </c>
      <c r="G170" s="2">
        <f t="shared" si="9"/>
        <v>43116</v>
      </c>
      <c r="H170" s="1" t="s">
        <v>122</v>
      </c>
      <c r="I170" s="1" t="s">
        <v>415</v>
      </c>
      <c r="J170" s="1">
        <v>50</v>
      </c>
      <c r="K170" s="1">
        <v>43</v>
      </c>
      <c r="L170" s="3">
        <v>0.14000000000000001</v>
      </c>
      <c r="N170" t="s">
        <v>3064</v>
      </c>
      <c r="P170">
        <v>1</v>
      </c>
      <c r="Q170">
        <v>16</v>
      </c>
      <c r="R170">
        <v>2018</v>
      </c>
      <c r="S170" s="4">
        <f t="shared" si="10"/>
        <v>43116</v>
      </c>
      <c r="T170" s="4">
        <f t="shared" si="8"/>
        <v>43116</v>
      </c>
      <c r="U170" s="4">
        <v>43116</v>
      </c>
    </row>
    <row r="171" spans="1:21" x14ac:dyDescent="0.3">
      <c r="A171" t="s">
        <v>416</v>
      </c>
      <c r="B171" s="1" t="s">
        <v>70</v>
      </c>
      <c r="C171" s="1" t="s">
        <v>71</v>
      </c>
      <c r="D171" s="1" t="s">
        <v>35</v>
      </c>
      <c r="E171" s="2">
        <v>43289</v>
      </c>
      <c r="F171" s="2" t="b">
        <f t="shared" si="11"/>
        <v>1</v>
      </c>
      <c r="G171" s="2">
        <f t="shared" si="9"/>
        <v>43289</v>
      </c>
      <c r="H171" s="1" t="s">
        <v>30</v>
      </c>
      <c r="I171" s="1" t="s">
        <v>417</v>
      </c>
      <c r="J171" s="1">
        <v>150</v>
      </c>
      <c r="K171" s="1">
        <v>143</v>
      </c>
      <c r="L171" s="3">
        <v>4.6699999999999998E-2</v>
      </c>
      <c r="N171" t="s">
        <v>3763</v>
      </c>
      <c r="S171" s="4" t="e">
        <f t="shared" si="10"/>
        <v>#NUM!</v>
      </c>
      <c r="T171" s="4" t="str">
        <f t="shared" si="8"/>
        <v/>
      </c>
      <c r="U171" s="4" t="s">
        <v>3763</v>
      </c>
    </row>
    <row r="172" spans="1:21" x14ac:dyDescent="0.3">
      <c r="A172" t="s">
        <v>418</v>
      </c>
      <c r="B172" s="1" t="s">
        <v>64</v>
      </c>
      <c r="C172" s="1" t="s">
        <v>65</v>
      </c>
      <c r="D172" s="1" t="s">
        <v>35</v>
      </c>
      <c r="E172" s="2">
        <v>42253</v>
      </c>
      <c r="F172" s="2" t="b">
        <f t="shared" si="11"/>
        <v>1</v>
      </c>
      <c r="G172" s="2">
        <f t="shared" si="9"/>
        <v>42253</v>
      </c>
      <c r="H172" s="1" t="s">
        <v>61</v>
      </c>
      <c r="I172" s="1" t="s">
        <v>66</v>
      </c>
      <c r="J172" s="1">
        <v>1000</v>
      </c>
      <c r="K172" s="1">
        <v>610</v>
      </c>
      <c r="L172" s="3">
        <v>0.39</v>
      </c>
      <c r="N172" t="s">
        <v>3763</v>
      </c>
      <c r="S172" s="4" t="e">
        <f t="shared" si="10"/>
        <v>#NUM!</v>
      </c>
      <c r="T172" s="4" t="str">
        <f t="shared" si="8"/>
        <v/>
      </c>
      <c r="U172" s="4" t="s">
        <v>3763</v>
      </c>
    </row>
    <row r="173" spans="1:21" x14ac:dyDescent="0.3">
      <c r="A173" t="s">
        <v>419</v>
      </c>
      <c r="B173" s="1" t="s">
        <v>81</v>
      </c>
      <c r="C173" s="1" t="s">
        <v>82</v>
      </c>
      <c r="D173" s="1" t="s">
        <v>13</v>
      </c>
      <c r="E173" s="2">
        <v>41765</v>
      </c>
      <c r="F173" s="2" t="b">
        <f t="shared" si="11"/>
        <v>1</v>
      </c>
      <c r="G173" s="2">
        <f t="shared" si="9"/>
        <v>41765</v>
      </c>
      <c r="H173" s="1" t="s">
        <v>36</v>
      </c>
      <c r="I173" s="1" t="s">
        <v>387</v>
      </c>
      <c r="J173" s="1">
        <v>50</v>
      </c>
      <c r="K173" s="1">
        <v>41</v>
      </c>
      <c r="L173" s="3">
        <v>0.18</v>
      </c>
      <c r="N173" t="s">
        <v>3763</v>
      </c>
      <c r="S173" s="4" t="e">
        <f t="shared" si="10"/>
        <v>#NUM!</v>
      </c>
      <c r="T173" s="4" t="str">
        <f t="shared" si="8"/>
        <v/>
      </c>
      <c r="U173" s="4" t="s">
        <v>3763</v>
      </c>
    </row>
    <row r="174" spans="1:21" x14ac:dyDescent="0.3">
      <c r="A174" t="s">
        <v>420</v>
      </c>
      <c r="B174" s="1" t="s">
        <v>289</v>
      </c>
      <c r="C174" s="1" t="s">
        <v>108</v>
      </c>
      <c r="D174" s="1" t="s">
        <v>19</v>
      </c>
      <c r="E174" s="2" t="s">
        <v>3065</v>
      </c>
      <c r="F174" s="2" t="b">
        <f t="shared" si="11"/>
        <v>0</v>
      </c>
      <c r="G174" s="2">
        <f t="shared" si="9"/>
        <v>42175</v>
      </c>
      <c r="H174" s="1" t="s">
        <v>41</v>
      </c>
      <c r="I174" s="1" t="s">
        <v>421</v>
      </c>
      <c r="J174" s="1">
        <v>30</v>
      </c>
      <c r="K174" s="1">
        <v>29</v>
      </c>
      <c r="L174" s="3">
        <v>3.3300000000000003E-2</v>
      </c>
      <c r="N174" t="s">
        <v>3065</v>
      </c>
      <c r="P174">
        <v>6</v>
      </c>
      <c r="Q174">
        <v>20</v>
      </c>
      <c r="R174">
        <v>2015</v>
      </c>
      <c r="S174" s="4">
        <f t="shared" si="10"/>
        <v>42175</v>
      </c>
      <c r="T174" s="4">
        <f t="shared" si="8"/>
        <v>42175</v>
      </c>
      <c r="U174" s="4">
        <v>42175</v>
      </c>
    </row>
    <row r="175" spans="1:21" x14ac:dyDescent="0.3">
      <c r="A175" t="s">
        <v>422</v>
      </c>
      <c r="B175" s="1" t="s">
        <v>127</v>
      </c>
      <c r="C175" s="1" t="s">
        <v>128</v>
      </c>
      <c r="D175" s="1" t="s">
        <v>13</v>
      </c>
      <c r="E175" s="2" t="s">
        <v>3024</v>
      </c>
      <c r="F175" s="2" t="b">
        <f t="shared" si="11"/>
        <v>0</v>
      </c>
      <c r="G175" s="2">
        <f t="shared" si="9"/>
        <v>41941</v>
      </c>
      <c r="H175" s="1" t="s">
        <v>14</v>
      </c>
      <c r="I175" s="1" t="s">
        <v>385</v>
      </c>
      <c r="J175" s="1">
        <v>80</v>
      </c>
      <c r="K175" s="1">
        <v>70</v>
      </c>
      <c r="L175" s="3">
        <v>0.125</v>
      </c>
      <c r="N175" t="s">
        <v>3024</v>
      </c>
      <c r="P175">
        <v>10</v>
      </c>
      <c r="Q175">
        <v>29</v>
      </c>
      <c r="R175">
        <v>2014</v>
      </c>
      <c r="S175" s="4">
        <f t="shared" si="10"/>
        <v>41941</v>
      </c>
      <c r="T175" s="4">
        <f t="shared" si="8"/>
        <v>41941</v>
      </c>
      <c r="U175" s="4">
        <v>41941</v>
      </c>
    </row>
    <row r="176" spans="1:21" x14ac:dyDescent="0.3">
      <c r="A176" t="s">
        <v>423</v>
      </c>
      <c r="B176" s="1" t="s">
        <v>28</v>
      </c>
      <c r="C176" s="1" t="s">
        <v>29</v>
      </c>
      <c r="D176" s="1" t="s">
        <v>13</v>
      </c>
      <c r="E176" s="2">
        <v>43385</v>
      </c>
      <c r="F176" s="2" t="b">
        <f t="shared" si="11"/>
        <v>1</v>
      </c>
      <c r="G176" s="2">
        <f t="shared" si="9"/>
        <v>43385</v>
      </c>
      <c r="H176" s="1" t="s">
        <v>115</v>
      </c>
      <c r="I176" s="1" t="s">
        <v>424</v>
      </c>
      <c r="J176" s="1">
        <v>250</v>
      </c>
      <c r="K176" s="1">
        <v>240</v>
      </c>
      <c r="L176" s="3">
        <v>0.04</v>
      </c>
      <c r="N176" t="s">
        <v>3763</v>
      </c>
      <c r="S176" s="4" t="e">
        <f t="shared" si="10"/>
        <v>#NUM!</v>
      </c>
      <c r="T176" s="4" t="str">
        <f t="shared" si="8"/>
        <v/>
      </c>
      <c r="U176" s="4" t="s">
        <v>3763</v>
      </c>
    </row>
    <row r="177" spans="1:21" x14ac:dyDescent="0.3">
      <c r="A177" t="s">
        <v>425</v>
      </c>
      <c r="B177" s="1" t="s">
        <v>241</v>
      </c>
      <c r="C177" s="1" t="s">
        <v>242</v>
      </c>
      <c r="D177" s="1" t="s">
        <v>13</v>
      </c>
      <c r="E177" s="2" t="s">
        <v>3066</v>
      </c>
      <c r="F177" s="2" t="b">
        <f t="shared" si="11"/>
        <v>0</v>
      </c>
      <c r="G177" s="2">
        <f t="shared" si="9"/>
        <v>43240</v>
      </c>
      <c r="H177" s="1" t="s">
        <v>41</v>
      </c>
      <c r="I177" s="1" t="s">
        <v>426</v>
      </c>
      <c r="J177" s="1">
        <v>30</v>
      </c>
      <c r="K177" s="1">
        <v>28</v>
      </c>
      <c r="L177" s="3">
        <v>6.6699999999999995E-2</v>
      </c>
      <c r="N177" t="s">
        <v>3066</v>
      </c>
      <c r="P177">
        <v>5</v>
      </c>
      <c r="Q177">
        <v>20</v>
      </c>
      <c r="R177">
        <v>2018</v>
      </c>
      <c r="S177" s="4">
        <f t="shared" si="10"/>
        <v>43240</v>
      </c>
      <c r="T177" s="4">
        <f t="shared" si="8"/>
        <v>43240</v>
      </c>
      <c r="U177" s="4">
        <v>43240</v>
      </c>
    </row>
    <row r="178" spans="1:21" x14ac:dyDescent="0.3">
      <c r="A178" t="s">
        <v>427</v>
      </c>
      <c r="B178" s="1" t="s">
        <v>70</v>
      </c>
      <c r="C178" s="1" t="s">
        <v>71</v>
      </c>
      <c r="D178" s="1" t="s">
        <v>35</v>
      </c>
      <c r="E178" s="2" t="s">
        <v>3067</v>
      </c>
      <c r="F178" s="2" t="b">
        <f t="shared" si="11"/>
        <v>0</v>
      </c>
      <c r="G178" s="2">
        <f t="shared" si="9"/>
        <v>43121</v>
      </c>
      <c r="H178" s="1" t="s">
        <v>104</v>
      </c>
      <c r="I178" s="1" t="s">
        <v>142</v>
      </c>
      <c r="J178" s="1">
        <v>70</v>
      </c>
      <c r="K178" s="1">
        <v>64</v>
      </c>
      <c r="L178" s="3">
        <v>8.5699999999999998E-2</v>
      </c>
      <c r="N178" t="s">
        <v>3067</v>
      </c>
      <c r="P178">
        <v>1</v>
      </c>
      <c r="Q178">
        <v>21</v>
      </c>
      <c r="R178">
        <v>2018</v>
      </c>
      <c r="S178" s="4">
        <f t="shared" si="10"/>
        <v>43121</v>
      </c>
      <c r="T178" s="4">
        <f t="shared" si="8"/>
        <v>43121</v>
      </c>
      <c r="U178" s="4">
        <v>43121</v>
      </c>
    </row>
    <row r="179" spans="1:21" x14ac:dyDescent="0.3">
      <c r="A179" t="s">
        <v>428</v>
      </c>
      <c r="B179" s="1" t="s">
        <v>107</v>
      </c>
      <c r="C179" s="1" t="s">
        <v>108</v>
      </c>
      <c r="D179" s="1" t="s">
        <v>19</v>
      </c>
      <c r="E179" s="2" t="s">
        <v>3068</v>
      </c>
      <c r="F179" s="2" t="b">
        <f t="shared" si="11"/>
        <v>0</v>
      </c>
      <c r="G179" s="2">
        <f t="shared" si="9"/>
        <v>42200</v>
      </c>
      <c r="H179" s="1" t="s">
        <v>104</v>
      </c>
      <c r="I179" s="1" t="s">
        <v>109</v>
      </c>
      <c r="J179" s="1">
        <v>70</v>
      </c>
      <c r="K179" s="1">
        <v>51</v>
      </c>
      <c r="L179" s="3">
        <v>0.27139999999999997</v>
      </c>
      <c r="N179" t="s">
        <v>3068</v>
      </c>
      <c r="P179">
        <v>7</v>
      </c>
      <c r="Q179">
        <v>15</v>
      </c>
      <c r="R179">
        <v>2015</v>
      </c>
      <c r="S179" s="4">
        <f t="shared" si="10"/>
        <v>42200</v>
      </c>
      <c r="T179" s="4">
        <f t="shared" si="8"/>
        <v>42200</v>
      </c>
      <c r="U179" s="4">
        <v>42200</v>
      </c>
    </row>
    <row r="180" spans="1:21" x14ac:dyDescent="0.3">
      <c r="A180" t="s">
        <v>429</v>
      </c>
      <c r="B180" s="1" t="s">
        <v>22</v>
      </c>
      <c r="C180" s="1" t="s">
        <v>23</v>
      </c>
      <c r="D180" s="1" t="s">
        <v>24</v>
      </c>
      <c r="E180" s="2">
        <v>42315</v>
      </c>
      <c r="F180" s="2" t="b">
        <f t="shared" si="11"/>
        <v>1</v>
      </c>
      <c r="G180" s="2">
        <f t="shared" si="9"/>
        <v>42315</v>
      </c>
      <c r="H180" s="1" t="s">
        <v>36</v>
      </c>
      <c r="I180" s="1" t="s">
        <v>144</v>
      </c>
      <c r="J180" s="1">
        <v>50</v>
      </c>
      <c r="K180" s="1">
        <v>41</v>
      </c>
      <c r="L180" s="3">
        <v>0.18</v>
      </c>
      <c r="N180" t="s">
        <v>3763</v>
      </c>
      <c r="S180" s="4" t="e">
        <f t="shared" si="10"/>
        <v>#NUM!</v>
      </c>
      <c r="T180" s="4" t="str">
        <f t="shared" si="8"/>
        <v/>
      </c>
      <c r="U180" s="4" t="s">
        <v>3763</v>
      </c>
    </row>
    <row r="181" spans="1:21" x14ac:dyDescent="0.3">
      <c r="A181" t="s">
        <v>430</v>
      </c>
      <c r="B181" s="1" t="s">
        <v>44</v>
      </c>
      <c r="C181" s="1" t="s">
        <v>45</v>
      </c>
      <c r="D181" s="1" t="s">
        <v>24</v>
      </c>
      <c r="E181" s="2" t="s">
        <v>3004</v>
      </c>
      <c r="F181" s="2" t="b">
        <f t="shared" si="11"/>
        <v>0</v>
      </c>
      <c r="G181" s="2">
        <f t="shared" si="9"/>
        <v>43307</v>
      </c>
      <c r="H181" s="1" t="s">
        <v>72</v>
      </c>
      <c r="I181" s="1" t="s">
        <v>431</v>
      </c>
      <c r="J181" s="1">
        <v>500</v>
      </c>
      <c r="K181" s="1">
        <v>490</v>
      </c>
      <c r="L181" s="3">
        <v>0.02</v>
      </c>
      <c r="N181" t="s">
        <v>3004</v>
      </c>
      <c r="P181">
        <v>7</v>
      </c>
      <c r="Q181">
        <v>26</v>
      </c>
      <c r="R181">
        <v>2018</v>
      </c>
      <c r="S181" s="4">
        <f t="shared" si="10"/>
        <v>43307</v>
      </c>
      <c r="T181" s="4">
        <f t="shared" si="8"/>
        <v>43307</v>
      </c>
      <c r="U181" s="4">
        <v>43307</v>
      </c>
    </row>
    <row r="182" spans="1:21" x14ac:dyDescent="0.3">
      <c r="A182" t="s">
        <v>432</v>
      </c>
      <c r="B182" s="1" t="s">
        <v>44</v>
      </c>
      <c r="C182" s="1" t="s">
        <v>45</v>
      </c>
      <c r="D182" s="1" t="s">
        <v>24</v>
      </c>
      <c r="E182" s="2" t="s">
        <v>3069</v>
      </c>
      <c r="F182" s="2" t="b">
        <f t="shared" si="11"/>
        <v>0</v>
      </c>
      <c r="G182" s="2">
        <f t="shared" si="9"/>
        <v>41806</v>
      </c>
      <c r="H182" s="1" t="s">
        <v>72</v>
      </c>
      <c r="I182" s="1" t="s">
        <v>47</v>
      </c>
      <c r="J182" s="1">
        <v>500</v>
      </c>
      <c r="K182" s="1">
        <v>490</v>
      </c>
      <c r="L182" s="3">
        <v>0.02</v>
      </c>
      <c r="N182" t="s">
        <v>3069</v>
      </c>
      <c r="P182">
        <v>6</v>
      </c>
      <c r="Q182">
        <v>16</v>
      </c>
      <c r="R182">
        <v>2014</v>
      </c>
      <c r="S182" s="4">
        <f t="shared" si="10"/>
        <v>41806</v>
      </c>
      <c r="T182" s="4">
        <f t="shared" si="8"/>
        <v>41806</v>
      </c>
      <c r="U182" s="4">
        <v>41806</v>
      </c>
    </row>
    <row r="183" spans="1:21" x14ac:dyDescent="0.3">
      <c r="A183" t="s">
        <v>433</v>
      </c>
      <c r="B183" s="1" t="s">
        <v>434</v>
      </c>
      <c r="C183" s="1" t="s">
        <v>435</v>
      </c>
      <c r="D183" s="1" t="s">
        <v>24</v>
      </c>
      <c r="E183" s="2">
        <v>42254</v>
      </c>
      <c r="F183" s="2" t="b">
        <f t="shared" si="11"/>
        <v>1</v>
      </c>
      <c r="G183" s="2">
        <f t="shared" si="9"/>
        <v>42254</v>
      </c>
      <c r="H183" s="1" t="s">
        <v>61</v>
      </c>
      <c r="I183" s="1" t="s">
        <v>436</v>
      </c>
      <c r="J183" s="1">
        <v>1000</v>
      </c>
      <c r="K183" s="1">
        <v>910</v>
      </c>
      <c r="L183" s="3">
        <v>0.09</v>
      </c>
      <c r="N183" t="s">
        <v>3763</v>
      </c>
      <c r="S183" s="4" t="e">
        <f t="shared" si="10"/>
        <v>#NUM!</v>
      </c>
      <c r="T183" s="4" t="str">
        <f t="shared" si="8"/>
        <v/>
      </c>
      <c r="U183" s="4" t="s">
        <v>3763</v>
      </c>
    </row>
    <row r="184" spans="1:21" x14ac:dyDescent="0.3">
      <c r="A184" t="s">
        <v>437</v>
      </c>
      <c r="B184" s="1" t="s">
        <v>227</v>
      </c>
      <c r="C184" s="1" t="s">
        <v>228</v>
      </c>
      <c r="D184" s="1" t="s">
        <v>24</v>
      </c>
      <c r="E184" s="2" t="s">
        <v>3070</v>
      </c>
      <c r="F184" s="2" t="b">
        <f t="shared" si="11"/>
        <v>0</v>
      </c>
      <c r="G184" s="2">
        <f t="shared" si="9"/>
        <v>42601</v>
      </c>
      <c r="H184" s="1" t="s">
        <v>41</v>
      </c>
      <c r="I184" s="1" t="s">
        <v>438</v>
      </c>
      <c r="J184" s="1">
        <v>30</v>
      </c>
      <c r="K184" s="1">
        <v>28</v>
      </c>
      <c r="L184" s="3">
        <v>6.6699999999999995E-2</v>
      </c>
      <c r="N184" t="s">
        <v>3070</v>
      </c>
      <c r="P184">
        <v>8</v>
      </c>
      <c r="Q184">
        <v>19</v>
      </c>
      <c r="R184">
        <v>2016</v>
      </c>
      <c r="S184" s="4">
        <f t="shared" si="10"/>
        <v>42601</v>
      </c>
      <c r="T184" s="4">
        <f t="shared" si="8"/>
        <v>42601</v>
      </c>
      <c r="U184" s="4">
        <v>42601</v>
      </c>
    </row>
    <row r="185" spans="1:21" x14ac:dyDescent="0.3">
      <c r="A185" t="s">
        <v>439</v>
      </c>
      <c r="B185" s="1" t="s">
        <v>170</v>
      </c>
      <c r="C185" s="1" t="s">
        <v>171</v>
      </c>
      <c r="D185" s="1" t="s">
        <v>13</v>
      </c>
      <c r="E185" s="2">
        <v>41641</v>
      </c>
      <c r="F185" s="2" t="b">
        <f t="shared" si="11"/>
        <v>1</v>
      </c>
      <c r="G185" s="2">
        <f t="shared" si="9"/>
        <v>41641</v>
      </c>
      <c r="H185" s="1" t="s">
        <v>36</v>
      </c>
      <c r="I185" s="1" t="s">
        <v>440</v>
      </c>
      <c r="J185" s="1">
        <v>50</v>
      </c>
      <c r="K185" s="1">
        <v>44</v>
      </c>
      <c r="L185" s="3">
        <v>0.12</v>
      </c>
      <c r="N185" t="s">
        <v>3763</v>
      </c>
      <c r="S185" s="4" t="e">
        <f t="shared" si="10"/>
        <v>#NUM!</v>
      </c>
      <c r="T185" s="4" t="str">
        <f t="shared" si="8"/>
        <v/>
      </c>
      <c r="U185" s="4" t="s">
        <v>3763</v>
      </c>
    </row>
    <row r="186" spans="1:21" x14ac:dyDescent="0.3">
      <c r="A186" t="s">
        <v>441</v>
      </c>
      <c r="B186" s="1" t="s">
        <v>241</v>
      </c>
      <c r="C186" s="1" t="s">
        <v>242</v>
      </c>
      <c r="D186" s="1" t="s">
        <v>13</v>
      </c>
      <c r="E186" s="2" t="s">
        <v>3071</v>
      </c>
      <c r="F186" s="2" t="b">
        <f t="shared" si="11"/>
        <v>0</v>
      </c>
      <c r="G186" s="2">
        <f t="shared" si="9"/>
        <v>42515</v>
      </c>
      <c r="H186" s="1" t="s">
        <v>14</v>
      </c>
      <c r="I186" s="1" t="s">
        <v>287</v>
      </c>
      <c r="J186" s="1">
        <v>80</v>
      </c>
      <c r="K186" s="1">
        <v>75</v>
      </c>
      <c r="L186" s="3">
        <v>6.25E-2</v>
      </c>
      <c r="N186" t="s">
        <v>3071</v>
      </c>
      <c r="P186">
        <v>5</v>
      </c>
      <c r="Q186">
        <v>25</v>
      </c>
      <c r="R186">
        <v>2016</v>
      </c>
      <c r="S186" s="4">
        <f t="shared" si="10"/>
        <v>42515</v>
      </c>
      <c r="T186" s="4">
        <f t="shared" si="8"/>
        <v>42515</v>
      </c>
      <c r="U186" s="4">
        <v>42515</v>
      </c>
    </row>
    <row r="187" spans="1:21" x14ac:dyDescent="0.3">
      <c r="A187" t="s">
        <v>442</v>
      </c>
      <c r="B187" s="1" t="s">
        <v>400</v>
      </c>
      <c r="C187" s="1" t="s">
        <v>401</v>
      </c>
      <c r="D187" s="1" t="s">
        <v>13</v>
      </c>
      <c r="E187" s="2" t="s">
        <v>3072</v>
      </c>
      <c r="F187" s="2" t="b">
        <f t="shared" si="11"/>
        <v>0</v>
      </c>
      <c r="G187" s="2">
        <f t="shared" si="9"/>
        <v>42177</v>
      </c>
      <c r="H187" s="1" t="s">
        <v>115</v>
      </c>
      <c r="I187" s="1" t="s">
        <v>443</v>
      </c>
      <c r="J187" s="1">
        <v>250</v>
      </c>
      <c r="K187" s="1">
        <v>225</v>
      </c>
      <c r="L187" s="3">
        <v>0.1</v>
      </c>
      <c r="N187" t="s">
        <v>3072</v>
      </c>
      <c r="P187">
        <v>6</v>
      </c>
      <c r="Q187">
        <v>22</v>
      </c>
      <c r="R187">
        <v>2015</v>
      </c>
      <c r="S187" s="4">
        <f t="shared" si="10"/>
        <v>42177</v>
      </c>
      <c r="T187" s="4">
        <f t="shared" si="8"/>
        <v>42177</v>
      </c>
      <c r="U187" s="4">
        <v>42177</v>
      </c>
    </row>
    <row r="188" spans="1:21" x14ac:dyDescent="0.3">
      <c r="A188" t="s">
        <v>444</v>
      </c>
      <c r="B188" s="1" t="s">
        <v>28</v>
      </c>
      <c r="C188" s="1" t="s">
        <v>29</v>
      </c>
      <c r="D188" s="1" t="s">
        <v>13</v>
      </c>
      <c r="E188" s="2" t="s">
        <v>3073</v>
      </c>
      <c r="F188" s="2" t="b">
        <f t="shared" si="11"/>
        <v>0</v>
      </c>
      <c r="G188" s="2">
        <f t="shared" si="9"/>
        <v>42637</v>
      </c>
      <c r="H188" s="1" t="s">
        <v>41</v>
      </c>
      <c r="I188" s="1" t="s">
        <v>445</v>
      </c>
      <c r="J188" s="1">
        <v>30</v>
      </c>
      <c r="K188" s="1">
        <v>30</v>
      </c>
      <c r="L188" s="3">
        <v>0</v>
      </c>
      <c r="N188" t="s">
        <v>3073</v>
      </c>
      <c r="P188">
        <v>9</v>
      </c>
      <c r="Q188">
        <v>24</v>
      </c>
      <c r="R188">
        <v>2016</v>
      </c>
      <c r="S188" s="4">
        <f t="shared" si="10"/>
        <v>42637</v>
      </c>
      <c r="T188" s="4">
        <f t="shared" si="8"/>
        <v>42637</v>
      </c>
      <c r="U188" s="4">
        <v>42637</v>
      </c>
    </row>
    <row r="189" spans="1:21" x14ac:dyDescent="0.3">
      <c r="A189" t="s">
        <v>446</v>
      </c>
      <c r="B189" s="1" t="s">
        <v>227</v>
      </c>
      <c r="C189" s="1" t="s">
        <v>228</v>
      </c>
      <c r="D189" s="1" t="s">
        <v>24</v>
      </c>
      <c r="E189" s="2" t="s">
        <v>3074</v>
      </c>
      <c r="F189" s="2" t="b">
        <f t="shared" si="11"/>
        <v>0</v>
      </c>
      <c r="G189" s="2">
        <f t="shared" si="9"/>
        <v>41903</v>
      </c>
      <c r="H189" s="1" t="s">
        <v>115</v>
      </c>
      <c r="I189" s="1" t="s">
        <v>278</v>
      </c>
      <c r="J189" s="1">
        <v>250</v>
      </c>
      <c r="K189" s="1">
        <v>210</v>
      </c>
      <c r="L189" s="3">
        <v>0.16</v>
      </c>
      <c r="N189" t="s">
        <v>3074</v>
      </c>
      <c r="P189">
        <v>9</v>
      </c>
      <c r="Q189">
        <v>21</v>
      </c>
      <c r="R189">
        <v>2014</v>
      </c>
      <c r="S189" s="4">
        <f t="shared" si="10"/>
        <v>41903</v>
      </c>
      <c r="T189" s="4">
        <f t="shared" si="8"/>
        <v>41903</v>
      </c>
      <c r="U189" s="4">
        <v>41903</v>
      </c>
    </row>
    <row r="190" spans="1:21" x14ac:dyDescent="0.3">
      <c r="A190" t="s">
        <v>447</v>
      </c>
      <c r="B190" s="1" t="s">
        <v>11</v>
      </c>
      <c r="C190" s="1" t="s">
        <v>12</v>
      </c>
      <c r="D190" s="1" t="s">
        <v>13</v>
      </c>
      <c r="E190" s="2" t="s">
        <v>3075</v>
      </c>
      <c r="F190" s="2" t="b">
        <f t="shared" si="11"/>
        <v>0</v>
      </c>
      <c r="G190" s="2">
        <f t="shared" si="9"/>
        <v>42851</v>
      </c>
      <c r="H190" s="1" t="s">
        <v>115</v>
      </c>
      <c r="I190" s="1" t="s">
        <v>193</v>
      </c>
      <c r="J190" s="1">
        <v>250</v>
      </c>
      <c r="K190" s="1">
        <v>250</v>
      </c>
      <c r="L190" s="3">
        <v>0</v>
      </c>
      <c r="N190" t="s">
        <v>3075</v>
      </c>
      <c r="P190">
        <v>4</v>
      </c>
      <c r="Q190">
        <v>26</v>
      </c>
      <c r="R190">
        <v>2017</v>
      </c>
      <c r="S190" s="4">
        <f t="shared" si="10"/>
        <v>42851</v>
      </c>
      <c r="T190" s="4">
        <f t="shared" si="8"/>
        <v>42851</v>
      </c>
      <c r="U190" s="4">
        <v>42851</v>
      </c>
    </row>
    <row r="191" spans="1:21" x14ac:dyDescent="0.3">
      <c r="A191" t="s">
        <v>448</v>
      </c>
      <c r="B191" s="1" t="s">
        <v>170</v>
      </c>
      <c r="C191" s="1" t="s">
        <v>171</v>
      </c>
      <c r="D191" s="1" t="s">
        <v>13</v>
      </c>
      <c r="E191" s="2" t="s">
        <v>3076</v>
      </c>
      <c r="F191" s="2" t="b">
        <f t="shared" si="11"/>
        <v>0</v>
      </c>
      <c r="G191" s="2">
        <f t="shared" si="9"/>
        <v>43096</v>
      </c>
      <c r="H191" s="1" t="s">
        <v>46</v>
      </c>
      <c r="I191" s="1" t="s">
        <v>449</v>
      </c>
      <c r="J191" s="1">
        <v>500</v>
      </c>
      <c r="K191" s="1">
        <v>480</v>
      </c>
      <c r="L191" s="3">
        <v>0.04</v>
      </c>
      <c r="N191" t="s">
        <v>3076</v>
      </c>
      <c r="P191">
        <v>12</v>
      </c>
      <c r="Q191">
        <v>27</v>
      </c>
      <c r="R191">
        <v>2017</v>
      </c>
      <c r="S191" s="4">
        <f t="shared" si="10"/>
        <v>43096</v>
      </c>
      <c r="T191" s="4">
        <f t="shared" si="8"/>
        <v>43096</v>
      </c>
      <c r="U191" s="4">
        <v>43096</v>
      </c>
    </row>
    <row r="192" spans="1:21" x14ac:dyDescent="0.3">
      <c r="A192" t="s">
        <v>450</v>
      </c>
      <c r="B192" s="1" t="s">
        <v>33</v>
      </c>
      <c r="C192" s="1" t="s">
        <v>34</v>
      </c>
      <c r="D192" s="1" t="s">
        <v>35</v>
      </c>
      <c r="E192" s="2">
        <v>42463</v>
      </c>
      <c r="F192" s="2" t="b">
        <f t="shared" si="11"/>
        <v>1</v>
      </c>
      <c r="G192" s="2">
        <f t="shared" si="9"/>
        <v>42463</v>
      </c>
      <c r="H192" s="1" t="s">
        <v>61</v>
      </c>
      <c r="I192" s="1" t="s">
        <v>451</v>
      </c>
      <c r="J192" s="1">
        <v>1000</v>
      </c>
      <c r="K192" s="1">
        <v>970</v>
      </c>
      <c r="L192" s="3">
        <v>0.03</v>
      </c>
      <c r="N192" t="s">
        <v>3763</v>
      </c>
      <c r="S192" s="4" t="e">
        <f t="shared" si="10"/>
        <v>#NUM!</v>
      </c>
      <c r="T192" s="4" t="str">
        <f t="shared" si="8"/>
        <v/>
      </c>
      <c r="U192" s="4" t="s">
        <v>3763</v>
      </c>
    </row>
    <row r="193" spans="1:21" x14ac:dyDescent="0.3">
      <c r="A193" t="s">
        <v>452</v>
      </c>
      <c r="B193" s="1" t="s">
        <v>324</v>
      </c>
      <c r="C193" s="1" t="s">
        <v>325</v>
      </c>
      <c r="D193" s="1" t="s">
        <v>13</v>
      </c>
      <c r="E193" s="2" t="s">
        <v>3035</v>
      </c>
      <c r="F193" s="2" t="b">
        <f t="shared" si="11"/>
        <v>0</v>
      </c>
      <c r="G193" s="2">
        <f t="shared" si="9"/>
        <v>41841</v>
      </c>
      <c r="H193" s="1" t="s">
        <v>30</v>
      </c>
      <c r="I193" s="1" t="s">
        <v>453</v>
      </c>
      <c r="J193" s="1">
        <v>150</v>
      </c>
      <c r="K193" s="1">
        <v>144</v>
      </c>
      <c r="L193" s="3">
        <v>0.04</v>
      </c>
      <c r="N193" t="s">
        <v>3035</v>
      </c>
      <c r="P193">
        <v>7</v>
      </c>
      <c r="Q193">
        <v>21</v>
      </c>
      <c r="R193">
        <v>2014</v>
      </c>
      <c r="S193" s="4">
        <f t="shared" si="10"/>
        <v>41841</v>
      </c>
      <c r="T193" s="4">
        <f t="shared" si="8"/>
        <v>41841</v>
      </c>
      <c r="U193" s="4">
        <v>41841</v>
      </c>
    </row>
    <row r="194" spans="1:21" x14ac:dyDescent="0.3">
      <c r="A194" t="s">
        <v>454</v>
      </c>
      <c r="B194" s="1" t="s">
        <v>131</v>
      </c>
      <c r="C194" s="1" t="s">
        <v>108</v>
      </c>
      <c r="D194" s="1" t="s">
        <v>19</v>
      </c>
      <c r="E194" s="2" t="s">
        <v>3077</v>
      </c>
      <c r="F194" s="2" t="b">
        <f t="shared" si="11"/>
        <v>0</v>
      </c>
      <c r="G194" s="2">
        <f t="shared" si="9"/>
        <v>42820</v>
      </c>
      <c r="H194" s="1" t="s">
        <v>25</v>
      </c>
      <c r="I194" s="1" t="s">
        <v>132</v>
      </c>
      <c r="J194" s="1">
        <v>700</v>
      </c>
      <c r="K194" s="1">
        <v>637</v>
      </c>
      <c r="L194" s="3">
        <v>0.09</v>
      </c>
      <c r="N194" t="s">
        <v>3077</v>
      </c>
      <c r="P194">
        <v>3</v>
      </c>
      <c r="Q194">
        <v>26</v>
      </c>
      <c r="R194">
        <v>2017</v>
      </c>
      <c r="S194" s="4">
        <f t="shared" si="10"/>
        <v>42820</v>
      </c>
      <c r="T194" s="4">
        <f t="shared" si="8"/>
        <v>42820</v>
      </c>
      <c r="U194" s="4">
        <v>42820</v>
      </c>
    </row>
    <row r="195" spans="1:21" x14ac:dyDescent="0.3">
      <c r="A195" t="s">
        <v>455</v>
      </c>
      <c r="B195" s="1" t="s">
        <v>111</v>
      </c>
      <c r="C195" s="1" t="s">
        <v>82</v>
      </c>
      <c r="D195" s="1" t="s">
        <v>13</v>
      </c>
      <c r="E195" s="2" t="s">
        <v>3078</v>
      </c>
      <c r="F195" s="2" t="b">
        <f t="shared" si="11"/>
        <v>0</v>
      </c>
      <c r="G195" s="2">
        <f t="shared" si="9"/>
        <v>42473</v>
      </c>
      <c r="H195" s="1" t="s">
        <v>104</v>
      </c>
      <c r="I195" s="1" t="s">
        <v>456</v>
      </c>
      <c r="J195" s="1">
        <v>70</v>
      </c>
      <c r="K195" s="1">
        <v>63</v>
      </c>
      <c r="L195" s="3">
        <v>0.1</v>
      </c>
      <c r="N195" t="s">
        <v>3078</v>
      </c>
      <c r="P195">
        <v>4</v>
      </c>
      <c r="Q195">
        <v>13</v>
      </c>
      <c r="R195">
        <v>2016</v>
      </c>
      <c r="S195" s="4">
        <f t="shared" si="10"/>
        <v>42473</v>
      </c>
      <c r="T195" s="4">
        <f t="shared" ref="T195:T258" si="12">IF(AND(P195&lt;&gt;"",Q195&lt;&gt;"",R195&lt;&gt;""),IFERROR(DATE(R195,P195,Q195),""),"")</f>
        <v>42473</v>
      </c>
      <c r="U195" s="4">
        <v>42473</v>
      </c>
    </row>
    <row r="196" spans="1:21" x14ac:dyDescent="0.3">
      <c r="A196" t="s">
        <v>457</v>
      </c>
      <c r="B196" s="1" t="s">
        <v>111</v>
      </c>
      <c r="C196" s="1" t="s">
        <v>82</v>
      </c>
      <c r="D196" s="1" t="s">
        <v>13</v>
      </c>
      <c r="E196" s="2">
        <v>43227</v>
      </c>
      <c r="F196" s="2" t="b">
        <f t="shared" si="11"/>
        <v>1</v>
      </c>
      <c r="G196" s="2">
        <f t="shared" ref="G196:G259" si="13">IF(F196=TRUE,E196,U196)</f>
        <v>43227</v>
      </c>
      <c r="H196" s="1" t="s">
        <v>25</v>
      </c>
      <c r="I196" s="1" t="s">
        <v>372</v>
      </c>
      <c r="J196" s="1">
        <v>700</v>
      </c>
      <c r="K196" s="1">
        <v>672</v>
      </c>
      <c r="L196" s="3">
        <v>0.04</v>
      </c>
      <c r="N196" t="s">
        <v>3763</v>
      </c>
      <c r="S196" s="4" t="e">
        <f t="shared" ref="S196:S259" si="14">DATE(R196,P196,Q196)</f>
        <v>#NUM!</v>
      </c>
      <c r="T196" s="4" t="str">
        <f t="shared" si="12"/>
        <v/>
      </c>
      <c r="U196" s="4" t="s">
        <v>3763</v>
      </c>
    </row>
    <row r="197" spans="1:21" x14ac:dyDescent="0.3">
      <c r="A197" t="s">
        <v>458</v>
      </c>
      <c r="B197" s="1" t="s">
        <v>221</v>
      </c>
      <c r="C197" s="1" t="s">
        <v>40</v>
      </c>
      <c r="D197" s="1" t="s">
        <v>35</v>
      </c>
      <c r="E197" s="2" t="s">
        <v>3079</v>
      </c>
      <c r="F197" s="2" t="b">
        <f t="shared" ref="F197:F260" si="15">ISNUMBER(E197)</f>
        <v>0</v>
      </c>
      <c r="G197" s="2">
        <f t="shared" si="13"/>
        <v>42031</v>
      </c>
      <c r="H197" s="1" t="s">
        <v>122</v>
      </c>
      <c r="I197" s="1" t="s">
        <v>262</v>
      </c>
      <c r="J197" s="1">
        <v>50</v>
      </c>
      <c r="K197" s="1">
        <v>42</v>
      </c>
      <c r="L197" s="3">
        <v>0.16</v>
      </c>
      <c r="N197" t="s">
        <v>3079</v>
      </c>
      <c r="P197">
        <v>1</v>
      </c>
      <c r="Q197">
        <v>27</v>
      </c>
      <c r="R197">
        <v>2015</v>
      </c>
      <c r="S197" s="4">
        <f t="shared" si="14"/>
        <v>42031</v>
      </c>
      <c r="T197" s="4">
        <f t="shared" si="12"/>
        <v>42031</v>
      </c>
      <c r="U197" s="4">
        <v>42031</v>
      </c>
    </row>
    <row r="198" spans="1:21" x14ac:dyDescent="0.3">
      <c r="A198" t="s">
        <v>459</v>
      </c>
      <c r="B198" s="1" t="s">
        <v>95</v>
      </c>
      <c r="C198" s="1" t="s">
        <v>96</v>
      </c>
      <c r="D198" s="1" t="s">
        <v>13</v>
      </c>
      <c r="E198" s="2" t="s">
        <v>3080</v>
      </c>
      <c r="F198" s="2" t="b">
        <f t="shared" si="15"/>
        <v>0</v>
      </c>
      <c r="G198" s="2">
        <f t="shared" si="13"/>
        <v>43434</v>
      </c>
      <c r="H198" s="1" t="s">
        <v>14</v>
      </c>
      <c r="I198" s="1" t="s">
        <v>460</v>
      </c>
      <c r="J198" s="1">
        <v>80</v>
      </c>
      <c r="K198" s="1">
        <v>78</v>
      </c>
      <c r="L198" s="3">
        <v>2.5000000000000001E-2</v>
      </c>
      <c r="N198" t="s">
        <v>3080</v>
      </c>
      <c r="P198">
        <v>11</v>
      </c>
      <c r="Q198">
        <v>30</v>
      </c>
      <c r="R198">
        <v>2018</v>
      </c>
      <c r="S198" s="4">
        <f t="shared" si="14"/>
        <v>43434</v>
      </c>
      <c r="T198" s="4">
        <f t="shared" si="12"/>
        <v>43434</v>
      </c>
      <c r="U198" s="4">
        <v>43434</v>
      </c>
    </row>
    <row r="199" spans="1:21" x14ac:dyDescent="0.3">
      <c r="A199" t="s">
        <v>461</v>
      </c>
      <c r="B199" s="1" t="s">
        <v>434</v>
      </c>
      <c r="C199" s="1" t="s">
        <v>435</v>
      </c>
      <c r="D199" s="1" t="s">
        <v>24</v>
      </c>
      <c r="E199" s="2" t="s">
        <v>3081</v>
      </c>
      <c r="F199" s="2" t="b">
        <f t="shared" si="15"/>
        <v>0</v>
      </c>
      <c r="G199" s="2">
        <f t="shared" si="13"/>
        <v>43064</v>
      </c>
      <c r="H199" s="1" t="s">
        <v>36</v>
      </c>
      <c r="I199" s="1" t="s">
        <v>462</v>
      </c>
      <c r="J199" s="1">
        <v>50</v>
      </c>
      <c r="K199" s="1">
        <v>49</v>
      </c>
      <c r="L199" s="3">
        <v>0.02</v>
      </c>
      <c r="N199" t="s">
        <v>3081</v>
      </c>
      <c r="P199">
        <v>11</v>
      </c>
      <c r="Q199">
        <v>25</v>
      </c>
      <c r="R199">
        <v>2017</v>
      </c>
      <c r="S199" s="4">
        <f t="shared" si="14"/>
        <v>43064</v>
      </c>
      <c r="T199" s="4">
        <f t="shared" si="12"/>
        <v>43064</v>
      </c>
      <c r="U199" s="4">
        <v>43064</v>
      </c>
    </row>
    <row r="200" spans="1:21" x14ac:dyDescent="0.3">
      <c r="A200" t="s">
        <v>463</v>
      </c>
      <c r="B200" s="1" t="s">
        <v>157</v>
      </c>
      <c r="C200" s="1" t="s">
        <v>108</v>
      </c>
      <c r="D200" s="1" t="s">
        <v>19</v>
      </c>
      <c r="E200" s="2">
        <v>41760</v>
      </c>
      <c r="F200" s="2" t="b">
        <f t="shared" si="15"/>
        <v>1</v>
      </c>
      <c r="G200" s="2">
        <f t="shared" si="13"/>
        <v>41760</v>
      </c>
      <c r="H200" s="1" t="s">
        <v>115</v>
      </c>
      <c r="I200" s="1" t="s">
        <v>464</v>
      </c>
      <c r="J200" s="1">
        <v>250</v>
      </c>
      <c r="K200" s="1">
        <v>193</v>
      </c>
      <c r="L200" s="3">
        <v>0.22800000000000001</v>
      </c>
      <c r="N200" t="s">
        <v>3763</v>
      </c>
      <c r="S200" s="4" t="e">
        <f t="shared" si="14"/>
        <v>#NUM!</v>
      </c>
      <c r="T200" s="4" t="str">
        <f t="shared" si="12"/>
        <v/>
      </c>
      <c r="U200" s="4" t="s">
        <v>3763</v>
      </c>
    </row>
    <row r="201" spans="1:21" x14ac:dyDescent="0.3">
      <c r="A201" t="s">
        <v>465</v>
      </c>
      <c r="B201" s="1" t="s">
        <v>11</v>
      </c>
      <c r="C201" s="1" t="s">
        <v>12</v>
      </c>
      <c r="D201" s="1" t="s">
        <v>13</v>
      </c>
      <c r="E201" s="2" t="s">
        <v>3082</v>
      </c>
      <c r="F201" s="2" t="b">
        <f t="shared" si="15"/>
        <v>0</v>
      </c>
      <c r="G201" s="2">
        <f t="shared" si="13"/>
        <v>42782</v>
      </c>
      <c r="H201" s="1" t="s">
        <v>14</v>
      </c>
      <c r="I201" s="1" t="s">
        <v>293</v>
      </c>
      <c r="J201" s="1">
        <v>80</v>
      </c>
      <c r="K201" s="1">
        <v>76</v>
      </c>
      <c r="L201" s="3">
        <v>0.05</v>
      </c>
      <c r="N201" t="s">
        <v>3082</v>
      </c>
      <c r="P201">
        <v>2</v>
      </c>
      <c r="Q201">
        <v>16</v>
      </c>
      <c r="R201">
        <v>2017</v>
      </c>
      <c r="S201" s="4">
        <f t="shared" si="14"/>
        <v>42782</v>
      </c>
      <c r="T201" s="4">
        <f t="shared" si="12"/>
        <v>42782</v>
      </c>
      <c r="U201" s="4">
        <v>42782</v>
      </c>
    </row>
    <row r="202" spans="1:21" x14ac:dyDescent="0.3">
      <c r="A202" t="s">
        <v>466</v>
      </c>
      <c r="B202" s="1" t="s">
        <v>131</v>
      </c>
      <c r="C202" s="1" t="s">
        <v>108</v>
      </c>
      <c r="D202" s="1" t="s">
        <v>19</v>
      </c>
      <c r="E202" s="2" t="s">
        <v>3083</v>
      </c>
      <c r="F202" s="2" t="b">
        <f t="shared" si="15"/>
        <v>0</v>
      </c>
      <c r="G202" s="2">
        <f t="shared" si="13"/>
        <v>42300</v>
      </c>
      <c r="H202" s="1" t="s">
        <v>25</v>
      </c>
      <c r="I202" s="1" t="s">
        <v>212</v>
      </c>
      <c r="J202" s="1">
        <v>700</v>
      </c>
      <c r="K202" s="1">
        <v>672</v>
      </c>
      <c r="L202" s="3">
        <v>0.04</v>
      </c>
      <c r="N202" t="s">
        <v>3083</v>
      </c>
      <c r="P202">
        <v>10</v>
      </c>
      <c r="Q202">
        <v>23</v>
      </c>
      <c r="R202">
        <v>2015</v>
      </c>
      <c r="S202" s="4">
        <f t="shared" si="14"/>
        <v>42300</v>
      </c>
      <c r="T202" s="4">
        <f t="shared" si="12"/>
        <v>42300</v>
      </c>
      <c r="U202" s="4">
        <v>42300</v>
      </c>
    </row>
    <row r="203" spans="1:21" x14ac:dyDescent="0.3">
      <c r="A203" t="s">
        <v>467</v>
      </c>
      <c r="B203" s="1" t="s">
        <v>174</v>
      </c>
      <c r="C203" s="1" t="s">
        <v>175</v>
      </c>
      <c r="D203" s="1" t="s">
        <v>13</v>
      </c>
      <c r="E203" s="2" t="s">
        <v>3084</v>
      </c>
      <c r="F203" s="2" t="b">
        <f t="shared" si="15"/>
        <v>0</v>
      </c>
      <c r="G203" s="2">
        <f t="shared" si="13"/>
        <v>42364</v>
      </c>
      <c r="H203" s="1" t="s">
        <v>41</v>
      </c>
      <c r="I203" s="1" t="s">
        <v>319</v>
      </c>
      <c r="J203" s="1">
        <v>30</v>
      </c>
      <c r="K203" s="1">
        <v>28</v>
      </c>
      <c r="L203" s="3">
        <v>6.6699999999999995E-2</v>
      </c>
      <c r="N203" t="s">
        <v>3084</v>
      </c>
      <c r="P203">
        <v>12</v>
      </c>
      <c r="Q203">
        <v>26</v>
      </c>
      <c r="R203">
        <v>2015</v>
      </c>
      <c r="S203" s="4">
        <f t="shared" si="14"/>
        <v>42364</v>
      </c>
      <c r="T203" s="4">
        <f t="shared" si="12"/>
        <v>42364</v>
      </c>
      <c r="U203" s="4">
        <v>42364</v>
      </c>
    </row>
    <row r="204" spans="1:21" x14ac:dyDescent="0.3">
      <c r="A204" t="s">
        <v>468</v>
      </c>
      <c r="B204" s="1" t="s">
        <v>28</v>
      </c>
      <c r="C204" s="1" t="s">
        <v>29</v>
      </c>
      <c r="D204" s="1" t="s">
        <v>13</v>
      </c>
      <c r="E204" s="2">
        <v>41862</v>
      </c>
      <c r="F204" s="2" t="b">
        <f t="shared" si="15"/>
        <v>1</v>
      </c>
      <c r="G204" s="2">
        <f t="shared" si="13"/>
        <v>41862</v>
      </c>
      <c r="H204" s="1" t="s">
        <v>14</v>
      </c>
      <c r="I204" s="1" t="s">
        <v>469</v>
      </c>
      <c r="J204" s="1">
        <v>80</v>
      </c>
      <c r="K204" s="1">
        <v>66</v>
      </c>
      <c r="L204" s="3">
        <v>0.17499999999999999</v>
      </c>
      <c r="N204" t="s">
        <v>3763</v>
      </c>
      <c r="S204" s="4" t="e">
        <f t="shared" si="14"/>
        <v>#NUM!</v>
      </c>
      <c r="T204" s="4" t="str">
        <f t="shared" si="12"/>
        <v/>
      </c>
      <c r="U204" s="4" t="s">
        <v>3763</v>
      </c>
    </row>
    <row r="205" spans="1:21" x14ac:dyDescent="0.3">
      <c r="A205" t="s">
        <v>470</v>
      </c>
      <c r="B205" s="1" t="s">
        <v>400</v>
      </c>
      <c r="C205" s="1" t="s">
        <v>401</v>
      </c>
      <c r="D205" s="1" t="s">
        <v>13</v>
      </c>
      <c r="E205" s="2">
        <v>42222</v>
      </c>
      <c r="F205" s="2" t="b">
        <f t="shared" si="15"/>
        <v>1</v>
      </c>
      <c r="G205" s="2">
        <f t="shared" si="13"/>
        <v>42222</v>
      </c>
      <c r="H205" s="1" t="s">
        <v>122</v>
      </c>
      <c r="I205" s="1" t="s">
        <v>402</v>
      </c>
      <c r="J205" s="1">
        <v>50</v>
      </c>
      <c r="K205" s="1">
        <v>48</v>
      </c>
      <c r="L205" s="3">
        <v>0.04</v>
      </c>
      <c r="N205" t="s">
        <v>3763</v>
      </c>
      <c r="S205" s="4" t="e">
        <f t="shared" si="14"/>
        <v>#NUM!</v>
      </c>
      <c r="T205" s="4" t="str">
        <f t="shared" si="12"/>
        <v/>
      </c>
      <c r="U205" s="4" t="s">
        <v>3763</v>
      </c>
    </row>
    <row r="206" spans="1:21" x14ac:dyDescent="0.3">
      <c r="A206" t="s">
        <v>471</v>
      </c>
      <c r="B206" s="1" t="s">
        <v>174</v>
      </c>
      <c r="C206" s="1" t="s">
        <v>175</v>
      </c>
      <c r="D206" s="1" t="s">
        <v>13</v>
      </c>
      <c r="E206" s="2">
        <v>41975</v>
      </c>
      <c r="F206" s="2" t="b">
        <f t="shared" si="15"/>
        <v>1</v>
      </c>
      <c r="G206" s="2">
        <f t="shared" si="13"/>
        <v>41975</v>
      </c>
      <c r="H206" s="1" t="s">
        <v>46</v>
      </c>
      <c r="I206" s="1" t="s">
        <v>472</v>
      </c>
      <c r="J206" s="1">
        <v>500</v>
      </c>
      <c r="K206" s="1">
        <v>370</v>
      </c>
      <c r="L206" s="3">
        <v>0.26</v>
      </c>
      <c r="N206" t="s">
        <v>3763</v>
      </c>
      <c r="S206" s="4" t="e">
        <f t="shared" si="14"/>
        <v>#NUM!</v>
      </c>
      <c r="T206" s="4" t="str">
        <f t="shared" si="12"/>
        <v/>
      </c>
      <c r="U206" s="4" t="s">
        <v>3763</v>
      </c>
    </row>
    <row r="207" spans="1:21" x14ac:dyDescent="0.3">
      <c r="A207" t="s">
        <v>473</v>
      </c>
      <c r="B207" s="1" t="s">
        <v>131</v>
      </c>
      <c r="C207" s="1" t="s">
        <v>108</v>
      </c>
      <c r="D207" s="1" t="s">
        <v>19</v>
      </c>
      <c r="E207" s="2" t="s">
        <v>3085</v>
      </c>
      <c r="F207" s="2" t="b">
        <f t="shared" si="15"/>
        <v>0</v>
      </c>
      <c r="G207" s="2">
        <f t="shared" si="13"/>
        <v>42394</v>
      </c>
      <c r="H207" s="1" t="s">
        <v>14</v>
      </c>
      <c r="I207" s="1" t="s">
        <v>474</v>
      </c>
      <c r="J207" s="1">
        <v>80</v>
      </c>
      <c r="K207" s="1">
        <v>72</v>
      </c>
      <c r="L207" s="3">
        <v>0.1</v>
      </c>
      <c r="N207" t="s">
        <v>3085</v>
      </c>
      <c r="P207">
        <v>1</v>
      </c>
      <c r="Q207">
        <v>25</v>
      </c>
      <c r="R207">
        <v>2016</v>
      </c>
      <c r="S207" s="4">
        <f t="shared" si="14"/>
        <v>42394</v>
      </c>
      <c r="T207" s="4">
        <f t="shared" si="12"/>
        <v>42394</v>
      </c>
      <c r="U207" s="4">
        <v>42394</v>
      </c>
    </row>
    <row r="208" spans="1:21" x14ac:dyDescent="0.3">
      <c r="A208" t="s">
        <v>475</v>
      </c>
      <c r="B208" s="1" t="s">
        <v>114</v>
      </c>
      <c r="C208" s="1" t="s">
        <v>54</v>
      </c>
      <c r="D208" s="1" t="s">
        <v>13</v>
      </c>
      <c r="E208" s="2" t="s">
        <v>3086</v>
      </c>
      <c r="F208" s="2" t="b">
        <f t="shared" si="15"/>
        <v>0</v>
      </c>
      <c r="G208" s="2">
        <f t="shared" si="13"/>
        <v>42030</v>
      </c>
      <c r="H208" s="1" t="s">
        <v>14</v>
      </c>
      <c r="I208" s="1" t="s">
        <v>476</v>
      </c>
      <c r="J208" s="1">
        <v>80</v>
      </c>
      <c r="K208" s="1">
        <v>58</v>
      </c>
      <c r="L208" s="3">
        <v>0.27500000000000002</v>
      </c>
      <c r="N208" t="s">
        <v>3086</v>
      </c>
      <c r="P208">
        <v>1</v>
      </c>
      <c r="Q208">
        <v>26</v>
      </c>
      <c r="R208">
        <v>2015</v>
      </c>
      <c r="S208" s="4">
        <f t="shared" si="14"/>
        <v>42030</v>
      </c>
      <c r="T208" s="4">
        <f t="shared" si="12"/>
        <v>42030</v>
      </c>
      <c r="U208" s="4">
        <v>42030</v>
      </c>
    </row>
    <row r="209" spans="1:21" x14ac:dyDescent="0.3">
      <c r="A209" t="s">
        <v>477</v>
      </c>
      <c r="B209" s="1" t="s">
        <v>17</v>
      </c>
      <c r="C209" s="1" t="s">
        <v>18</v>
      </c>
      <c r="D209" s="1" t="s">
        <v>19</v>
      </c>
      <c r="E209" s="2">
        <v>43169</v>
      </c>
      <c r="F209" s="2" t="b">
        <f t="shared" si="15"/>
        <v>1</v>
      </c>
      <c r="G209" s="2">
        <f t="shared" si="13"/>
        <v>43169</v>
      </c>
      <c r="H209" s="1" t="s">
        <v>14</v>
      </c>
      <c r="I209" s="1" t="s">
        <v>478</v>
      </c>
      <c r="J209" s="1">
        <v>80</v>
      </c>
      <c r="K209" s="1">
        <v>73</v>
      </c>
      <c r="L209" s="3">
        <v>8.7499999999999994E-2</v>
      </c>
      <c r="N209" t="s">
        <v>3763</v>
      </c>
      <c r="S209" s="4" t="e">
        <f t="shared" si="14"/>
        <v>#NUM!</v>
      </c>
      <c r="T209" s="4" t="str">
        <f t="shared" si="12"/>
        <v/>
      </c>
      <c r="U209" s="4" t="s">
        <v>3763</v>
      </c>
    </row>
    <row r="210" spans="1:21" x14ac:dyDescent="0.3">
      <c r="A210" t="s">
        <v>479</v>
      </c>
      <c r="B210" s="1" t="s">
        <v>154</v>
      </c>
      <c r="C210" s="1" t="s">
        <v>108</v>
      </c>
      <c r="D210" s="1" t="s">
        <v>19</v>
      </c>
      <c r="E210" s="2">
        <v>42158</v>
      </c>
      <c r="F210" s="2" t="b">
        <f t="shared" si="15"/>
        <v>1</v>
      </c>
      <c r="G210" s="2">
        <f t="shared" si="13"/>
        <v>42158</v>
      </c>
      <c r="H210" s="1" t="s">
        <v>55</v>
      </c>
      <c r="I210" s="1" t="s">
        <v>155</v>
      </c>
      <c r="J210" s="1">
        <v>800</v>
      </c>
      <c r="K210" s="1">
        <v>776</v>
      </c>
      <c r="L210" s="3">
        <v>0.03</v>
      </c>
      <c r="N210" t="s">
        <v>3763</v>
      </c>
      <c r="S210" s="4" t="e">
        <f t="shared" si="14"/>
        <v>#NUM!</v>
      </c>
      <c r="T210" s="4" t="str">
        <f t="shared" si="12"/>
        <v/>
      </c>
      <c r="U210" s="4" t="s">
        <v>3763</v>
      </c>
    </row>
    <row r="211" spans="1:21" x14ac:dyDescent="0.3">
      <c r="A211" t="s">
        <v>480</v>
      </c>
      <c r="B211" s="1" t="s">
        <v>289</v>
      </c>
      <c r="C211" s="1" t="s">
        <v>108</v>
      </c>
      <c r="D211" s="1" t="s">
        <v>19</v>
      </c>
      <c r="E211" s="2" t="s">
        <v>3087</v>
      </c>
      <c r="F211" s="2" t="b">
        <f t="shared" si="15"/>
        <v>0</v>
      </c>
      <c r="G211" s="2">
        <f t="shared" si="13"/>
        <v>43338</v>
      </c>
      <c r="H211" s="1" t="s">
        <v>30</v>
      </c>
      <c r="I211" s="1" t="s">
        <v>481</v>
      </c>
      <c r="J211" s="1">
        <v>150</v>
      </c>
      <c r="K211" s="1">
        <v>147</v>
      </c>
      <c r="L211" s="3">
        <v>0.02</v>
      </c>
      <c r="N211" t="s">
        <v>3087</v>
      </c>
      <c r="P211">
        <v>8</v>
      </c>
      <c r="Q211">
        <v>26</v>
      </c>
      <c r="R211">
        <v>2018</v>
      </c>
      <c r="S211" s="4">
        <f t="shared" si="14"/>
        <v>43338</v>
      </c>
      <c r="T211" s="4">
        <f t="shared" si="12"/>
        <v>43338</v>
      </c>
      <c r="U211" s="4">
        <v>43338</v>
      </c>
    </row>
    <row r="212" spans="1:21" x14ac:dyDescent="0.3">
      <c r="A212" t="s">
        <v>482</v>
      </c>
      <c r="B212" s="1" t="s">
        <v>22</v>
      </c>
      <c r="C212" s="1" t="s">
        <v>23</v>
      </c>
      <c r="D212" s="1" t="s">
        <v>24</v>
      </c>
      <c r="E212" s="2">
        <v>42614</v>
      </c>
      <c r="F212" s="2" t="b">
        <f t="shared" si="15"/>
        <v>1</v>
      </c>
      <c r="G212" s="2">
        <f t="shared" si="13"/>
        <v>42614</v>
      </c>
      <c r="H212" s="1" t="s">
        <v>30</v>
      </c>
      <c r="I212" s="1" t="s">
        <v>483</v>
      </c>
      <c r="J212" s="1">
        <v>150</v>
      </c>
      <c r="K212" s="1">
        <v>134</v>
      </c>
      <c r="L212" s="3">
        <v>0.1067</v>
      </c>
      <c r="N212" t="s">
        <v>3763</v>
      </c>
      <c r="S212" s="4" t="e">
        <f t="shared" si="14"/>
        <v>#NUM!</v>
      </c>
      <c r="T212" s="4" t="str">
        <f t="shared" si="12"/>
        <v/>
      </c>
      <c r="U212" s="4" t="s">
        <v>3763</v>
      </c>
    </row>
    <row r="213" spans="1:21" x14ac:dyDescent="0.3">
      <c r="A213" t="s">
        <v>484</v>
      </c>
      <c r="B213" s="1" t="s">
        <v>170</v>
      </c>
      <c r="C213" s="1" t="s">
        <v>171</v>
      </c>
      <c r="D213" s="1" t="s">
        <v>13</v>
      </c>
      <c r="E213" s="2" t="s">
        <v>3088</v>
      </c>
      <c r="F213" s="2" t="b">
        <f t="shared" si="15"/>
        <v>0</v>
      </c>
      <c r="G213" s="2">
        <f t="shared" si="13"/>
        <v>42566</v>
      </c>
      <c r="H213" s="1" t="s">
        <v>41</v>
      </c>
      <c r="I213" s="1" t="s">
        <v>440</v>
      </c>
      <c r="J213" s="1">
        <v>30</v>
      </c>
      <c r="K213" s="1">
        <v>8</v>
      </c>
      <c r="L213" s="3">
        <v>0.73329999999999995</v>
      </c>
      <c r="N213" t="s">
        <v>3088</v>
      </c>
      <c r="P213">
        <v>7</v>
      </c>
      <c r="Q213">
        <v>15</v>
      </c>
      <c r="R213">
        <v>2016</v>
      </c>
      <c r="S213" s="4">
        <f t="shared" si="14"/>
        <v>42566</v>
      </c>
      <c r="T213" s="4">
        <f t="shared" si="12"/>
        <v>42566</v>
      </c>
      <c r="U213" s="4">
        <v>42566</v>
      </c>
    </row>
    <row r="214" spans="1:21" x14ac:dyDescent="0.3">
      <c r="A214" t="s">
        <v>485</v>
      </c>
      <c r="B214" s="1" t="s">
        <v>400</v>
      </c>
      <c r="C214" s="1" t="s">
        <v>401</v>
      </c>
      <c r="D214" s="1" t="s">
        <v>13</v>
      </c>
      <c r="E214" s="2" t="s">
        <v>3089</v>
      </c>
      <c r="F214" s="2" t="b">
        <f t="shared" si="15"/>
        <v>0</v>
      </c>
      <c r="G214" s="2">
        <f t="shared" si="13"/>
        <v>41972</v>
      </c>
      <c r="H214" s="1" t="s">
        <v>30</v>
      </c>
      <c r="I214" s="1" t="s">
        <v>486</v>
      </c>
      <c r="J214" s="1">
        <v>150</v>
      </c>
      <c r="K214" s="1">
        <v>135</v>
      </c>
      <c r="L214" s="3">
        <v>0.1</v>
      </c>
      <c r="N214" t="s">
        <v>3089</v>
      </c>
      <c r="P214">
        <v>11</v>
      </c>
      <c r="Q214">
        <v>29</v>
      </c>
      <c r="R214">
        <v>2014</v>
      </c>
      <c r="S214" s="4">
        <f t="shared" si="14"/>
        <v>41972</v>
      </c>
      <c r="T214" s="4">
        <f t="shared" si="12"/>
        <v>41972</v>
      </c>
      <c r="U214" s="4">
        <v>41972</v>
      </c>
    </row>
    <row r="215" spans="1:21" x14ac:dyDescent="0.3">
      <c r="A215" t="s">
        <v>487</v>
      </c>
      <c r="B215" s="1" t="s">
        <v>434</v>
      </c>
      <c r="C215" s="1" t="s">
        <v>435</v>
      </c>
      <c r="D215" s="1" t="s">
        <v>24</v>
      </c>
      <c r="E215" s="2" t="s">
        <v>3031</v>
      </c>
      <c r="F215" s="2" t="b">
        <f t="shared" si="15"/>
        <v>0</v>
      </c>
      <c r="G215" s="2">
        <f t="shared" si="13"/>
        <v>41904</v>
      </c>
      <c r="H215" s="1" t="s">
        <v>104</v>
      </c>
      <c r="I215" s="1" t="s">
        <v>462</v>
      </c>
      <c r="J215" s="1">
        <v>70</v>
      </c>
      <c r="K215" s="1">
        <v>59</v>
      </c>
      <c r="L215" s="3">
        <v>0.15709999999999999</v>
      </c>
      <c r="N215" t="s">
        <v>3031</v>
      </c>
      <c r="P215">
        <v>9</v>
      </c>
      <c r="Q215">
        <v>22</v>
      </c>
      <c r="R215">
        <v>2014</v>
      </c>
      <c r="S215" s="4">
        <f t="shared" si="14"/>
        <v>41904</v>
      </c>
      <c r="T215" s="4">
        <f t="shared" si="12"/>
        <v>41904</v>
      </c>
      <c r="U215" s="4">
        <v>41904</v>
      </c>
    </row>
    <row r="216" spans="1:21" x14ac:dyDescent="0.3">
      <c r="A216" t="s">
        <v>488</v>
      </c>
      <c r="B216" s="1" t="s">
        <v>103</v>
      </c>
      <c r="C216" s="1" t="s">
        <v>71</v>
      </c>
      <c r="D216" s="1" t="s">
        <v>35</v>
      </c>
      <c r="E216" s="2" t="s">
        <v>3090</v>
      </c>
      <c r="F216" s="2" t="b">
        <f t="shared" si="15"/>
        <v>0</v>
      </c>
      <c r="G216" s="2">
        <f t="shared" si="13"/>
        <v>43089</v>
      </c>
      <c r="H216" s="1" t="s">
        <v>61</v>
      </c>
      <c r="I216" s="1" t="s">
        <v>247</v>
      </c>
      <c r="J216" s="1">
        <v>1000</v>
      </c>
      <c r="K216" s="1">
        <v>500</v>
      </c>
      <c r="L216" s="3">
        <v>0.5</v>
      </c>
      <c r="N216" t="s">
        <v>3090</v>
      </c>
      <c r="P216">
        <v>12</v>
      </c>
      <c r="Q216">
        <v>20</v>
      </c>
      <c r="R216">
        <v>2017</v>
      </c>
      <c r="S216" s="4">
        <f t="shared" si="14"/>
        <v>43089</v>
      </c>
      <c r="T216" s="4">
        <f t="shared" si="12"/>
        <v>43089</v>
      </c>
      <c r="U216" s="4">
        <v>43089</v>
      </c>
    </row>
    <row r="217" spans="1:21" x14ac:dyDescent="0.3">
      <c r="A217" t="s">
        <v>489</v>
      </c>
      <c r="B217" s="1" t="s">
        <v>154</v>
      </c>
      <c r="C217" s="1" t="s">
        <v>108</v>
      </c>
      <c r="D217" s="1" t="s">
        <v>19</v>
      </c>
      <c r="E217" s="2" t="s">
        <v>3091</v>
      </c>
      <c r="F217" s="2" t="b">
        <f t="shared" si="15"/>
        <v>0</v>
      </c>
      <c r="G217" s="2">
        <f t="shared" si="13"/>
        <v>42785</v>
      </c>
      <c r="H217" s="1" t="s">
        <v>46</v>
      </c>
      <c r="I217" s="1" t="s">
        <v>490</v>
      </c>
      <c r="J217" s="1">
        <v>500</v>
      </c>
      <c r="K217" s="1">
        <v>495</v>
      </c>
      <c r="L217" s="3">
        <v>0.01</v>
      </c>
      <c r="N217" t="s">
        <v>3091</v>
      </c>
      <c r="P217">
        <v>2</v>
      </c>
      <c r="Q217">
        <v>19</v>
      </c>
      <c r="R217">
        <v>2017</v>
      </c>
      <c r="S217" s="4">
        <f t="shared" si="14"/>
        <v>42785</v>
      </c>
      <c r="T217" s="4">
        <f t="shared" si="12"/>
        <v>42785</v>
      </c>
      <c r="U217" s="4">
        <v>42785</v>
      </c>
    </row>
    <row r="218" spans="1:21" x14ac:dyDescent="0.3">
      <c r="A218" t="s">
        <v>491</v>
      </c>
      <c r="B218" s="1" t="s">
        <v>324</v>
      </c>
      <c r="C218" s="1" t="s">
        <v>325</v>
      </c>
      <c r="D218" s="1" t="s">
        <v>13</v>
      </c>
      <c r="E218" s="2" t="s">
        <v>3092</v>
      </c>
      <c r="F218" s="2" t="b">
        <f t="shared" si="15"/>
        <v>0</v>
      </c>
      <c r="G218" s="2">
        <f t="shared" si="13"/>
        <v>43147</v>
      </c>
      <c r="H218" s="1" t="s">
        <v>36</v>
      </c>
      <c r="I218" s="1" t="s">
        <v>326</v>
      </c>
      <c r="J218" s="1">
        <v>50</v>
      </c>
      <c r="K218" s="1">
        <v>49</v>
      </c>
      <c r="L218" s="3">
        <v>0.02</v>
      </c>
      <c r="N218" t="s">
        <v>3092</v>
      </c>
      <c r="P218">
        <v>2</v>
      </c>
      <c r="Q218">
        <v>16</v>
      </c>
      <c r="R218">
        <v>2018</v>
      </c>
      <c r="S218" s="4">
        <f t="shared" si="14"/>
        <v>43147</v>
      </c>
      <c r="T218" s="4">
        <f t="shared" si="12"/>
        <v>43147</v>
      </c>
      <c r="U218" s="4">
        <v>43147</v>
      </c>
    </row>
    <row r="219" spans="1:21" x14ac:dyDescent="0.3">
      <c r="A219" t="s">
        <v>492</v>
      </c>
      <c r="B219" s="1" t="s">
        <v>17</v>
      </c>
      <c r="C219" s="1" t="s">
        <v>18</v>
      </c>
      <c r="D219" s="1" t="s">
        <v>19</v>
      </c>
      <c r="E219" s="2">
        <v>41913</v>
      </c>
      <c r="F219" s="2" t="b">
        <f t="shared" si="15"/>
        <v>1</v>
      </c>
      <c r="G219" s="2">
        <f t="shared" si="13"/>
        <v>41913</v>
      </c>
      <c r="H219" s="1" t="s">
        <v>122</v>
      </c>
      <c r="I219" s="1" t="s">
        <v>493</v>
      </c>
      <c r="J219" s="1">
        <v>50</v>
      </c>
      <c r="K219" s="1">
        <v>48</v>
      </c>
      <c r="L219" s="3">
        <v>0.04</v>
      </c>
      <c r="N219" t="s">
        <v>3763</v>
      </c>
      <c r="S219" s="4" t="e">
        <f t="shared" si="14"/>
        <v>#NUM!</v>
      </c>
      <c r="T219" s="4" t="str">
        <f t="shared" si="12"/>
        <v/>
      </c>
      <c r="U219" s="4" t="s">
        <v>3763</v>
      </c>
    </row>
    <row r="220" spans="1:21" x14ac:dyDescent="0.3">
      <c r="A220" t="s">
        <v>494</v>
      </c>
      <c r="B220" s="1" t="s">
        <v>91</v>
      </c>
      <c r="C220" s="1" t="s">
        <v>92</v>
      </c>
      <c r="D220" s="1" t="s">
        <v>35</v>
      </c>
      <c r="E220" s="2">
        <v>42103</v>
      </c>
      <c r="F220" s="2" t="b">
        <f t="shared" si="15"/>
        <v>1</v>
      </c>
      <c r="G220" s="2">
        <f t="shared" si="13"/>
        <v>42103</v>
      </c>
      <c r="H220" s="1" t="s">
        <v>25</v>
      </c>
      <c r="I220" s="1" t="s">
        <v>495</v>
      </c>
      <c r="J220" s="1">
        <v>700</v>
      </c>
      <c r="K220" s="1">
        <v>560</v>
      </c>
      <c r="L220" s="3">
        <v>0.2</v>
      </c>
      <c r="N220" t="s">
        <v>3763</v>
      </c>
      <c r="S220" s="4" t="e">
        <f t="shared" si="14"/>
        <v>#NUM!</v>
      </c>
      <c r="T220" s="4" t="str">
        <f t="shared" si="12"/>
        <v/>
      </c>
      <c r="U220" s="4" t="s">
        <v>3763</v>
      </c>
    </row>
    <row r="221" spans="1:21" x14ac:dyDescent="0.3">
      <c r="A221" t="s">
        <v>496</v>
      </c>
      <c r="B221" s="1" t="s">
        <v>103</v>
      </c>
      <c r="C221" s="1" t="s">
        <v>71</v>
      </c>
      <c r="D221" s="1" t="s">
        <v>35</v>
      </c>
      <c r="E221" s="2">
        <v>41737</v>
      </c>
      <c r="F221" s="2" t="b">
        <f t="shared" si="15"/>
        <v>1</v>
      </c>
      <c r="G221" s="2">
        <f t="shared" si="13"/>
        <v>41737</v>
      </c>
      <c r="H221" s="1" t="s">
        <v>61</v>
      </c>
      <c r="I221" s="1" t="s">
        <v>497</v>
      </c>
      <c r="J221" s="1">
        <v>1000</v>
      </c>
      <c r="K221" s="1">
        <v>500</v>
      </c>
      <c r="L221" s="3">
        <v>0.5</v>
      </c>
      <c r="N221" t="s">
        <v>3763</v>
      </c>
      <c r="S221" s="4" t="e">
        <f t="shared" si="14"/>
        <v>#NUM!</v>
      </c>
      <c r="T221" s="4" t="str">
        <f t="shared" si="12"/>
        <v/>
      </c>
      <c r="U221" s="4" t="s">
        <v>3763</v>
      </c>
    </row>
    <row r="222" spans="1:21" x14ac:dyDescent="0.3">
      <c r="A222" t="s">
        <v>498</v>
      </c>
      <c r="B222" s="1" t="s">
        <v>154</v>
      </c>
      <c r="C222" s="1" t="s">
        <v>108</v>
      </c>
      <c r="D222" s="1" t="s">
        <v>19</v>
      </c>
      <c r="E222" s="2" t="s">
        <v>3093</v>
      </c>
      <c r="F222" s="2" t="b">
        <f t="shared" si="15"/>
        <v>0</v>
      </c>
      <c r="G222" s="2">
        <f t="shared" si="13"/>
        <v>43325</v>
      </c>
      <c r="H222" s="1" t="s">
        <v>72</v>
      </c>
      <c r="I222" s="1" t="s">
        <v>490</v>
      </c>
      <c r="J222" s="1">
        <v>500</v>
      </c>
      <c r="K222" s="1">
        <v>495</v>
      </c>
      <c r="L222" s="3">
        <v>0.01</v>
      </c>
      <c r="N222" t="s">
        <v>3093</v>
      </c>
      <c r="P222">
        <v>8</v>
      </c>
      <c r="Q222">
        <v>13</v>
      </c>
      <c r="R222">
        <v>2018</v>
      </c>
      <c r="S222" s="4">
        <f t="shared" si="14"/>
        <v>43325</v>
      </c>
      <c r="T222" s="4">
        <f t="shared" si="12"/>
        <v>43325</v>
      </c>
      <c r="U222" s="4">
        <v>43325</v>
      </c>
    </row>
    <row r="223" spans="1:21" x14ac:dyDescent="0.3">
      <c r="A223" t="s">
        <v>499</v>
      </c>
      <c r="B223" s="1" t="s">
        <v>289</v>
      </c>
      <c r="C223" s="1" t="s">
        <v>108</v>
      </c>
      <c r="D223" s="1" t="s">
        <v>19</v>
      </c>
      <c r="E223" s="2">
        <v>42470</v>
      </c>
      <c r="F223" s="2" t="b">
        <f t="shared" si="15"/>
        <v>1</v>
      </c>
      <c r="G223" s="2">
        <f t="shared" si="13"/>
        <v>42470</v>
      </c>
      <c r="H223" s="1" t="s">
        <v>41</v>
      </c>
      <c r="I223" s="1" t="s">
        <v>500</v>
      </c>
      <c r="J223" s="1">
        <v>30</v>
      </c>
      <c r="K223" s="1">
        <v>29</v>
      </c>
      <c r="L223" s="3">
        <v>3.3300000000000003E-2</v>
      </c>
      <c r="N223" t="s">
        <v>3763</v>
      </c>
      <c r="S223" s="4" t="e">
        <f t="shared" si="14"/>
        <v>#NUM!</v>
      </c>
      <c r="T223" s="4" t="str">
        <f t="shared" si="12"/>
        <v/>
      </c>
      <c r="U223" s="4" t="s">
        <v>3763</v>
      </c>
    </row>
    <row r="224" spans="1:21" x14ac:dyDescent="0.3">
      <c r="A224" t="s">
        <v>501</v>
      </c>
      <c r="B224" s="1" t="s">
        <v>182</v>
      </c>
      <c r="C224" s="1" t="s">
        <v>108</v>
      </c>
      <c r="D224" s="1" t="s">
        <v>19</v>
      </c>
      <c r="E224" s="2">
        <v>41797</v>
      </c>
      <c r="F224" s="2" t="b">
        <f t="shared" si="15"/>
        <v>1</v>
      </c>
      <c r="G224" s="2">
        <f t="shared" si="13"/>
        <v>41797</v>
      </c>
      <c r="H224" s="1" t="s">
        <v>122</v>
      </c>
      <c r="I224" s="1" t="s">
        <v>502</v>
      </c>
      <c r="J224" s="1">
        <v>50</v>
      </c>
      <c r="K224" s="1">
        <v>44</v>
      </c>
      <c r="L224" s="3">
        <v>0.12</v>
      </c>
      <c r="N224" t="s">
        <v>3763</v>
      </c>
      <c r="S224" s="4" t="e">
        <f t="shared" si="14"/>
        <v>#NUM!</v>
      </c>
      <c r="T224" s="4" t="str">
        <f t="shared" si="12"/>
        <v/>
      </c>
      <c r="U224" s="4" t="s">
        <v>3763</v>
      </c>
    </row>
    <row r="225" spans="1:21" x14ac:dyDescent="0.3">
      <c r="A225" t="s">
        <v>503</v>
      </c>
      <c r="B225" s="1" t="s">
        <v>111</v>
      </c>
      <c r="C225" s="1" t="s">
        <v>82</v>
      </c>
      <c r="D225" s="1" t="s">
        <v>13</v>
      </c>
      <c r="E225" s="2">
        <v>41707</v>
      </c>
      <c r="F225" s="2" t="b">
        <f t="shared" si="15"/>
        <v>1</v>
      </c>
      <c r="G225" s="2">
        <f t="shared" si="13"/>
        <v>41707</v>
      </c>
      <c r="H225" s="1" t="s">
        <v>61</v>
      </c>
      <c r="I225" s="1" t="s">
        <v>372</v>
      </c>
      <c r="J225" s="1">
        <v>1000</v>
      </c>
      <c r="K225" s="1">
        <v>710</v>
      </c>
      <c r="L225" s="3">
        <v>0.28999999999999998</v>
      </c>
      <c r="N225" t="s">
        <v>3763</v>
      </c>
      <c r="S225" s="4" t="e">
        <f t="shared" si="14"/>
        <v>#NUM!</v>
      </c>
      <c r="T225" s="4" t="str">
        <f t="shared" si="12"/>
        <v/>
      </c>
      <c r="U225" s="4" t="s">
        <v>3763</v>
      </c>
    </row>
    <row r="226" spans="1:21" x14ac:dyDescent="0.3">
      <c r="A226" t="s">
        <v>504</v>
      </c>
      <c r="B226" s="1" t="s">
        <v>182</v>
      </c>
      <c r="C226" s="1" t="s">
        <v>108</v>
      </c>
      <c r="D226" s="1" t="s">
        <v>19</v>
      </c>
      <c r="E226" s="2" t="s">
        <v>3094</v>
      </c>
      <c r="F226" s="2" t="b">
        <f t="shared" si="15"/>
        <v>0</v>
      </c>
      <c r="G226" s="2">
        <f t="shared" si="13"/>
        <v>42476</v>
      </c>
      <c r="H226" s="1" t="s">
        <v>30</v>
      </c>
      <c r="I226" s="1" t="s">
        <v>505</v>
      </c>
      <c r="J226" s="1">
        <v>150</v>
      </c>
      <c r="K226" s="1">
        <v>150</v>
      </c>
      <c r="L226" s="3">
        <v>0</v>
      </c>
      <c r="N226" t="s">
        <v>3094</v>
      </c>
      <c r="P226">
        <v>4</v>
      </c>
      <c r="Q226">
        <v>16</v>
      </c>
      <c r="R226">
        <v>2016</v>
      </c>
      <c r="S226" s="4">
        <f t="shared" si="14"/>
        <v>42476</v>
      </c>
      <c r="T226" s="4">
        <f t="shared" si="12"/>
        <v>42476</v>
      </c>
      <c r="U226" s="4">
        <v>42476</v>
      </c>
    </row>
    <row r="227" spans="1:21" x14ac:dyDescent="0.3">
      <c r="A227" t="s">
        <v>506</v>
      </c>
      <c r="B227" s="1" t="s">
        <v>91</v>
      </c>
      <c r="C227" s="1" t="s">
        <v>92</v>
      </c>
      <c r="D227" s="1" t="s">
        <v>35</v>
      </c>
      <c r="E227" s="2" t="s">
        <v>3095</v>
      </c>
      <c r="F227" s="2" t="b">
        <f t="shared" si="15"/>
        <v>0</v>
      </c>
      <c r="G227" s="2">
        <f t="shared" si="13"/>
        <v>42666</v>
      </c>
      <c r="H227" s="1" t="s">
        <v>36</v>
      </c>
      <c r="I227" s="1" t="s">
        <v>507</v>
      </c>
      <c r="J227" s="1">
        <v>50</v>
      </c>
      <c r="K227" s="1">
        <v>44</v>
      </c>
      <c r="L227" s="3">
        <v>0.12</v>
      </c>
      <c r="N227" t="s">
        <v>3095</v>
      </c>
      <c r="P227">
        <v>10</v>
      </c>
      <c r="Q227">
        <v>23</v>
      </c>
      <c r="R227">
        <v>2016</v>
      </c>
      <c r="S227" s="4">
        <f t="shared" si="14"/>
        <v>42666</v>
      </c>
      <c r="T227" s="4">
        <f t="shared" si="12"/>
        <v>42666</v>
      </c>
      <c r="U227" s="4">
        <v>42666</v>
      </c>
    </row>
    <row r="228" spans="1:21" x14ac:dyDescent="0.3">
      <c r="A228" t="s">
        <v>508</v>
      </c>
      <c r="B228" s="1" t="s">
        <v>224</v>
      </c>
      <c r="C228" s="1" t="s">
        <v>50</v>
      </c>
      <c r="D228" s="1" t="s">
        <v>24</v>
      </c>
      <c r="E228" s="2">
        <v>42127</v>
      </c>
      <c r="F228" s="2" t="b">
        <f t="shared" si="15"/>
        <v>1</v>
      </c>
      <c r="G228" s="2">
        <f t="shared" si="13"/>
        <v>42127</v>
      </c>
      <c r="H228" s="1" t="s">
        <v>41</v>
      </c>
      <c r="I228" s="1" t="s">
        <v>509</v>
      </c>
      <c r="J228" s="1">
        <v>30</v>
      </c>
      <c r="K228" s="1">
        <v>24</v>
      </c>
      <c r="L228" s="3">
        <v>0.2</v>
      </c>
      <c r="N228" t="s">
        <v>3763</v>
      </c>
      <c r="S228" s="4" t="e">
        <f t="shared" si="14"/>
        <v>#NUM!</v>
      </c>
      <c r="T228" s="4" t="str">
        <f t="shared" si="12"/>
        <v/>
      </c>
      <c r="U228" s="4" t="s">
        <v>3763</v>
      </c>
    </row>
    <row r="229" spans="1:21" x14ac:dyDescent="0.3">
      <c r="A229" t="s">
        <v>510</v>
      </c>
      <c r="B229" s="1" t="s">
        <v>434</v>
      </c>
      <c r="C229" s="1" t="s">
        <v>435</v>
      </c>
      <c r="D229" s="1" t="s">
        <v>24</v>
      </c>
      <c r="E229" s="2" t="s">
        <v>3096</v>
      </c>
      <c r="F229" s="2" t="b">
        <f t="shared" si="15"/>
        <v>0</v>
      </c>
      <c r="G229" s="2">
        <f t="shared" si="13"/>
        <v>42216</v>
      </c>
      <c r="H229" s="1" t="s">
        <v>115</v>
      </c>
      <c r="I229" s="1" t="s">
        <v>462</v>
      </c>
      <c r="J229" s="1">
        <v>250</v>
      </c>
      <c r="K229" s="1">
        <v>163</v>
      </c>
      <c r="L229" s="3">
        <v>0.34799999999999998</v>
      </c>
      <c r="N229" t="s">
        <v>3096</v>
      </c>
      <c r="P229">
        <v>7</v>
      </c>
      <c r="Q229">
        <v>31</v>
      </c>
      <c r="R229">
        <v>2015</v>
      </c>
      <c r="S229" s="4">
        <f t="shared" si="14"/>
        <v>42216</v>
      </c>
      <c r="T229" s="4">
        <f t="shared" si="12"/>
        <v>42216</v>
      </c>
      <c r="U229" s="4">
        <v>42216</v>
      </c>
    </row>
    <row r="230" spans="1:21" x14ac:dyDescent="0.3">
      <c r="A230" t="s">
        <v>511</v>
      </c>
      <c r="B230" s="1" t="s">
        <v>64</v>
      </c>
      <c r="C230" s="1" t="s">
        <v>65</v>
      </c>
      <c r="D230" s="1" t="s">
        <v>35</v>
      </c>
      <c r="E230" s="2">
        <v>43322</v>
      </c>
      <c r="F230" s="2" t="b">
        <f t="shared" si="15"/>
        <v>1</v>
      </c>
      <c r="G230" s="2">
        <f t="shared" si="13"/>
        <v>43322</v>
      </c>
      <c r="H230" s="1" t="s">
        <v>14</v>
      </c>
      <c r="I230" s="1" t="s">
        <v>512</v>
      </c>
      <c r="J230" s="1">
        <v>80</v>
      </c>
      <c r="K230" s="1">
        <v>78</v>
      </c>
      <c r="L230" s="3">
        <v>2.5000000000000001E-2</v>
      </c>
      <c r="N230" t="s">
        <v>3763</v>
      </c>
      <c r="S230" s="4" t="e">
        <f t="shared" si="14"/>
        <v>#NUM!</v>
      </c>
      <c r="T230" s="4" t="str">
        <f t="shared" si="12"/>
        <v/>
      </c>
      <c r="U230" s="4" t="s">
        <v>3763</v>
      </c>
    </row>
    <row r="231" spans="1:21" x14ac:dyDescent="0.3">
      <c r="A231" t="s">
        <v>513</v>
      </c>
      <c r="B231" s="1" t="s">
        <v>187</v>
      </c>
      <c r="C231" s="1" t="s">
        <v>188</v>
      </c>
      <c r="D231" s="1" t="s">
        <v>13</v>
      </c>
      <c r="E231" s="2" t="s">
        <v>3097</v>
      </c>
      <c r="F231" s="2" t="b">
        <f t="shared" si="15"/>
        <v>0</v>
      </c>
      <c r="G231" s="2">
        <f t="shared" si="13"/>
        <v>43303</v>
      </c>
      <c r="H231" s="1" t="s">
        <v>14</v>
      </c>
      <c r="I231" s="1" t="s">
        <v>415</v>
      </c>
      <c r="J231" s="1">
        <v>80</v>
      </c>
      <c r="K231" s="1">
        <v>78</v>
      </c>
      <c r="L231" s="3">
        <v>2.5000000000000001E-2</v>
      </c>
      <c r="N231" t="s">
        <v>3097</v>
      </c>
      <c r="P231">
        <v>7</v>
      </c>
      <c r="Q231">
        <v>22</v>
      </c>
      <c r="R231">
        <v>2018</v>
      </c>
      <c r="S231" s="4">
        <f t="shared" si="14"/>
        <v>43303</v>
      </c>
      <c r="T231" s="4">
        <f t="shared" si="12"/>
        <v>43303</v>
      </c>
      <c r="U231" s="4">
        <v>43303</v>
      </c>
    </row>
    <row r="232" spans="1:21" x14ac:dyDescent="0.3">
      <c r="A232" t="s">
        <v>514</v>
      </c>
      <c r="B232" s="1" t="s">
        <v>221</v>
      </c>
      <c r="C232" s="1" t="s">
        <v>40</v>
      </c>
      <c r="D232" s="1" t="s">
        <v>35</v>
      </c>
      <c r="E232" s="2">
        <v>42892</v>
      </c>
      <c r="F232" s="2" t="b">
        <f t="shared" si="15"/>
        <v>1</v>
      </c>
      <c r="G232" s="2">
        <f t="shared" si="13"/>
        <v>42892</v>
      </c>
      <c r="H232" s="1" t="s">
        <v>25</v>
      </c>
      <c r="I232" s="1" t="s">
        <v>231</v>
      </c>
      <c r="J232" s="1">
        <v>700</v>
      </c>
      <c r="K232" s="1">
        <v>651</v>
      </c>
      <c r="L232" s="3">
        <v>7.0000000000000007E-2</v>
      </c>
      <c r="N232" t="s">
        <v>3763</v>
      </c>
      <c r="S232" s="4" t="e">
        <f t="shared" si="14"/>
        <v>#NUM!</v>
      </c>
      <c r="T232" s="4" t="str">
        <f t="shared" si="12"/>
        <v/>
      </c>
      <c r="U232" s="4" t="s">
        <v>3763</v>
      </c>
    </row>
    <row r="233" spans="1:21" x14ac:dyDescent="0.3">
      <c r="A233" t="s">
        <v>515</v>
      </c>
      <c r="B233" s="1" t="s">
        <v>85</v>
      </c>
      <c r="C233" s="1" t="s">
        <v>86</v>
      </c>
      <c r="D233" s="1" t="s">
        <v>13</v>
      </c>
      <c r="E233" s="2" t="s">
        <v>3098</v>
      </c>
      <c r="F233" s="2" t="b">
        <f t="shared" si="15"/>
        <v>0</v>
      </c>
      <c r="G233" s="2">
        <f t="shared" si="13"/>
        <v>42199</v>
      </c>
      <c r="H233" s="1" t="s">
        <v>36</v>
      </c>
      <c r="I233" s="1" t="s">
        <v>516</v>
      </c>
      <c r="J233" s="1">
        <v>50</v>
      </c>
      <c r="K233" s="1">
        <v>36</v>
      </c>
      <c r="L233" s="3">
        <v>0.28000000000000003</v>
      </c>
      <c r="N233" t="s">
        <v>3098</v>
      </c>
      <c r="P233">
        <v>7</v>
      </c>
      <c r="Q233">
        <v>14</v>
      </c>
      <c r="R233">
        <v>2015</v>
      </c>
      <c r="S233" s="4">
        <f t="shared" si="14"/>
        <v>42199</v>
      </c>
      <c r="T233" s="4">
        <f t="shared" si="12"/>
        <v>42199</v>
      </c>
      <c r="U233" s="4">
        <v>42199</v>
      </c>
    </row>
    <row r="234" spans="1:21" x14ac:dyDescent="0.3">
      <c r="A234" t="s">
        <v>517</v>
      </c>
      <c r="B234" s="1" t="s">
        <v>170</v>
      </c>
      <c r="C234" s="1" t="s">
        <v>171</v>
      </c>
      <c r="D234" s="1" t="s">
        <v>13</v>
      </c>
      <c r="E234" s="2" t="s">
        <v>3099</v>
      </c>
      <c r="F234" s="2" t="b">
        <f t="shared" si="15"/>
        <v>0</v>
      </c>
      <c r="G234" s="2">
        <f t="shared" si="13"/>
        <v>41750</v>
      </c>
      <c r="H234" s="1" t="s">
        <v>72</v>
      </c>
      <c r="I234" s="1" t="s">
        <v>518</v>
      </c>
      <c r="J234" s="1">
        <v>500</v>
      </c>
      <c r="K234" s="1">
        <v>500</v>
      </c>
      <c r="L234" s="3">
        <v>0</v>
      </c>
      <c r="N234" t="s">
        <v>3099</v>
      </c>
      <c r="P234">
        <v>4</v>
      </c>
      <c r="Q234">
        <v>21</v>
      </c>
      <c r="R234">
        <v>2014</v>
      </c>
      <c r="S234" s="4">
        <f t="shared" si="14"/>
        <v>41750</v>
      </c>
      <c r="T234" s="4">
        <f t="shared" si="12"/>
        <v>41750</v>
      </c>
      <c r="U234" s="4">
        <v>41750</v>
      </c>
    </row>
    <row r="235" spans="1:21" x14ac:dyDescent="0.3">
      <c r="A235" t="s">
        <v>519</v>
      </c>
      <c r="B235" s="1" t="s">
        <v>241</v>
      </c>
      <c r="C235" s="1" t="s">
        <v>242</v>
      </c>
      <c r="D235" s="1" t="s">
        <v>13</v>
      </c>
      <c r="E235" s="2" t="s">
        <v>3100</v>
      </c>
      <c r="F235" s="2" t="b">
        <f t="shared" si="15"/>
        <v>0</v>
      </c>
      <c r="G235" s="2">
        <f t="shared" si="13"/>
        <v>42211</v>
      </c>
      <c r="H235" s="1" t="s">
        <v>30</v>
      </c>
      <c r="I235" s="1" t="s">
        <v>520</v>
      </c>
      <c r="J235" s="1">
        <v>150</v>
      </c>
      <c r="K235" s="1">
        <v>140</v>
      </c>
      <c r="L235" s="3">
        <v>6.6699999999999995E-2</v>
      </c>
      <c r="N235" t="s">
        <v>3100</v>
      </c>
      <c r="P235">
        <v>7</v>
      </c>
      <c r="Q235">
        <v>26</v>
      </c>
      <c r="R235">
        <v>2015</v>
      </c>
      <c r="S235" s="4">
        <f t="shared" si="14"/>
        <v>42211</v>
      </c>
      <c r="T235" s="4">
        <f t="shared" si="12"/>
        <v>42211</v>
      </c>
      <c r="U235" s="4">
        <v>42211</v>
      </c>
    </row>
    <row r="236" spans="1:21" x14ac:dyDescent="0.3">
      <c r="A236" t="s">
        <v>521</v>
      </c>
      <c r="B236" s="1" t="s">
        <v>255</v>
      </c>
      <c r="C236" s="1" t="s">
        <v>256</v>
      </c>
      <c r="D236" s="1" t="s">
        <v>13</v>
      </c>
      <c r="E236" s="2">
        <v>42837</v>
      </c>
      <c r="F236" s="2" t="b">
        <f t="shared" si="15"/>
        <v>1</v>
      </c>
      <c r="G236" s="2">
        <f t="shared" si="13"/>
        <v>42837</v>
      </c>
      <c r="H236" s="1" t="s">
        <v>25</v>
      </c>
      <c r="I236" s="1" t="s">
        <v>522</v>
      </c>
      <c r="J236" s="1">
        <v>700</v>
      </c>
      <c r="K236" s="1">
        <v>700</v>
      </c>
      <c r="L236" s="3">
        <v>0</v>
      </c>
      <c r="N236" t="s">
        <v>3763</v>
      </c>
      <c r="S236" s="4" t="e">
        <f t="shared" si="14"/>
        <v>#NUM!</v>
      </c>
      <c r="T236" s="4" t="str">
        <f t="shared" si="12"/>
        <v/>
      </c>
      <c r="U236" s="4" t="s">
        <v>3763</v>
      </c>
    </row>
    <row r="237" spans="1:21" x14ac:dyDescent="0.3">
      <c r="A237" t="s">
        <v>523</v>
      </c>
      <c r="B237" s="1" t="s">
        <v>77</v>
      </c>
      <c r="C237" s="1" t="s">
        <v>78</v>
      </c>
      <c r="D237" s="1" t="s">
        <v>35</v>
      </c>
      <c r="E237" s="2">
        <v>43073</v>
      </c>
      <c r="F237" s="2" t="b">
        <f t="shared" si="15"/>
        <v>1</v>
      </c>
      <c r="G237" s="2">
        <f t="shared" si="13"/>
        <v>43073</v>
      </c>
      <c r="H237" s="1" t="s">
        <v>30</v>
      </c>
      <c r="I237" s="1" t="s">
        <v>524</v>
      </c>
      <c r="J237" s="1">
        <v>150</v>
      </c>
      <c r="K237" s="1">
        <v>144</v>
      </c>
      <c r="L237" s="3">
        <v>0.04</v>
      </c>
      <c r="N237" t="s">
        <v>3763</v>
      </c>
      <c r="S237" s="4" t="e">
        <f t="shared" si="14"/>
        <v>#NUM!</v>
      </c>
      <c r="T237" s="4" t="str">
        <f t="shared" si="12"/>
        <v/>
      </c>
      <c r="U237" s="4" t="s">
        <v>3763</v>
      </c>
    </row>
    <row r="238" spans="1:21" x14ac:dyDescent="0.3">
      <c r="A238" t="s">
        <v>525</v>
      </c>
      <c r="B238" s="1" t="s">
        <v>127</v>
      </c>
      <c r="C238" s="1" t="s">
        <v>128</v>
      </c>
      <c r="D238" s="1" t="s">
        <v>13</v>
      </c>
      <c r="E238" s="2" t="s">
        <v>3101</v>
      </c>
      <c r="F238" s="2" t="b">
        <f t="shared" si="15"/>
        <v>0</v>
      </c>
      <c r="G238" s="2">
        <f t="shared" si="13"/>
        <v>43001</v>
      </c>
      <c r="H238" s="1" t="s">
        <v>46</v>
      </c>
      <c r="I238" s="1" t="s">
        <v>526</v>
      </c>
      <c r="J238" s="1">
        <v>500</v>
      </c>
      <c r="K238" s="1">
        <v>465</v>
      </c>
      <c r="L238" s="3">
        <v>7.0000000000000007E-2</v>
      </c>
      <c r="N238" t="s">
        <v>3101</v>
      </c>
      <c r="P238">
        <v>9</v>
      </c>
      <c r="Q238">
        <v>23</v>
      </c>
      <c r="R238">
        <v>2017</v>
      </c>
      <c r="S238" s="4">
        <f t="shared" si="14"/>
        <v>43001</v>
      </c>
      <c r="T238" s="4">
        <f t="shared" si="12"/>
        <v>43001</v>
      </c>
      <c r="U238" s="4">
        <v>43001</v>
      </c>
    </row>
    <row r="239" spans="1:21" x14ac:dyDescent="0.3">
      <c r="A239" t="s">
        <v>527</v>
      </c>
      <c r="B239" s="1" t="s">
        <v>270</v>
      </c>
      <c r="C239" s="1" t="s">
        <v>271</v>
      </c>
      <c r="D239" s="1" t="s">
        <v>35</v>
      </c>
      <c r="E239" s="2">
        <v>42493</v>
      </c>
      <c r="F239" s="2" t="b">
        <f t="shared" si="15"/>
        <v>1</v>
      </c>
      <c r="G239" s="2">
        <f t="shared" si="13"/>
        <v>42493</v>
      </c>
      <c r="H239" s="1" t="s">
        <v>36</v>
      </c>
      <c r="I239" s="1" t="s">
        <v>337</v>
      </c>
      <c r="J239" s="1">
        <v>50</v>
      </c>
      <c r="K239" s="1">
        <v>50</v>
      </c>
      <c r="L239" s="3">
        <v>0</v>
      </c>
      <c r="N239" t="s">
        <v>3763</v>
      </c>
      <c r="S239" s="4" t="e">
        <f t="shared" si="14"/>
        <v>#NUM!</v>
      </c>
      <c r="T239" s="4" t="str">
        <f t="shared" si="12"/>
        <v/>
      </c>
      <c r="U239" s="4" t="s">
        <v>3763</v>
      </c>
    </row>
    <row r="240" spans="1:21" x14ac:dyDescent="0.3">
      <c r="A240" t="s">
        <v>528</v>
      </c>
      <c r="B240" s="1" t="s">
        <v>64</v>
      </c>
      <c r="C240" s="1" t="s">
        <v>65</v>
      </c>
      <c r="D240" s="1" t="s">
        <v>35</v>
      </c>
      <c r="E240" s="2">
        <v>42311</v>
      </c>
      <c r="F240" s="2" t="b">
        <f t="shared" si="15"/>
        <v>1</v>
      </c>
      <c r="G240" s="2">
        <f t="shared" si="13"/>
        <v>42311</v>
      </c>
      <c r="H240" s="1" t="s">
        <v>122</v>
      </c>
      <c r="I240" s="1" t="s">
        <v>529</v>
      </c>
      <c r="J240" s="1">
        <v>50</v>
      </c>
      <c r="K240" s="1">
        <v>49</v>
      </c>
      <c r="L240" s="3">
        <v>0.02</v>
      </c>
      <c r="N240" t="s">
        <v>3763</v>
      </c>
      <c r="S240" s="4" t="e">
        <f t="shared" si="14"/>
        <v>#NUM!</v>
      </c>
      <c r="T240" s="4" t="str">
        <f t="shared" si="12"/>
        <v/>
      </c>
      <c r="U240" s="4" t="s">
        <v>3763</v>
      </c>
    </row>
    <row r="241" spans="1:21" x14ac:dyDescent="0.3">
      <c r="A241" t="s">
        <v>530</v>
      </c>
      <c r="B241" s="1" t="s">
        <v>107</v>
      </c>
      <c r="C241" s="1" t="s">
        <v>108</v>
      </c>
      <c r="D241" s="1" t="s">
        <v>19</v>
      </c>
      <c r="E241" s="2" t="s">
        <v>3102</v>
      </c>
      <c r="F241" s="2" t="b">
        <f t="shared" si="15"/>
        <v>0</v>
      </c>
      <c r="G241" s="2">
        <f t="shared" si="13"/>
        <v>41868</v>
      </c>
      <c r="H241" s="1" t="s">
        <v>36</v>
      </c>
      <c r="I241" s="1" t="s">
        <v>531</v>
      </c>
      <c r="J241" s="1">
        <v>50</v>
      </c>
      <c r="K241" s="1">
        <v>44</v>
      </c>
      <c r="L241" s="3">
        <v>0.12</v>
      </c>
      <c r="N241" t="s">
        <v>3102</v>
      </c>
      <c r="P241">
        <v>8</v>
      </c>
      <c r="Q241">
        <v>17</v>
      </c>
      <c r="R241">
        <v>2014</v>
      </c>
      <c r="S241" s="4">
        <f t="shared" si="14"/>
        <v>41868</v>
      </c>
      <c r="T241" s="4">
        <f t="shared" si="12"/>
        <v>41868</v>
      </c>
      <c r="U241" s="4">
        <v>41868</v>
      </c>
    </row>
    <row r="242" spans="1:21" x14ac:dyDescent="0.3">
      <c r="A242" t="s">
        <v>532</v>
      </c>
      <c r="B242" s="1" t="s">
        <v>127</v>
      </c>
      <c r="C242" s="1" t="s">
        <v>128</v>
      </c>
      <c r="D242" s="1" t="s">
        <v>13</v>
      </c>
      <c r="E242" s="2" t="s">
        <v>3103</v>
      </c>
      <c r="F242" s="2" t="b">
        <f t="shared" si="15"/>
        <v>0</v>
      </c>
      <c r="G242" s="2">
        <f t="shared" si="13"/>
        <v>42664</v>
      </c>
      <c r="H242" s="1" t="s">
        <v>72</v>
      </c>
      <c r="I242" s="1" t="s">
        <v>385</v>
      </c>
      <c r="J242" s="1">
        <v>500</v>
      </c>
      <c r="K242" s="1">
        <v>490</v>
      </c>
      <c r="L242" s="3">
        <v>0.02</v>
      </c>
      <c r="N242" t="s">
        <v>3103</v>
      </c>
      <c r="P242">
        <v>10</v>
      </c>
      <c r="Q242">
        <v>21</v>
      </c>
      <c r="R242">
        <v>2016</v>
      </c>
      <c r="S242" s="4">
        <f t="shared" si="14"/>
        <v>42664</v>
      </c>
      <c r="T242" s="4">
        <f t="shared" si="12"/>
        <v>42664</v>
      </c>
      <c r="U242" s="4">
        <v>42664</v>
      </c>
    </row>
    <row r="243" spans="1:21" x14ac:dyDescent="0.3">
      <c r="A243" t="s">
        <v>533</v>
      </c>
      <c r="B243" s="1" t="s">
        <v>127</v>
      </c>
      <c r="C243" s="1" t="s">
        <v>128</v>
      </c>
      <c r="D243" s="1" t="s">
        <v>13</v>
      </c>
      <c r="E243" s="2">
        <v>43107</v>
      </c>
      <c r="F243" s="2" t="b">
        <f t="shared" si="15"/>
        <v>1</v>
      </c>
      <c r="G243" s="2">
        <f t="shared" si="13"/>
        <v>43107</v>
      </c>
      <c r="H243" s="1" t="s">
        <v>25</v>
      </c>
      <c r="I243" s="1" t="s">
        <v>534</v>
      </c>
      <c r="J243" s="1">
        <v>700</v>
      </c>
      <c r="K243" s="1">
        <v>623</v>
      </c>
      <c r="L243" s="3">
        <v>0.11</v>
      </c>
      <c r="N243" t="s">
        <v>3763</v>
      </c>
      <c r="S243" s="4" t="e">
        <f t="shared" si="14"/>
        <v>#NUM!</v>
      </c>
      <c r="T243" s="4" t="str">
        <f t="shared" si="12"/>
        <v/>
      </c>
      <c r="U243" s="4" t="s">
        <v>3763</v>
      </c>
    </row>
    <row r="244" spans="1:21" x14ac:dyDescent="0.3">
      <c r="A244" t="s">
        <v>535</v>
      </c>
      <c r="B244" s="1" t="s">
        <v>131</v>
      </c>
      <c r="C244" s="1" t="s">
        <v>108</v>
      </c>
      <c r="D244" s="1" t="s">
        <v>19</v>
      </c>
      <c r="E244" s="2">
        <v>41949</v>
      </c>
      <c r="F244" s="2" t="b">
        <f t="shared" si="15"/>
        <v>1</v>
      </c>
      <c r="G244" s="2">
        <f t="shared" si="13"/>
        <v>41949</v>
      </c>
      <c r="H244" s="1" t="s">
        <v>25</v>
      </c>
      <c r="I244" s="1" t="s">
        <v>536</v>
      </c>
      <c r="J244" s="1">
        <v>700</v>
      </c>
      <c r="K244" s="1">
        <v>574</v>
      </c>
      <c r="L244" s="3">
        <v>0.18</v>
      </c>
      <c r="N244" t="s">
        <v>3763</v>
      </c>
      <c r="S244" s="4" t="e">
        <f t="shared" si="14"/>
        <v>#NUM!</v>
      </c>
      <c r="T244" s="4" t="str">
        <f t="shared" si="12"/>
        <v/>
      </c>
      <c r="U244" s="4" t="s">
        <v>3763</v>
      </c>
    </row>
    <row r="245" spans="1:21" x14ac:dyDescent="0.3">
      <c r="A245" t="s">
        <v>537</v>
      </c>
      <c r="B245" s="1" t="s">
        <v>134</v>
      </c>
      <c r="C245" s="1" t="s">
        <v>92</v>
      </c>
      <c r="D245" s="1" t="s">
        <v>35</v>
      </c>
      <c r="E245" s="2" t="s">
        <v>3104</v>
      </c>
      <c r="F245" s="2" t="b">
        <f t="shared" si="15"/>
        <v>0</v>
      </c>
      <c r="G245" s="2">
        <f t="shared" si="13"/>
        <v>42396</v>
      </c>
      <c r="H245" s="1" t="s">
        <v>104</v>
      </c>
      <c r="I245" s="1" t="s">
        <v>538</v>
      </c>
      <c r="J245" s="1">
        <v>70</v>
      </c>
      <c r="K245" s="1">
        <v>68</v>
      </c>
      <c r="L245" s="3">
        <v>2.86E-2</v>
      </c>
      <c r="N245" t="s">
        <v>3104</v>
      </c>
      <c r="P245">
        <v>1</v>
      </c>
      <c r="Q245">
        <v>27</v>
      </c>
      <c r="R245">
        <v>2016</v>
      </c>
      <c r="S245" s="4">
        <f t="shared" si="14"/>
        <v>42396</v>
      </c>
      <c r="T245" s="4">
        <f t="shared" si="12"/>
        <v>42396</v>
      </c>
      <c r="U245" s="4">
        <v>42396</v>
      </c>
    </row>
    <row r="246" spans="1:21" x14ac:dyDescent="0.3">
      <c r="A246" t="s">
        <v>539</v>
      </c>
      <c r="B246" s="1" t="s">
        <v>118</v>
      </c>
      <c r="C246" s="1" t="s">
        <v>119</v>
      </c>
      <c r="D246" s="1" t="s">
        <v>35</v>
      </c>
      <c r="E246" s="2" t="s">
        <v>3105</v>
      </c>
      <c r="F246" s="2" t="b">
        <f t="shared" si="15"/>
        <v>0</v>
      </c>
      <c r="G246" s="2">
        <f t="shared" si="13"/>
        <v>43369</v>
      </c>
      <c r="H246" s="1" t="s">
        <v>104</v>
      </c>
      <c r="I246" s="1" t="s">
        <v>540</v>
      </c>
      <c r="J246" s="1">
        <v>70</v>
      </c>
      <c r="K246" s="1">
        <v>69</v>
      </c>
      <c r="L246" s="3">
        <v>1.43E-2</v>
      </c>
      <c r="N246" t="s">
        <v>3105</v>
      </c>
      <c r="P246">
        <v>9</v>
      </c>
      <c r="Q246">
        <v>26</v>
      </c>
      <c r="R246">
        <v>2018</v>
      </c>
      <c r="S246" s="4">
        <f t="shared" si="14"/>
        <v>43369</v>
      </c>
      <c r="T246" s="4">
        <f t="shared" si="12"/>
        <v>43369</v>
      </c>
      <c r="U246" s="4">
        <v>43369</v>
      </c>
    </row>
    <row r="247" spans="1:21" x14ac:dyDescent="0.3">
      <c r="A247" t="s">
        <v>541</v>
      </c>
      <c r="B247" s="1" t="s">
        <v>434</v>
      </c>
      <c r="C247" s="1" t="s">
        <v>435</v>
      </c>
      <c r="D247" s="1" t="s">
        <v>24</v>
      </c>
      <c r="E247" s="2">
        <v>42677</v>
      </c>
      <c r="F247" s="2" t="b">
        <f t="shared" si="15"/>
        <v>1</v>
      </c>
      <c r="G247" s="2">
        <f t="shared" si="13"/>
        <v>42677</v>
      </c>
      <c r="H247" s="1" t="s">
        <v>41</v>
      </c>
      <c r="I247" s="1" t="s">
        <v>436</v>
      </c>
      <c r="J247" s="1">
        <v>30</v>
      </c>
      <c r="K247" s="1">
        <v>29</v>
      </c>
      <c r="L247" s="3">
        <v>3.3300000000000003E-2</v>
      </c>
      <c r="N247" t="s">
        <v>3763</v>
      </c>
      <c r="S247" s="4" t="e">
        <f t="shared" si="14"/>
        <v>#NUM!</v>
      </c>
      <c r="T247" s="4" t="str">
        <f t="shared" si="12"/>
        <v/>
      </c>
      <c r="U247" s="4" t="s">
        <v>3763</v>
      </c>
    </row>
    <row r="248" spans="1:21" x14ac:dyDescent="0.3">
      <c r="A248" t="s">
        <v>542</v>
      </c>
      <c r="B248" s="1" t="s">
        <v>17</v>
      </c>
      <c r="C248" s="1" t="s">
        <v>18</v>
      </c>
      <c r="D248" s="1" t="s">
        <v>19</v>
      </c>
      <c r="E248" s="2" t="s">
        <v>3106</v>
      </c>
      <c r="F248" s="2" t="b">
        <f t="shared" si="15"/>
        <v>0</v>
      </c>
      <c r="G248" s="2">
        <f t="shared" si="13"/>
        <v>43359</v>
      </c>
      <c r="H248" s="1" t="s">
        <v>55</v>
      </c>
      <c r="I248" s="1" t="s">
        <v>543</v>
      </c>
      <c r="J248" s="1">
        <v>800</v>
      </c>
      <c r="K248" s="1">
        <v>696</v>
      </c>
      <c r="L248" s="3">
        <v>0.13</v>
      </c>
      <c r="N248" t="s">
        <v>3106</v>
      </c>
      <c r="P248">
        <v>9</v>
      </c>
      <c r="Q248">
        <v>16</v>
      </c>
      <c r="R248">
        <v>2018</v>
      </c>
      <c r="S248" s="4">
        <f t="shared" si="14"/>
        <v>43359</v>
      </c>
      <c r="T248" s="4">
        <f t="shared" si="12"/>
        <v>43359</v>
      </c>
      <c r="U248" s="4">
        <v>43359</v>
      </c>
    </row>
    <row r="249" spans="1:21" x14ac:dyDescent="0.3">
      <c r="A249" t="s">
        <v>544</v>
      </c>
      <c r="B249" s="1" t="s">
        <v>28</v>
      </c>
      <c r="C249" s="1" t="s">
        <v>29</v>
      </c>
      <c r="D249" s="1" t="s">
        <v>13</v>
      </c>
      <c r="E249" s="2" t="s">
        <v>3107</v>
      </c>
      <c r="F249" s="2" t="b">
        <f t="shared" si="15"/>
        <v>0</v>
      </c>
      <c r="G249" s="2">
        <f t="shared" si="13"/>
        <v>42474</v>
      </c>
      <c r="H249" s="1" t="s">
        <v>25</v>
      </c>
      <c r="I249" s="1" t="s">
        <v>424</v>
      </c>
      <c r="J249" s="1">
        <v>700</v>
      </c>
      <c r="K249" s="1">
        <v>602</v>
      </c>
      <c r="L249" s="3">
        <v>0.14000000000000001</v>
      </c>
      <c r="N249" t="s">
        <v>3107</v>
      </c>
      <c r="P249">
        <v>4</v>
      </c>
      <c r="Q249">
        <v>14</v>
      </c>
      <c r="R249">
        <v>2016</v>
      </c>
      <c r="S249" s="4">
        <f t="shared" si="14"/>
        <v>42474</v>
      </c>
      <c r="T249" s="4">
        <f t="shared" si="12"/>
        <v>42474</v>
      </c>
      <c r="U249" s="4">
        <v>42474</v>
      </c>
    </row>
    <row r="250" spans="1:21" x14ac:dyDescent="0.3">
      <c r="A250" t="s">
        <v>545</v>
      </c>
      <c r="B250" s="1" t="s">
        <v>131</v>
      </c>
      <c r="C250" s="1" t="s">
        <v>108</v>
      </c>
      <c r="D250" s="1" t="s">
        <v>19</v>
      </c>
      <c r="E250" s="2">
        <v>41855</v>
      </c>
      <c r="F250" s="2" t="b">
        <f t="shared" si="15"/>
        <v>1</v>
      </c>
      <c r="G250" s="2">
        <f t="shared" si="13"/>
        <v>41855</v>
      </c>
      <c r="H250" s="1" t="s">
        <v>36</v>
      </c>
      <c r="I250" s="1" t="s">
        <v>546</v>
      </c>
      <c r="J250" s="1">
        <v>50</v>
      </c>
      <c r="K250" s="1">
        <v>40</v>
      </c>
      <c r="L250" s="3">
        <v>0.2</v>
      </c>
      <c r="N250" t="s">
        <v>3763</v>
      </c>
      <c r="S250" s="4" t="e">
        <f t="shared" si="14"/>
        <v>#NUM!</v>
      </c>
      <c r="T250" s="4" t="str">
        <f t="shared" si="12"/>
        <v/>
      </c>
      <c r="U250" s="4" t="s">
        <v>3763</v>
      </c>
    </row>
    <row r="251" spans="1:21" x14ac:dyDescent="0.3">
      <c r="A251" t="s">
        <v>547</v>
      </c>
      <c r="B251" s="1" t="s">
        <v>77</v>
      </c>
      <c r="C251" s="1" t="s">
        <v>78</v>
      </c>
      <c r="D251" s="1" t="s">
        <v>35</v>
      </c>
      <c r="E251" s="2">
        <v>42859</v>
      </c>
      <c r="F251" s="2" t="b">
        <f t="shared" si="15"/>
        <v>1</v>
      </c>
      <c r="G251" s="2">
        <f t="shared" si="13"/>
        <v>42859</v>
      </c>
      <c r="H251" s="1" t="s">
        <v>122</v>
      </c>
      <c r="I251" s="1" t="s">
        <v>548</v>
      </c>
      <c r="J251" s="1">
        <v>50</v>
      </c>
      <c r="K251" s="1">
        <v>50</v>
      </c>
      <c r="L251" s="3">
        <v>0</v>
      </c>
      <c r="N251" t="s">
        <v>3763</v>
      </c>
      <c r="S251" s="4" t="e">
        <f t="shared" si="14"/>
        <v>#NUM!</v>
      </c>
      <c r="T251" s="4" t="str">
        <f t="shared" si="12"/>
        <v/>
      </c>
      <c r="U251" s="4" t="s">
        <v>3763</v>
      </c>
    </row>
    <row r="252" spans="1:21" x14ac:dyDescent="0.3">
      <c r="A252" t="s">
        <v>549</v>
      </c>
      <c r="B252" s="1" t="s">
        <v>434</v>
      </c>
      <c r="C252" s="1" t="s">
        <v>435</v>
      </c>
      <c r="D252" s="1" t="s">
        <v>24</v>
      </c>
      <c r="E252" s="2" t="s">
        <v>3108</v>
      </c>
      <c r="F252" s="2" t="b">
        <f t="shared" si="15"/>
        <v>0</v>
      </c>
      <c r="G252" s="2">
        <f t="shared" si="13"/>
        <v>43061</v>
      </c>
      <c r="H252" s="1" t="s">
        <v>36</v>
      </c>
      <c r="I252" s="1" t="s">
        <v>550</v>
      </c>
      <c r="J252" s="1">
        <v>50</v>
      </c>
      <c r="K252" s="1">
        <v>49</v>
      </c>
      <c r="L252" s="3">
        <v>0.02</v>
      </c>
      <c r="N252" t="s">
        <v>3108</v>
      </c>
      <c r="P252">
        <v>11</v>
      </c>
      <c r="Q252">
        <v>22</v>
      </c>
      <c r="R252">
        <v>2017</v>
      </c>
      <c r="S252" s="4">
        <f t="shared" si="14"/>
        <v>43061</v>
      </c>
      <c r="T252" s="4">
        <f t="shared" si="12"/>
        <v>43061</v>
      </c>
      <c r="U252" s="4">
        <v>43061</v>
      </c>
    </row>
    <row r="253" spans="1:21" x14ac:dyDescent="0.3">
      <c r="A253" t="s">
        <v>551</v>
      </c>
      <c r="B253" s="1" t="s">
        <v>59</v>
      </c>
      <c r="C253" s="1" t="s">
        <v>60</v>
      </c>
      <c r="D253" s="1" t="s">
        <v>13</v>
      </c>
      <c r="E253" s="2" t="s">
        <v>3109</v>
      </c>
      <c r="F253" s="2" t="b">
        <f t="shared" si="15"/>
        <v>0</v>
      </c>
      <c r="G253" s="2">
        <f t="shared" si="13"/>
        <v>41839</v>
      </c>
      <c r="H253" s="1" t="s">
        <v>46</v>
      </c>
      <c r="I253" s="1" t="s">
        <v>312</v>
      </c>
      <c r="J253" s="1">
        <v>500</v>
      </c>
      <c r="K253" s="1">
        <v>425</v>
      </c>
      <c r="L253" s="3">
        <v>0.15</v>
      </c>
      <c r="N253" t="s">
        <v>3109</v>
      </c>
      <c r="P253">
        <v>7</v>
      </c>
      <c r="Q253">
        <v>19</v>
      </c>
      <c r="R253">
        <v>2014</v>
      </c>
      <c r="S253" s="4">
        <f t="shared" si="14"/>
        <v>41839</v>
      </c>
      <c r="T253" s="4">
        <f t="shared" si="12"/>
        <v>41839</v>
      </c>
      <c r="U253" s="4">
        <v>41839</v>
      </c>
    </row>
    <row r="254" spans="1:21" x14ac:dyDescent="0.3">
      <c r="A254" t="s">
        <v>552</v>
      </c>
      <c r="B254" s="1" t="s">
        <v>170</v>
      </c>
      <c r="C254" s="1" t="s">
        <v>171</v>
      </c>
      <c r="D254" s="1" t="s">
        <v>13</v>
      </c>
      <c r="E254" s="2" t="s">
        <v>3110</v>
      </c>
      <c r="F254" s="2" t="b">
        <f t="shared" si="15"/>
        <v>0</v>
      </c>
      <c r="G254" s="2">
        <f t="shared" si="13"/>
        <v>43364</v>
      </c>
      <c r="H254" s="1" t="s">
        <v>72</v>
      </c>
      <c r="I254" s="1" t="s">
        <v>518</v>
      </c>
      <c r="J254" s="1">
        <v>500</v>
      </c>
      <c r="K254" s="1">
        <v>500</v>
      </c>
      <c r="L254" s="3">
        <v>0</v>
      </c>
      <c r="N254" t="s">
        <v>3110</v>
      </c>
      <c r="P254">
        <v>9</v>
      </c>
      <c r="Q254">
        <v>21</v>
      </c>
      <c r="R254">
        <v>2018</v>
      </c>
      <c r="S254" s="4">
        <f t="shared" si="14"/>
        <v>43364</v>
      </c>
      <c r="T254" s="4">
        <f t="shared" si="12"/>
        <v>43364</v>
      </c>
      <c r="U254" s="4">
        <v>43364</v>
      </c>
    </row>
    <row r="255" spans="1:21" x14ac:dyDescent="0.3">
      <c r="A255" t="s">
        <v>553</v>
      </c>
      <c r="B255" s="1" t="s">
        <v>28</v>
      </c>
      <c r="C255" s="1" t="s">
        <v>29</v>
      </c>
      <c r="D255" s="1" t="s">
        <v>13</v>
      </c>
      <c r="E255" s="2" t="s">
        <v>3111</v>
      </c>
      <c r="F255" s="2" t="b">
        <f t="shared" si="15"/>
        <v>0</v>
      </c>
      <c r="G255" s="2">
        <f t="shared" si="13"/>
        <v>42277</v>
      </c>
      <c r="H255" s="1" t="s">
        <v>55</v>
      </c>
      <c r="I255" s="1" t="s">
        <v>554</v>
      </c>
      <c r="J255" s="1">
        <v>800</v>
      </c>
      <c r="K255" s="1">
        <v>680</v>
      </c>
      <c r="L255" s="3">
        <v>0.15</v>
      </c>
      <c r="N255" t="s">
        <v>3111</v>
      </c>
      <c r="P255">
        <v>9</v>
      </c>
      <c r="Q255">
        <v>30</v>
      </c>
      <c r="R255">
        <v>2015</v>
      </c>
      <c r="S255" s="4">
        <f t="shared" si="14"/>
        <v>42277</v>
      </c>
      <c r="T255" s="4">
        <f t="shared" si="12"/>
        <v>42277</v>
      </c>
      <c r="U255" s="4">
        <v>42277</v>
      </c>
    </row>
    <row r="256" spans="1:21" x14ac:dyDescent="0.3">
      <c r="A256" t="s">
        <v>555</v>
      </c>
      <c r="B256" s="1" t="s">
        <v>81</v>
      </c>
      <c r="C256" s="1" t="s">
        <v>82</v>
      </c>
      <c r="D256" s="1" t="s">
        <v>13</v>
      </c>
      <c r="E256" s="2">
        <v>43081</v>
      </c>
      <c r="F256" s="2" t="b">
        <f t="shared" si="15"/>
        <v>1</v>
      </c>
      <c r="G256" s="2">
        <f t="shared" si="13"/>
        <v>43081</v>
      </c>
      <c r="H256" s="1" t="s">
        <v>30</v>
      </c>
      <c r="I256" s="1" t="s">
        <v>556</v>
      </c>
      <c r="J256" s="1">
        <v>150</v>
      </c>
      <c r="K256" s="1">
        <v>144</v>
      </c>
      <c r="L256" s="3">
        <v>0.04</v>
      </c>
      <c r="N256" t="s">
        <v>3763</v>
      </c>
      <c r="S256" s="4" t="e">
        <f t="shared" si="14"/>
        <v>#NUM!</v>
      </c>
      <c r="T256" s="4" t="str">
        <f t="shared" si="12"/>
        <v/>
      </c>
      <c r="U256" s="4" t="s">
        <v>3763</v>
      </c>
    </row>
    <row r="257" spans="1:21" x14ac:dyDescent="0.3">
      <c r="A257" t="s">
        <v>557</v>
      </c>
      <c r="B257" s="1" t="s">
        <v>255</v>
      </c>
      <c r="C257" s="1" t="s">
        <v>256</v>
      </c>
      <c r="D257" s="1" t="s">
        <v>13</v>
      </c>
      <c r="E257" s="2">
        <v>42523</v>
      </c>
      <c r="F257" s="2" t="b">
        <f t="shared" si="15"/>
        <v>1</v>
      </c>
      <c r="G257" s="2">
        <f t="shared" si="13"/>
        <v>42523</v>
      </c>
      <c r="H257" s="1" t="s">
        <v>61</v>
      </c>
      <c r="I257" s="1" t="s">
        <v>376</v>
      </c>
      <c r="J257" s="1">
        <v>1000</v>
      </c>
      <c r="K257" s="1">
        <v>680</v>
      </c>
      <c r="L257" s="3">
        <v>0.32</v>
      </c>
      <c r="N257" t="s">
        <v>3763</v>
      </c>
      <c r="S257" s="4" t="e">
        <f t="shared" si="14"/>
        <v>#NUM!</v>
      </c>
      <c r="T257" s="4" t="str">
        <f t="shared" si="12"/>
        <v/>
      </c>
      <c r="U257" s="4" t="s">
        <v>3763</v>
      </c>
    </row>
    <row r="258" spans="1:21" x14ac:dyDescent="0.3">
      <c r="A258" t="s">
        <v>558</v>
      </c>
      <c r="B258" s="1" t="s">
        <v>22</v>
      </c>
      <c r="C258" s="1" t="s">
        <v>23</v>
      </c>
      <c r="D258" s="1" t="s">
        <v>24</v>
      </c>
      <c r="E258" s="2" t="s">
        <v>3112</v>
      </c>
      <c r="F258" s="2" t="b">
        <f t="shared" si="15"/>
        <v>0</v>
      </c>
      <c r="G258" s="2">
        <f t="shared" si="13"/>
        <v>43099</v>
      </c>
      <c r="H258" s="1" t="s">
        <v>30</v>
      </c>
      <c r="I258" s="1" t="s">
        <v>310</v>
      </c>
      <c r="J258" s="1">
        <v>150</v>
      </c>
      <c r="K258" s="1">
        <v>140</v>
      </c>
      <c r="L258" s="3">
        <v>6.6699999999999995E-2</v>
      </c>
      <c r="N258" t="s">
        <v>3112</v>
      </c>
      <c r="P258">
        <v>12</v>
      </c>
      <c r="Q258">
        <v>30</v>
      </c>
      <c r="R258">
        <v>2017</v>
      </c>
      <c r="S258" s="4">
        <f t="shared" si="14"/>
        <v>43099</v>
      </c>
      <c r="T258" s="4">
        <f t="shared" si="12"/>
        <v>43099</v>
      </c>
      <c r="U258" s="4">
        <v>43099</v>
      </c>
    </row>
    <row r="259" spans="1:21" x14ac:dyDescent="0.3">
      <c r="A259" t="s">
        <v>559</v>
      </c>
      <c r="B259" s="1" t="s">
        <v>111</v>
      </c>
      <c r="C259" s="1" t="s">
        <v>82</v>
      </c>
      <c r="D259" s="1" t="s">
        <v>13</v>
      </c>
      <c r="E259" s="2" t="s">
        <v>3113</v>
      </c>
      <c r="F259" s="2" t="b">
        <f t="shared" si="15"/>
        <v>0</v>
      </c>
      <c r="G259" s="2">
        <f t="shared" si="13"/>
        <v>42875</v>
      </c>
      <c r="H259" s="1" t="s">
        <v>41</v>
      </c>
      <c r="I259" s="1" t="s">
        <v>560</v>
      </c>
      <c r="J259" s="1">
        <v>30</v>
      </c>
      <c r="K259" s="1">
        <v>28</v>
      </c>
      <c r="L259" s="3">
        <v>6.6699999999999995E-2</v>
      </c>
      <c r="N259" t="s">
        <v>3113</v>
      </c>
      <c r="P259">
        <v>5</v>
      </c>
      <c r="Q259">
        <v>20</v>
      </c>
      <c r="R259">
        <v>2017</v>
      </c>
      <c r="S259" s="4">
        <f t="shared" si="14"/>
        <v>42875</v>
      </c>
      <c r="T259" s="4">
        <f t="shared" ref="T259:T322" si="16">IF(AND(P259&lt;&gt;"",Q259&lt;&gt;"",R259&lt;&gt;""),IFERROR(DATE(R259,P259,Q259),""),"")</f>
        <v>42875</v>
      </c>
      <c r="U259" s="4">
        <v>42875</v>
      </c>
    </row>
    <row r="260" spans="1:21" x14ac:dyDescent="0.3">
      <c r="A260" t="s">
        <v>561</v>
      </c>
      <c r="B260" s="1" t="s">
        <v>205</v>
      </c>
      <c r="C260" s="1" t="s">
        <v>206</v>
      </c>
      <c r="D260" s="1" t="s">
        <v>24</v>
      </c>
      <c r="E260" s="2" t="s">
        <v>3114</v>
      </c>
      <c r="F260" s="2" t="b">
        <f t="shared" si="15"/>
        <v>0</v>
      </c>
      <c r="G260" s="2">
        <f t="shared" ref="G260:G323" si="17">IF(F260=TRUE,E260,U260)</f>
        <v>41662</v>
      </c>
      <c r="H260" s="1" t="s">
        <v>55</v>
      </c>
      <c r="I260" s="1" t="s">
        <v>207</v>
      </c>
      <c r="J260" s="1">
        <v>800</v>
      </c>
      <c r="K260" s="1">
        <v>544</v>
      </c>
      <c r="L260" s="3">
        <v>0.32</v>
      </c>
      <c r="N260" t="s">
        <v>3114</v>
      </c>
      <c r="P260">
        <v>1</v>
      </c>
      <c r="Q260">
        <v>23</v>
      </c>
      <c r="R260">
        <v>2014</v>
      </c>
      <c r="S260" s="4">
        <f t="shared" ref="S260:S323" si="18">DATE(R260,P260,Q260)</f>
        <v>41662</v>
      </c>
      <c r="T260" s="4">
        <f t="shared" si="16"/>
        <v>41662</v>
      </c>
      <c r="U260" s="4">
        <v>41662</v>
      </c>
    </row>
    <row r="261" spans="1:21" x14ac:dyDescent="0.3">
      <c r="A261" t="s">
        <v>562</v>
      </c>
      <c r="B261" s="1" t="s">
        <v>17</v>
      </c>
      <c r="C261" s="1" t="s">
        <v>18</v>
      </c>
      <c r="D261" s="1" t="s">
        <v>19</v>
      </c>
      <c r="E261" s="2" t="s">
        <v>3115</v>
      </c>
      <c r="F261" s="2" t="b">
        <f t="shared" ref="F261:F324" si="19">ISNUMBER(E261)</f>
        <v>0</v>
      </c>
      <c r="G261" s="2">
        <f t="shared" si="17"/>
        <v>42447</v>
      </c>
      <c r="H261" s="1" t="s">
        <v>36</v>
      </c>
      <c r="I261" s="1" t="s">
        <v>89</v>
      </c>
      <c r="J261" s="1">
        <v>50</v>
      </c>
      <c r="K261" s="1">
        <v>47</v>
      </c>
      <c r="L261" s="3">
        <v>0.06</v>
      </c>
      <c r="N261" t="s">
        <v>3115</v>
      </c>
      <c r="P261">
        <v>3</v>
      </c>
      <c r="Q261">
        <v>18</v>
      </c>
      <c r="R261">
        <v>2016</v>
      </c>
      <c r="S261" s="4">
        <f t="shared" si="18"/>
        <v>42447</v>
      </c>
      <c r="T261" s="4">
        <f t="shared" si="16"/>
        <v>42447</v>
      </c>
      <c r="U261" s="4">
        <v>42447</v>
      </c>
    </row>
    <row r="262" spans="1:21" x14ac:dyDescent="0.3">
      <c r="A262" t="s">
        <v>563</v>
      </c>
      <c r="B262" s="1" t="s">
        <v>111</v>
      </c>
      <c r="C262" s="1" t="s">
        <v>82</v>
      </c>
      <c r="D262" s="1" t="s">
        <v>13</v>
      </c>
      <c r="E262" s="2" t="s">
        <v>3116</v>
      </c>
      <c r="F262" s="2" t="b">
        <f t="shared" si="19"/>
        <v>0</v>
      </c>
      <c r="G262" s="2">
        <f t="shared" si="17"/>
        <v>41840</v>
      </c>
      <c r="H262" s="1" t="s">
        <v>14</v>
      </c>
      <c r="I262" s="1" t="s">
        <v>564</v>
      </c>
      <c r="J262" s="1">
        <v>80</v>
      </c>
      <c r="K262" s="1">
        <v>60</v>
      </c>
      <c r="L262" s="3">
        <v>0.25</v>
      </c>
      <c r="N262" t="s">
        <v>3116</v>
      </c>
      <c r="P262">
        <v>7</v>
      </c>
      <c r="Q262">
        <v>20</v>
      </c>
      <c r="R262">
        <v>2014</v>
      </c>
      <c r="S262" s="4">
        <f t="shared" si="18"/>
        <v>41840</v>
      </c>
      <c r="T262" s="4">
        <f t="shared" si="16"/>
        <v>41840</v>
      </c>
      <c r="U262" s="4">
        <v>41840</v>
      </c>
    </row>
    <row r="263" spans="1:21" x14ac:dyDescent="0.3">
      <c r="A263" t="s">
        <v>565</v>
      </c>
      <c r="B263" s="1" t="s">
        <v>270</v>
      </c>
      <c r="C263" s="1" t="s">
        <v>271</v>
      </c>
      <c r="D263" s="1" t="s">
        <v>35</v>
      </c>
      <c r="E263" s="2" t="s">
        <v>3117</v>
      </c>
      <c r="F263" s="2" t="b">
        <f t="shared" si="19"/>
        <v>0</v>
      </c>
      <c r="G263" s="2">
        <f t="shared" si="17"/>
        <v>43268</v>
      </c>
      <c r="H263" s="1" t="s">
        <v>41</v>
      </c>
      <c r="I263" s="1" t="s">
        <v>566</v>
      </c>
      <c r="J263" s="1">
        <v>30</v>
      </c>
      <c r="K263" s="1">
        <v>26</v>
      </c>
      <c r="L263" s="3">
        <v>0.1333</v>
      </c>
      <c r="N263" t="s">
        <v>3117</v>
      </c>
      <c r="P263">
        <v>6</v>
      </c>
      <c r="Q263">
        <v>17</v>
      </c>
      <c r="R263">
        <v>2018</v>
      </c>
      <c r="S263" s="4">
        <f t="shared" si="18"/>
        <v>43268</v>
      </c>
      <c r="T263" s="4">
        <f t="shared" si="16"/>
        <v>43268</v>
      </c>
      <c r="U263" s="4">
        <v>43268</v>
      </c>
    </row>
    <row r="264" spans="1:21" x14ac:dyDescent="0.3">
      <c r="A264" t="s">
        <v>567</v>
      </c>
      <c r="B264" s="1" t="s">
        <v>131</v>
      </c>
      <c r="C264" s="1" t="s">
        <v>108</v>
      </c>
      <c r="D264" s="1" t="s">
        <v>19</v>
      </c>
      <c r="E264" s="2" t="s">
        <v>3118</v>
      </c>
      <c r="F264" s="2" t="b">
        <f t="shared" si="19"/>
        <v>0</v>
      </c>
      <c r="G264" s="2">
        <f t="shared" si="17"/>
        <v>42636</v>
      </c>
      <c r="H264" s="1" t="s">
        <v>72</v>
      </c>
      <c r="I264" s="1" t="s">
        <v>536</v>
      </c>
      <c r="J264" s="1">
        <v>500</v>
      </c>
      <c r="K264" s="1">
        <v>495</v>
      </c>
      <c r="L264" s="3">
        <v>0.01</v>
      </c>
      <c r="N264" t="s">
        <v>3118</v>
      </c>
      <c r="P264">
        <v>9</v>
      </c>
      <c r="Q264">
        <v>23</v>
      </c>
      <c r="R264">
        <v>2016</v>
      </c>
      <c r="S264" s="4">
        <f t="shared" si="18"/>
        <v>42636</v>
      </c>
      <c r="T264" s="4">
        <f t="shared" si="16"/>
        <v>42636</v>
      </c>
      <c r="U264" s="4">
        <v>42636</v>
      </c>
    </row>
    <row r="265" spans="1:21" x14ac:dyDescent="0.3">
      <c r="A265" t="s">
        <v>568</v>
      </c>
      <c r="B265" s="1" t="s">
        <v>124</v>
      </c>
      <c r="C265" s="1" t="s">
        <v>40</v>
      </c>
      <c r="D265" s="1" t="s">
        <v>35</v>
      </c>
      <c r="E265" s="2">
        <v>41887</v>
      </c>
      <c r="F265" s="2" t="b">
        <f t="shared" si="19"/>
        <v>1</v>
      </c>
      <c r="G265" s="2">
        <f t="shared" si="17"/>
        <v>41887</v>
      </c>
      <c r="H265" s="1" t="s">
        <v>61</v>
      </c>
      <c r="I265" s="1" t="s">
        <v>569</v>
      </c>
      <c r="J265" s="1">
        <v>1000</v>
      </c>
      <c r="K265" s="1">
        <v>620</v>
      </c>
      <c r="L265" s="3">
        <v>0.38</v>
      </c>
      <c r="N265" t="s">
        <v>3763</v>
      </c>
      <c r="S265" s="4" t="e">
        <f t="shared" si="18"/>
        <v>#NUM!</v>
      </c>
      <c r="T265" s="4" t="str">
        <f t="shared" si="16"/>
        <v/>
      </c>
      <c r="U265" s="4" t="s">
        <v>3763</v>
      </c>
    </row>
    <row r="266" spans="1:21" x14ac:dyDescent="0.3">
      <c r="A266" t="s">
        <v>570</v>
      </c>
      <c r="B266" s="1" t="s">
        <v>157</v>
      </c>
      <c r="C266" s="1" t="s">
        <v>108</v>
      </c>
      <c r="D266" s="1" t="s">
        <v>19</v>
      </c>
      <c r="E266" s="2" t="s">
        <v>3010</v>
      </c>
      <c r="F266" s="2" t="b">
        <f t="shared" si="19"/>
        <v>0</v>
      </c>
      <c r="G266" s="2">
        <f t="shared" si="17"/>
        <v>43173</v>
      </c>
      <c r="H266" s="1" t="s">
        <v>72</v>
      </c>
      <c r="I266" s="1" t="s">
        <v>571</v>
      </c>
      <c r="J266" s="1">
        <v>500</v>
      </c>
      <c r="K266" s="1">
        <v>490</v>
      </c>
      <c r="L266" s="3">
        <v>0.02</v>
      </c>
      <c r="N266" t="s">
        <v>3010</v>
      </c>
      <c r="P266">
        <v>3</v>
      </c>
      <c r="Q266">
        <v>14</v>
      </c>
      <c r="R266">
        <v>2018</v>
      </c>
      <c r="S266" s="4">
        <f t="shared" si="18"/>
        <v>43173</v>
      </c>
      <c r="T266" s="4">
        <f t="shared" si="16"/>
        <v>43173</v>
      </c>
      <c r="U266" s="4">
        <v>43173</v>
      </c>
    </row>
    <row r="267" spans="1:21" x14ac:dyDescent="0.3">
      <c r="A267" t="s">
        <v>572</v>
      </c>
      <c r="B267" s="1" t="s">
        <v>85</v>
      </c>
      <c r="C267" s="1" t="s">
        <v>86</v>
      </c>
      <c r="D267" s="1" t="s">
        <v>13</v>
      </c>
      <c r="E267" s="2">
        <v>41951</v>
      </c>
      <c r="F267" s="2" t="b">
        <f t="shared" si="19"/>
        <v>1</v>
      </c>
      <c r="G267" s="2">
        <f t="shared" si="17"/>
        <v>41951</v>
      </c>
      <c r="H267" s="1" t="s">
        <v>41</v>
      </c>
      <c r="I267" s="1" t="s">
        <v>573</v>
      </c>
      <c r="J267" s="1">
        <v>30</v>
      </c>
      <c r="K267" s="1">
        <v>21</v>
      </c>
      <c r="L267" s="3">
        <v>0.3</v>
      </c>
      <c r="N267" t="s">
        <v>3763</v>
      </c>
      <c r="S267" s="4" t="e">
        <f t="shared" si="18"/>
        <v>#NUM!</v>
      </c>
      <c r="T267" s="4" t="str">
        <f t="shared" si="16"/>
        <v/>
      </c>
      <c r="U267" s="4" t="s">
        <v>3763</v>
      </c>
    </row>
    <row r="268" spans="1:21" x14ac:dyDescent="0.3">
      <c r="A268" t="s">
        <v>574</v>
      </c>
      <c r="B268" s="1" t="s">
        <v>124</v>
      </c>
      <c r="C268" s="1" t="s">
        <v>40</v>
      </c>
      <c r="D268" s="1" t="s">
        <v>35</v>
      </c>
      <c r="E268" s="2" t="s">
        <v>3119</v>
      </c>
      <c r="F268" s="2" t="b">
        <f t="shared" si="19"/>
        <v>0</v>
      </c>
      <c r="G268" s="2">
        <f t="shared" si="17"/>
        <v>42152</v>
      </c>
      <c r="H268" s="1" t="s">
        <v>41</v>
      </c>
      <c r="I268" s="1" t="s">
        <v>575</v>
      </c>
      <c r="J268" s="1">
        <v>30</v>
      </c>
      <c r="K268" s="1">
        <v>20</v>
      </c>
      <c r="L268" s="3">
        <v>0.33329999999999999</v>
      </c>
      <c r="N268" t="s">
        <v>3119</v>
      </c>
      <c r="P268">
        <v>5</v>
      </c>
      <c r="Q268">
        <v>28</v>
      </c>
      <c r="R268">
        <v>2015</v>
      </c>
      <c r="S268" s="4">
        <f t="shared" si="18"/>
        <v>42152</v>
      </c>
      <c r="T268" s="4">
        <f t="shared" si="16"/>
        <v>42152</v>
      </c>
      <c r="U268" s="4">
        <v>42152</v>
      </c>
    </row>
    <row r="269" spans="1:21" x14ac:dyDescent="0.3">
      <c r="A269" t="s">
        <v>576</v>
      </c>
      <c r="B269" s="1" t="s">
        <v>221</v>
      </c>
      <c r="C269" s="1" t="s">
        <v>40</v>
      </c>
      <c r="D269" s="1" t="s">
        <v>35</v>
      </c>
      <c r="E269" s="2" t="s">
        <v>3120</v>
      </c>
      <c r="F269" s="2" t="b">
        <f t="shared" si="19"/>
        <v>0</v>
      </c>
      <c r="G269" s="2">
        <f t="shared" si="17"/>
        <v>42174</v>
      </c>
      <c r="H269" s="1" t="s">
        <v>61</v>
      </c>
      <c r="I269" s="1" t="s">
        <v>245</v>
      </c>
      <c r="J269" s="1">
        <v>1000</v>
      </c>
      <c r="K269" s="1">
        <v>910</v>
      </c>
      <c r="L269" s="3">
        <v>0.09</v>
      </c>
      <c r="N269" t="s">
        <v>3120</v>
      </c>
      <c r="P269">
        <v>6</v>
      </c>
      <c r="Q269">
        <v>19</v>
      </c>
      <c r="R269">
        <v>2015</v>
      </c>
      <c r="S269" s="4">
        <f t="shared" si="18"/>
        <v>42174</v>
      </c>
      <c r="T269" s="4">
        <f t="shared" si="16"/>
        <v>42174</v>
      </c>
      <c r="U269" s="4">
        <v>42174</v>
      </c>
    </row>
    <row r="270" spans="1:21" x14ac:dyDescent="0.3">
      <c r="A270" t="s">
        <v>577</v>
      </c>
      <c r="B270" s="1" t="s">
        <v>64</v>
      </c>
      <c r="C270" s="1" t="s">
        <v>65</v>
      </c>
      <c r="D270" s="1" t="s">
        <v>35</v>
      </c>
      <c r="E270" s="2" t="s">
        <v>3095</v>
      </c>
      <c r="F270" s="2" t="b">
        <f t="shared" si="19"/>
        <v>0</v>
      </c>
      <c r="G270" s="2">
        <f t="shared" si="17"/>
        <v>42666</v>
      </c>
      <c r="H270" s="1" t="s">
        <v>104</v>
      </c>
      <c r="I270" s="1" t="s">
        <v>529</v>
      </c>
      <c r="J270" s="1">
        <v>70</v>
      </c>
      <c r="K270" s="1">
        <v>68</v>
      </c>
      <c r="L270" s="3">
        <v>2.86E-2</v>
      </c>
      <c r="N270" t="s">
        <v>3095</v>
      </c>
      <c r="P270">
        <v>10</v>
      </c>
      <c r="Q270">
        <v>23</v>
      </c>
      <c r="R270">
        <v>2016</v>
      </c>
      <c r="S270" s="4">
        <f t="shared" si="18"/>
        <v>42666</v>
      </c>
      <c r="T270" s="4">
        <f t="shared" si="16"/>
        <v>42666</v>
      </c>
      <c r="U270" s="4">
        <v>42666</v>
      </c>
    </row>
    <row r="271" spans="1:21" x14ac:dyDescent="0.3">
      <c r="A271" t="s">
        <v>578</v>
      </c>
      <c r="B271" s="1" t="s">
        <v>205</v>
      </c>
      <c r="C271" s="1" t="s">
        <v>206</v>
      </c>
      <c r="D271" s="1" t="s">
        <v>24</v>
      </c>
      <c r="E271" s="2" t="s">
        <v>3121</v>
      </c>
      <c r="F271" s="2" t="b">
        <f t="shared" si="19"/>
        <v>0</v>
      </c>
      <c r="G271" s="2">
        <f t="shared" si="17"/>
        <v>42456</v>
      </c>
      <c r="H271" s="1" t="s">
        <v>25</v>
      </c>
      <c r="I271" s="1" t="s">
        <v>579</v>
      </c>
      <c r="J271" s="1">
        <v>700</v>
      </c>
      <c r="K271" s="1">
        <v>623</v>
      </c>
      <c r="L271" s="3">
        <v>0.11</v>
      </c>
      <c r="N271" t="s">
        <v>3121</v>
      </c>
      <c r="P271">
        <v>3</v>
      </c>
      <c r="Q271">
        <v>27</v>
      </c>
      <c r="R271">
        <v>2016</v>
      </c>
      <c r="S271" s="4">
        <f t="shared" si="18"/>
        <v>42456</v>
      </c>
      <c r="T271" s="4">
        <f t="shared" si="16"/>
        <v>42456</v>
      </c>
      <c r="U271" s="4">
        <v>42456</v>
      </c>
    </row>
    <row r="272" spans="1:21" x14ac:dyDescent="0.3">
      <c r="A272" t="s">
        <v>580</v>
      </c>
      <c r="B272" s="1" t="s">
        <v>85</v>
      </c>
      <c r="C272" s="1" t="s">
        <v>86</v>
      </c>
      <c r="D272" s="1" t="s">
        <v>13</v>
      </c>
      <c r="E272" s="2" t="s">
        <v>3122</v>
      </c>
      <c r="F272" s="2" t="b">
        <f t="shared" si="19"/>
        <v>0</v>
      </c>
      <c r="G272" s="2">
        <f t="shared" si="17"/>
        <v>41698</v>
      </c>
      <c r="H272" s="1" t="s">
        <v>72</v>
      </c>
      <c r="I272" s="1" t="s">
        <v>581</v>
      </c>
      <c r="J272" s="1">
        <v>500</v>
      </c>
      <c r="K272" s="1">
        <v>490</v>
      </c>
      <c r="L272" s="3">
        <v>0.02</v>
      </c>
      <c r="N272" t="s">
        <v>3122</v>
      </c>
      <c r="P272">
        <v>2</v>
      </c>
      <c r="Q272">
        <v>28</v>
      </c>
      <c r="R272">
        <v>2014</v>
      </c>
      <c r="S272" s="4">
        <f t="shared" si="18"/>
        <v>41698</v>
      </c>
      <c r="T272" s="4">
        <f t="shared" si="16"/>
        <v>41698</v>
      </c>
      <c r="U272" s="4">
        <v>41698</v>
      </c>
    </row>
    <row r="273" spans="1:21" x14ac:dyDescent="0.3">
      <c r="A273" t="s">
        <v>582</v>
      </c>
      <c r="B273" s="1" t="s">
        <v>118</v>
      </c>
      <c r="C273" s="1" t="s">
        <v>119</v>
      </c>
      <c r="D273" s="1" t="s">
        <v>35</v>
      </c>
      <c r="E273" s="2">
        <v>42471</v>
      </c>
      <c r="F273" s="2" t="b">
        <f t="shared" si="19"/>
        <v>1</v>
      </c>
      <c r="G273" s="2">
        <f t="shared" si="17"/>
        <v>42471</v>
      </c>
      <c r="H273" s="1" t="s">
        <v>36</v>
      </c>
      <c r="I273" s="1" t="s">
        <v>583</v>
      </c>
      <c r="J273" s="1">
        <v>50</v>
      </c>
      <c r="K273" s="1">
        <v>50</v>
      </c>
      <c r="L273" s="3">
        <v>0</v>
      </c>
      <c r="N273" t="s">
        <v>3763</v>
      </c>
      <c r="S273" s="4" t="e">
        <f t="shared" si="18"/>
        <v>#NUM!</v>
      </c>
      <c r="T273" s="4" t="str">
        <f t="shared" si="16"/>
        <v/>
      </c>
      <c r="U273" s="4" t="s">
        <v>3763</v>
      </c>
    </row>
    <row r="274" spans="1:21" x14ac:dyDescent="0.3">
      <c r="A274" t="s">
        <v>584</v>
      </c>
      <c r="B274" s="1" t="s">
        <v>434</v>
      </c>
      <c r="C274" s="1" t="s">
        <v>435</v>
      </c>
      <c r="D274" s="1" t="s">
        <v>24</v>
      </c>
      <c r="E274" s="2" t="s">
        <v>3123</v>
      </c>
      <c r="F274" s="2" t="b">
        <f t="shared" si="19"/>
        <v>0</v>
      </c>
      <c r="G274" s="2">
        <f t="shared" si="17"/>
        <v>42181</v>
      </c>
      <c r="H274" s="1" t="s">
        <v>61</v>
      </c>
      <c r="I274" s="1" t="s">
        <v>585</v>
      </c>
      <c r="J274" s="1">
        <v>1000</v>
      </c>
      <c r="K274" s="1">
        <v>790</v>
      </c>
      <c r="L274" s="3">
        <v>0.21</v>
      </c>
      <c r="N274" t="s">
        <v>3123</v>
      </c>
      <c r="P274">
        <v>6</v>
      </c>
      <c r="Q274">
        <v>26</v>
      </c>
      <c r="R274">
        <v>2015</v>
      </c>
      <c r="S274" s="4">
        <f t="shared" si="18"/>
        <v>42181</v>
      </c>
      <c r="T274" s="4">
        <f t="shared" si="16"/>
        <v>42181</v>
      </c>
      <c r="U274" s="4">
        <v>42181</v>
      </c>
    </row>
    <row r="275" spans="1:21" x14ac:dyDescent="0.3">
      <c r="A275" t="s">
        <v>586</v>
      </c>
      <c r="B275" s="1" t="s">
        <v>33</v>
      </c>
      <c r="C275" s="1" t="s">
        <v>34</v>
      </c>
      <c r="D275" s="1" t="s">
        <v>35</v>
      </c>
      <c r="E275" s="2" t="s">
        <v>3124</v>
      </c>
      <c r="F275" s="2" t="b">
        <f t="shared" si="19"/>
        <v>0</v>
      </c>
      <c r="G275" s="2">
        <f t="shared" si="17"/>
        <v>41901</v>
      </c>
      <c r="H275" s="1" t="s">
        <v>30</v>
      </c>
      <c r="I275" s="1" t="s">
        <v>37</v>
      </c>
      <c r="J275" s="1">
        <v>150</v>
      </c>
      <c r="K275" s="1">
        <v>144</v>
      </c>
      <c r="L275" s="3">
        <v>0.04</v>
      </c>
      <c r="N275" t="s">
        <v>3124</v>
      </c>
      <c r="P275">
        <v>9</v>
      </c>
      <c r="Q275">
        <v>19</v>
      </c>
      <c r="R275">
        <v>2014</v>
      </c>
      <c r="S275" s="4">
        <f t="shared" si="18"/>
        <v>41901</v>
      </c>
      <c r="T275" s="4">
        <f t="shared" si="16"/>
        <v>41901</v>
      </c>
      <c r="U275" s="4">
        <v>41901</v>
      </c>
    </row>
    <row r="276" spans="1:21" x14ac:dyDescent="0.3">
      <c r="A276" t="s">
        <v>587</v>
      </c>
      <c r="B276" s="1" t="s">
        <v>324</v>
      </c>
      <c r="C276" s="1" t="s">
        <v>325</v>
      </c>
      <c r="D276" s="1" t="s">
        <v>13</v>
      </c>
      <c r="E276" s="2" t="s">
        <v>3098</v>
      </c>
      <c r="F276" s="2" t="b">
        <f t="shared" si="19"/>
        <v>0</v>
      </c>
      <c r="G276" s="2">
        <f t="shared" si="17"/>
        <v>42199</v>
      </c>
      <c r="H276" s="1" t="s">
        <v>61</v>
      </c>
      <c r="I276" s="1" t="s">
        <v>588</v>
      </c>
      <c r="J276" s="1">
        <v>1000</v>
      </c>
      <c r="K276" s="1">
        <v>960</v>
      </c>
      <c r="L276" s="3">
        <v>0.04</v>
      </c>
      <c r="N276" t="s">
        <v>3098</v>
      </c>
      <c r="P276">
        <v>7</v>
      </c>
      <c r="Q276">
        <v>14</v>
      </c>
      <c r="R276">
        <v>2015</v>
      </c>
      <c r="S276" s="4">
        <f t="shared" si="18"/>
        <v>42199</v>
      </c>
      <c r="T276" s="4">
        <f t="shared" si="16"/>
        <v>42199</v>
      </c>
      <c r="U276" s="4">
        <v>42199</v>
      </c>
    </row>
    <row r="277" spans="1:21" x14ac:dyDescent="0.3">
      <c r="A277" t="s">
        <v>589</v>
      </c>
      <c r="B277" s="1" t="s">
        <v>255</v>
      </c>
      <c r="C277" s="1" t="s">
        <v>256</v>
      </c>
      <c r="D277" s="1" t="s">
        <v>13</v>
      </c>
      <c r="E277" s="2" t="s">
        <v>3125</v>
      </c>
      <c r="F277" s="2" t="b">
        <f t="shared" si="19"/>
        <v>0</v>
      </c>
      <c r="G277" s="2">
        <f t="shared" si="17"/>
        <v>43117</v>
      </c>
      <c r="H277" s="1" t="s">
        <v>46</v>
      </c>
      <c r="I277" s="1" t="s">
        <v>590</v>
      </c>
      <c r="J277" s="1">
        <v>500</v>
      </c>
      <c r="K277" s="1">
        <v>445</v>
      </c>
      <c r="L277" s="3">
        <v>0.11</v>
      </c>
      <c r="N277" t="s">
        <v>3125</v>
      </c>
      <c r="P277">
        <v>1</v>
      </c>
      <c r="Q277">
        <v>17</v>
      </c>
      <c r="R277">
        <v>2018</v>
      </c>
      <c r="S277" s="4">
        <f t="shared" si="18"/>
        <v>43117</v>
      </c>
      <c r="T277" s="4">
        <f t="shared" si="16"/>
        <v>43117</v>
      </c>
      <c r="U277" s="4">
        <v>43117</v>
      </c>
    </row>
    <row r="278" spans="1:21" x14ac:dyDescent="0.3">
      <c r="A278" t="s">
        <v>591</v>
      </c>
      <c r="B278" s="1" t="s">
        <v>103</v>
      </c>
      <c r="C278" s="1" t="s">
        <v>71</v>
      </c>
      <c r="D278" s="1" t="s">
        <v>35</v>
      </c>
      <c r="E278" s="2" t="s">
        <v>3126</v>
      </c>
      <c r="F278" s="2" t="b">
        <f t="shared" si="19"/>
        <v>0</v>
      </c>
      <c r="G278" s="2">
        <f t="shared" si="17"/>
        <v>43396</v>
      </c>
      <c r="H278" s="1" t="s">
        <v>46</v>
      </c>
      <c r="I278" s="1" t="s">
        <v>592</v>
      </c>
      <c r="J278" s="1">
        <v>500</v>
      </c>
      <c r="K278" s="1">
        <v>435</v>
      </c>
      <c r="L278" s="3">
        <v>0.13</v>
      </c>
      <c r="N278" t="s">
        <v>3126</v>
      </c>
      <c r="P278">
        <v>10</v>
      </c>
      <c r="Q278">
        <v>23</v>
      </c>
      <c r="R278">
        <v>2018</v>
      </c>
      <c r="S278" s="4">
        <f t="shared" si="18"/>
        <v>43396</v>
      </c>
      <c r="T278" s="4">
        <f t="shared" si="16"/>
        <v>43396</v>
      </c>
      <c r="U278" s="4">
        <v>43396</v>
      </c>
    </row>
    <row r="279" spans="1:21" x14ac:dyDescent="0.3">
      <c r="A279" t="s">
        <v>593</v>
      </c>
      <c r="B279" s="1" t="s">
        <v>99</v>
      </c>
      <c r="C279" s="1" t="s">
        <v>100</v>
      </c>
      <c r="D279" s="1" t="s">
        <v>13</v>
      </c>
      <c r="E279" s="2" t="s">
        <v>3127</v>
      </c>
      <c r="F279" s="2" t="b">
        <f t="shared" si="19"/>
        <v>0</v>
      </c>
      <c r="G279" s="2">
        <f t="shared" si="17"/>
        <v>41878</v>
      </c>
      <c r="H279" s="1" t="s">
        <v>72</v>
      </c>
      <c r="I279" s="1" t="s">
        <v>594</v>
      </c>
      <c r="J279" s="1">
        <v>500</v>
      </c>
      <c r="K279" s="1">
        <v>490</v>
      </c>
      <c r="L279" s="3">
        <v>0.02</v>
      </c>
      <c r="N279" t="s">
        <v>3127</v>
      </c>
      <c r="P279">
        <v>8</v>
      </c>
      <c r="Q279">
        <v>27</v>
      </c>
      <c r="R279">
        <v>2014</v>
      </c>
      <c r="S279" s="4">
        <f t="shared" si="18"/>
        <v>41878</v>
      </c>
      <c r="T279" s="4">
        <f t="shared" si="16"/>
        <v>41878</v>
      </c>
      <c r="U279" s="4">
        <v>41878</v>
      </c>
    </row>
    <row r="280" spans="1:21" x14ac:dyDescent="0.3">
      <c r="A280" t="s">
        <v>595</v>
      </c>
      <c r="B280" s="1" t="s">
        <v>205</v>
      </c>
      <c r="C280" s="1" t="s">
        <v>206</v>
      </c>
      <c r="D280" s="1" t="s">
        <v>24</v>
      </c>
      <c r="E280" s="2" t="s">
        <v>3128</v>
      </c>
      <c r="F280" s="2" t="b">
        <f t="shared" si="19"/>
        <v>0</v>
      </c>
      <c r="G280" s="2">
        <f t="shared" si="17"/>
        <v>43022</v>
      </c>
      <c r="H280" s="1" t="s">
        <v>115</v>
      </c>
      <c r="I280" s="1" t="s">
        <v>596</v>
      </c>
      <c r="J280" s="1">
        <v>250</v>
      </c>
      <c r="K280" s="1">
        <v>230</v>
      </c>
      <c r="L280" s="3">
        <v>0.08</v>
      </c>
      <c r="N280" t="s">
        <v>3128</v>
      </c>
      <c r="P280">
        <v>10</v>
      </c>
      <c r="Q280">
        <v>14</v>
      </c>
      <c r="R280">
        <v>2017</v>
      </c>
      <c r="S280" s="4">
        <f t="shared" si="18"/>
        <v>43022</v>
      </c>
      <c r="T280" s="4">
        <f t="shared" si="16"/>
        <v>43022</v>
      </c>
      <c r="U280" s="4">
        <v>43022</v>
      </c>
    </row>
    <row r="281" spans="1:21" x14ac:dyDescent="0.3">
      <c r="A281" t="s">
        <v>597</v>
      </c>
      <c r="B281" s="1" t="s">
        <v>434</v>
      </c>
      <c r="C281" s="1" t="s">
        <v>435</v>
      </c>
      <c r="D281" s="1" t="s">
        <v>24</v>
      </c>
      <c r="E281" s="2">
        <v>42350</v>
      </c>
      <c r="F281" s="2" t="b">
        <f t="shared" si="19"/>
        <v>1</v>
      </c>
      <c r="G281" s="2">
        <f t="shared" si="17"/>
        <v>42350</v>
      </c>
      <c r="H281" s="1" t="s">
        <v>55</v>
      </c>
      <c r="I281" s="1" t="s">
        <v>436</v>
      </c>
      <c r="J281" s="1">
        <v>800</v>
      </c>
      <c r="K281" s="1">
        <v>472</v>
      </c>
      <c r="L281" s="3">
        <v>0.41</v>
      </c>
      <c r="N281" t="s">
        <v>3763</v>
      </c>
      <c r="S281" s="4" t="e">
        <f t="shared" si="18"/>
        <v>#NUM!</v>
      </c>
      <c r="T281" s="4" t="str">
        <f t="shared" si="16"/>
        <v/>
      </c>
      <c r="U281" s="4" t="s">
        <v>3763</v>
      </c>
    </row>
    <row r="282" spans="1:21" x14ac:dyDescent="0.3">
      <c r="A282" t="s">
        <v>598</v>
      </c>
      <c r="B282" s="1" t="s">
        <v>264</v>
      </c>
      <c r="C282" s="1" t="s">
        <v>265</v>
      </c>
      <c r="D282" s="1" t="s">
        <v>13</v>
      </c>
      <c r="E282" s="2">
        <v>42676</v>
      </c>
      <c r="F282" s="2" t="b">
        <f t="shared" si="19"/>
        <v>1</v>
      </c>
      <c r="G282" s="2">
        <f t="shared" si="17"/>
        <v>42676</v>
      </c>
      <c r="H282" s="1" t="s">
        <v>61</v>
      </c>
      <c r="I282" s="1" t="s">
        <v>599</v>
      </c>
      <c r="J282" s="1">
        <v>1000</v>
      </c>
      <c r="K282" s="1">
        <v>510</v>
      </c>
      <c r="L282" s="3">
        <v>0.49</v>
      </c>
      <c r="N282" t="s">
        <v>3763</v>
      </c>
      <c r="S282" s="4" t="e">
        <f t="shared" si="18"/>
        <v>#NUM!</v>
      </c>
      <c r="T282" s="4" t="str">
        <f t="shared" si="16"/>
        <v/>
      </c>
      <c r="U282" s="4" t="s">
        <v>3763</v>
      </c>
    </row>
    <row r="283" spans="1:21" x14ac:dyDescent="0.3">
      <c r="A283" t="s">
        <v>600</v>
      </c>
      <c r="B283" s="1" t="s">
        <v>59</v>
      </c>
      <c r="C283" s="1" t="s">
        <v>60</v>
      </c>
      <c r="D283" s="1" t="s">
        <v>13</v>
      </c>
      <c r="E283" s="2" t="s">
        <v>3129</v>
      </c>
      <c r="F283" s="2" t="b">
        <f t="shared" si="19"/>
        <v>0</v>
      </c>
      <c r="G283" s="2">
        <f t="shared" si="17"/>
        <v>42635</v>
      </c>
      <c r="H283" s="1" t="s">
        <v>115</v>
      </c>
      <c r="I283" s="1" t="s">
        <v>62</v>
      </c>
      <c r="J283" s="1">
        <v>250</v>
      </c>
      <c r="K283" s="1">
        <v>230</v>
      </c>
      <c r="L283" s="3">
        <v>0.08</v>
      </c>
      <c r="N283" t="s">
        <v>3129</v>
      </c>
      <c r="P283">
        <v>9</v>
      </c>
      <c r="Q283">
        <v>22</v>
      </c>
      <c r="R283">
        <v>2016</v>
      </c>
      <c r="S283" s="4">
        <f t="shared" si="18"/>
        <v>42635</v>
      </c>
      <c r="T283" s="4">
        <f t="shared" si="16"/>
        <v>42635</v>
      </c>
      <c r="U283" s="4">
        <v>42635</v>
      </c>
    </row>
    <row r="284" spans="1:21" x14ac:dyDescent="0.3">
      <c r="A284" t="s">
        <v>601</v>
      </c>
      <c r="B284" s="1" t="s">
        <v>264</v>
      </c>
      <c r="C284" s="1" t="s">
        <v>265</v>
      </c>
      <c r="D284" s="1" t="s">
        <v>13</v>
      </c>
      <c r="E284" s="2">
        <v>43104</v>
      </c>
      <c r="F284" s="2" t="b">
        <f t="shared" si="19"/>
        <v>1</v>
      </c>
      <c r="G284" s="2">
        <f t="shared" si="17"/>
        <v>43104</v>
      </c>
      <c r="H284" s="1" t="s">
        <v>122</v>
      </c>
      <c r="I284" s="1" t="s">
        <v>266</v>
      </c>
      <c r="J284" s="1">
        <v>50</v>
      </c>
      <c r="K284" s="1">
        <v>48</v>
      </c>
      <c r="L284" s="3">
        <v>0.04</v>
      </c>
      <c r="N284" t="s">
        <v>3763</v>
      </c>
      <c r="S284" s="4" t="e">
        <f t="shared" si="18"/>
        <v>#NUM!</v>
      </c>
      <c r="T284" s="4" t="str">
        <f t="shared" si="16"/>
        <v/>
      </c>
      <c r="U284" s="4" t="s">
        <v>3763</v>
      </c>
    </row>
    <row r="285" spans="1:21" x14ac:dyDescent="0.3">
      <c r="A285" t="s">
        <v>602</v>
      </c>
      <c r="B285" s="1" t="s">
        <v>103</v>
      </c>
      <c r="C285" s="1" t="s">
        <v>71</v>
      </c>
      <c r="D285" s="1" t="s">
        <v>35</v>
      </c>
      <c r="E285" s="2">
        <v>42038</v>
      </c>
      <c r="F285" s="2" t="b">
        <f t="shared" si="19"/>
        <v>1</v>
      </c>
      <c r="G285" s="2">
        <f t="shared" si="17"/>
        <v>42038</v>
      </c>
      <c r="H285" s="1" t="s">
        <v>14</v>
      </c>
      <c r="I285" s="1" t="s">
        <v>603</v>
      </c>
      <c r="J285" s="1">
        <v>80</v>
      </c>
      <c r="K285" s="1">
        <v>49</v>
      </c>
      <c r="L285" s="3">
        <v>0.38750000000000001</v>
      </c>
      <c r="N285" t="s">
        <v>3763</v>
      </c>
      <c r="S285" s="4" t="e">
        <f t="shared" si="18"/>
        <v>#NUM!</v>
      </c>
      <c r="T285" s="4" t="str">
        <f t="shared" si="16"/>
        <v/>
      </c>
      <c r="U285" s="4" t="s">
        <v>3763</v>
      </c>
    </row>
    <row r="286" spans="1:21" x14ac:dyDescent="0.3">
      <c r="A286" t="s">
        <v>604</v>
      </c>
      <c r="B286" s="1" t="s">
        <v>264</v>
      </c>
      <c r="C286" s="1" t="s">
        <v>265</v>
      </c>
      <c r="D286" s="1" t="s">
        <v>13</v>
      </c>
      <c r="E286" s="2" t="s">
        <v>3030</v>
      </c>
      <c r="F286" s="2" t="b">
        <f t="shared" si="19"/>
        <v>0</v>
      </c>
      <c r="G286" s="2">
        <f t="shared" si="17"/>
        <v>42326</v>
      </c>
      <c r="H286" s="1" t="s">
        <v>72</v>
      </c>
      <c r="I286" s="1" t="s">
        <v>314</v>
      </c>
      <c r="J286" s="1">
        <v>500</v>
      </c>
      <c r="K286" s="1">
        <v>490</v>
      </c>
      <c r="L286" s="3">
        <v>0.02</v>
      </c>
      <c r="N286" t="s">
        <v>3030</v>
      </c>
      <c r="P286">
        <v>11</v>
      </c>
      <c r="Q286">
        <v>18</v>
      </c>
      <c r="R286">
        <v>2015</v>
      </c>
      <c r="S286" s="4">
        <f t="shared" si="18"/>
        <v>42326</v>
      </c>
      <c r="T286" s="4">
        <f t="shared" si="16"/>
        <v>42326</v>
      </c>
      <c r="U286" s="4">
        <v>42326</v>
      </c>
    </row>
    <row r="287" spans="1:21" x14ac:dyDescent="0.3">
      <c r="A287" t="s">
        <v>605</v>
      </c>
      <c r="B287" s="1" t="s">
        <v>227</v>
      </c>
      <c r="C287" s="1" t="s">
        <v>228</v>
      </c>
      <c r="D287" s="1" t="s">
        <v>24</v>
      </c>
      <c r="E287" s="2">
        <v>43223</v>
      </c>
      <c r="F287" s="2" t="b">
        <f t="shared" si="19"/>
        <v>1</v>
      </c>
      <c r="G287" s="2">
        <f t="shared" si="17"/>
        <v>43223</v>
      </c>
      <c r="H287" s="1" t="s">
        <v>115</v>
      </c>
      <c r="I287" s="1" t="s">
        <v>229</v>
      </c>
      <c r="J287" s="1">
        <v>250</v>
      </c>
      <c r="K287" s="1">
        <v>248</v>
      </c>
      <c r="L287" s="3">
        <v>8.0000000000000002E-3</v>
      </c>
      <c r="N287" t="s">
        <v>3763</v>
      </c>
      <c r="S287" s="4" t="e">
        <f t="shared" si="18"/>
        <v>#NUM!</v>
      </c>
      <c r="T287" s="4" t="str">
        <f t="shared" si="16"/>
        <v/>
      </c>
      <c r="U287" s="4" t="s">
        <v>3763</v>
      </c>
    </row>
    <row r="288" spans="1:21" x14ac:dyDescent="0.3">
      <c r="A288" t="s">
        <v>606</v>
      </c>
      <c r="B288" s="1" t="s">
        <v>174</v>
      </c>
      <c r="C288" s="1" t="s">
        <v>175</v>
      </c>
      <c r="D288" s="1" t="s">
        <v>13</v>
      </c>
      <c r="E288" s="2" t="s">
        <v>3130</v>
      </c>
      <c r="F288" s="2" t="b">
        <f t="shared" si="19"/>
        <v>0</v>
      </c>
      <c r="G288" s="2">
        <f t="shared" si="17"/>
        <v>42365</v>
      </c>
      <c r="H288" s="1" t="s">
        <v>61</v>
      </c>
      <c r="I288" s="1" t="s">
        <v>607</v>
      </c>
      <c r="J288" s="1">
        <v>1000</v>
      </c>
      <c r="K288" s="1">
        <v>900</v>
      </c>
      <c r="L288" s="3">
        <v>0.1</v>
      </c>
      <c r="N288" t="s">
        <v>3130</v>
      </c>
      <c r="P288">
        <v>12</v>
      </c>
      <c r="Q288">
        <v>27</v>
      </c>
      <c r="R288">
        <v>2015</v>
      </c>
      <c r="S288" s="4">
        <f t="shared" si="18"/>
        <v>42365</v>
      </c>
      <c r="T288" s="4">
        <f t="shared" si="16"/>
        <v>42365</v>
      </c>
      <c r="U288" s="4">
        <v>42365</v>
      </c>
    </row>
    <row r="289" spans="1:21" x14ac:dyDescent="0.3">
      <c r="A289" t="s">
        <v>608</v>
      </c>
      <c r="B289" s="1" t="s">
        <v>59</v>
      </c>
      <c r="C289" s="1" t="s">
        <v>60</v>
      </c>
      <c r="D289" s="1" t="s">
        <v>13</v>
      </c>
      <c r="E289" s="2">
        <v>43374</v>
      </c>
      <c r="F289" s="2" t="b">
        <f t="shared" si="19"/>
        <v>1</v>
      </c>
      <c r="G289" s="2">
        <f t="shared" si="17"/>
        <v>43374</v>
      </c>
      <c r="H289" s="1" t="s">
        <v>122</v>
      </c>
      <c r="I289" s="1" t="s">
        <v>62</v>
      </c>
      <c r="J289" s="1">
        <v>50</v>
      </c>
      <c r="K289" s="1">
        <v>45</v>
      </c>
      <c r="L289" s="3">
        <v>0.1</v>
      </c>
      <c r="N289" t="s">
        <v>3763</v>
      </c>
      <c r="S289" s="4" t="e">
        <f t="shared" si="18"/>
        <v>#NUM!</v>
      </c>
      <c r="T289" s="4" t="str">
        <f t="shared" si="16"/>
        <v/>
      </c>
      <c r="U289" s="4" t="s">
        <v>3763</v>
      </c>
    </row>
    <row r="290" spans="1:21" x14ac:dyDescent="0.3">
      <c r="A290" t="s">
        <v>609</v>
      </c>
      <c r="B290" s="1" t="s">
        <v>111</v>
      </c>
      <c r="C290" s="1" t="s">
        <v>82</v>
      </c>
      <c r="D290" s="1" t="s">
        <v>13</v>
      </c>
      <c r="E290" s="2">
        <v>42888</v>
      </c>
      <c r="F290" s="2" t="b">
        <f t="shared" si="19"/>
        <v>1</v>
      </c>
      <c r="G290" s="2">
        <f t="shared" si="17"/>
        <v>42888</v>
      </c>
      <c r="H290" s="1" t="s">
        <v>30</v>
      </c>
      <c r="I290" s="1" t="s">
        <v>610</v>
      </c>
      <c r="J290" s="1">
        <v>150</v>
      </c>
      <c r="K290" s="1">
        <v>144</v>
      </c>
      <c r="L290" s="3">
        <v>0.04</v>
      </c>
      <c r="N290" t="s">
        <v>3763</v>
      </c>
      <c r="S290" s="4" t="e">
        <f t="shared" si="18"/>
        <v>#NUM!</v>
      </c>
      <c r="T290" s="4" t="str">
        <f t="shared" si="16"/>
        <v/>
      </c>
      <c r="U290" s="4" t="s">
        <v>3763</v>
      </c>
    </row>
    <row r="291" spans="1:21" x14ac:dyDescent="0.3">
      <c r="A291" t="s">
        <v>611</v>
      </c>
      <c r="B291" s="1" t="s">
        <v>134</v>
      </c>
      <c r="C291" s="1" t="s">
        <v>92</v>
      </c>
      <c r="D291" s="1" t="s">
        <v>35</v>
      </c>
      <c r="E291" s="2">
        <v>43405</v>
      </c>
      <c r="F291" s="2" t="b">
        <f t="shared" si="19"/>
        <v>1</v>
      </c>
      <c r="G291" s="2">
        <f t="shared" si="17"/>
        <v>43405</v>
      </c>
      <c r="H291" s="1" t="s">
        <v>72</v>
      </c>
      <c r="I291" s="1" t="s">
        <v>135</v>
      </c>
      <c r="J291" s="1">
        <v>500</v>
      </c>
      <c r="K291" s="1">
        <v>495</v>
      </c>
      <c r="L291" s="3">
        <v>0.01</v>
      </c>
      <c r="N291" t="s">
        <v>3763</v>
      </c>
      <c r="S291" s="4" t="e">
        <f t="shared" si="18"/>
        <v>#NUM!</v>
      </c>
      <c r="T291" s="4" t="str">
        <f t="shared" si="16"/>
        <v/>
      </c>
      <c r="U291" s="4" t="s">
        <v>3763</v>
      </c>
    </row>
    <row r="292" spans="1:21" x14ac:dyDescent="0.3">
      <c r="A292" t="s">
        <v>612</v>
      </c>
      <c r="B292" s="1" t="s">
        <v>95</v>
      </c>
      <c r="C292" s="1" t="s">
        <v>96</v>
      </c>
      <c r="D292" s="1" t="s">
        <v>13</v>
      </c>
      <c r="E292" s="2" t="s">
        <v>3131</v>
      </c>
      <c r="F292" s="2" t="b">
        <f t="shared" si="19"/>
        <v>0</v>
      </c>
      <c r="G292" s="2">
        <f t="shared" si="17"/>
        <v>41902</v>
      </c>
      <c r="H292" s="1" t="s">
        <v>46</v>
      </c>
      <c r="I292" s="1" t="s">
        <v>216</v>
      </c>
      <c r="J292" s="1">
        <v>500</v>
      </c>
      <c r="K292" s="1">
        <v>425</v>
      </c>
      <c r="L292" s="3">
        <v>0.15</v>
      </c>
      <c r="N292" t="s">
        <v>3131</v>
      </c>
      <c r="P292">
        <v>9</v>
      </c>
      <c r="Q292">
        <v>20</v>
      </c>
      <c r="R292">
        <v>2014</v>
      </c>
      <c r="S292" s="4">
        <f t="shared" si="18"/>
        <v>41902</v>
      </c>
      <c r="T292" s="4">
        <f t="shared" si="16"/>
        <v>41902</v>
      </c>
      <c r="U292" s="4">
        <v>41902</v>
      </c>
    </row>
    <row r="293" spans="1:21" x14ac:dyDescent="0.3">
      <c r="A293" t="s">
        <v>613</v>
      </c>
      <c r="B293" s="1" t="s">
        <v>59</v>
      </c>
      <c r="C293" s="1" t="s">
        <v>60</v>
      </c>
      <c r="D293" s="1" t="s">
        <v>13</v>
      </c>
      <c r="E293" s="2" t="s">
        <v>3132</v>
      </c>
      <c r="F293" s="2" t="b">
        <f t="shared" si="19"/>
        <v>0</v>
      </c>
      <c r="G293" s="2">
        <f t="shared" si="17"/>
        <v>43279</v>
      </c>
      <c r="H293" s="1" t="s">
        <v>104</v>
      </c>
      <c r="I293" s="1" t="s">
        <v>614</v>
      </c>
      <c r="J293" s="1">
        <v>70</v>
      </c>
      <c r="K293" s="1">
        <v>60</v>
      </c>
      <c r="L293" s="3">
        <v>0.1429</v>
      </c>
      <c r="N293" t="s">
        <v>3132</v>
      </c>
      <c r="P293">
        <v>6</v>
      </c>
      <c r="Q293">
        <v>28</v>
      </c>
      <c r="R293">
        <v>2018</v>
      </c>
      <c r="S293" s="4">
        <f t="shared" si="18"/>
        <v>43279</v>
      </c>
      <c r="T293" s="4">
        <f t="shared" si="16"/>
        <v>43279</v>
      </c>
      <c r="U293" s="4">
        <v>43279</v>
      </c>
    </row>
    <row r="294" spans="1:21" x14ac:dyDescent="0.3">
      <c r="A294" t="s">
        <v>615</v>
      </c>
      <c r="B294" s="1" t="s">
        <v>17</v>
      </c>
      <c r="C294" s="1" t="s">
        <v>18</v>
      </c>
      <c r="D294" s="1" t="s">
        <v>19</v>
      </c>
      <c r="E294" s="2" t="s">
        <v>3133</v>
      </c>
      <c r="F294" s="2" t="b">
        <f t="shared" si="19"/>
        <v>0</v>
      </c>
      <c r="G294" s="2">
        <f t="shared" si="17"/>
        <v>41970</v>
      </c>
      <c r="H294" s="1" t="s">
        <v>55</v>
      </c>
      <c r="I294" s="1" t="s">
        <v>616</v>
      </c>
      <c r="J294" s="1">
        <v>800</v>
      </c>
      <c r="K294" s="1">
        <v>624</v>
      </c>
      <c r="L294" s="3">
        <v>0.22</v>
      </c>
      <c r="N294" t="s">
        <v>3133</v>
      </c>
      <c r="P294">
        <v>11</v>
      </c>
      <c r="Q294">
        <v>27</v>
      </c>
      <c r="R294">
        <v>2014</v>
      </c>
      <c r="S294" s="4">
        <f t="shared" si="18"/>
        <v>41970</v>
      </c>
      <c r="T294" s="4">
        <f t="shared" si="16"/>
        <v>41970</v>
      </c>
      <c r="U294" s="4">
        <v>41970</v>
      </c>
    </row>
    <row r="295" spans="1:21" x14ac:dyDescent="0.3">
      <c r="A295" t="s">
        <v>617</v>
      </c>
      <c r="B295" s="1" t="s">
        <v>400</v>
      </c>
      <c r="C295" s="1" t="s">
        <v>401</v>
      </c>
      <c r="D295" s="1" t="s">
        <v>13</v>
      </c>
      <c r="E295" s="2">
        <v>43108</v>
      </c>
      <c r="F295" s="2" t="b">
        <f t="shared" si="19"/>
        <v>1</v>
      </c>
      <c r="G295" s="2">
        <f t="shared" si="17"/>
        <v>43108</v>
      </c>
      <c r="H295" s="1" t="s">
        <v>36</v>
      </c>
      <c r="I295" s="1" t="s">
        <v>618</v>
      </c>
      <c r="J295" s="1">
        <v>50</v>
      </c>
      <c r="K295" s="1">
        <v>47</v>
      </c>
      <c r="L295" s="3">
        <v>0.06</v>
      </c>
      <c r="N295" t="s">
        <v>3763</v>
      </c>
      <c r="S295" s="4" t="e">
        <f t="shared" si="18"/>
        <v>#NUM!</v>
      </c>
      <c r="T295" s="4" t="str">
        <f t="shared" si="16"/>
        <v/>
      </c>
      <c r="U295" s="4" t="s">
        <v>3763</v>
      </c>
    </row>
    <row r="296" spans="1:21" x14ac:dyDescent="0.3">
      <c r="A296" t="s">
        <v>619</v>
      </c>
      <c r="B296" s="1" t="s">
        <v>103</v>
      </c>
      <c r="C296" s="1" t="s">
        <v>71</v>
      </c>
      <c r="D296" s="1" t="s">
        <v>35</v>
      </c>
      <c r="E296" s="2">
        <v>42897</v>
      </c>
      <c r="F296" s="2" t="b">
        <f t="shared" si="19"/>
        <v>1</v>
      </c>
      <c r="G296" s="2">
        <f t="shared" si="17"/>
        <v>42897</v>
      </c>
      <c r="H296" s="1" t="s">
        <v>41</v>
      </c>
      <c r="I296" s="1" t="s">
        <v>191</v>
      </c>
      <c r="J296" s="1">
        <v>30</v>
      </c>
      <c r="K296" s="1">
        <v>29</v>
      </c>
      <c r="L296" s="3">
        <v>3.3300000000000003E-2</v>
      </c>
      <c r="N296" t="s">
        <v>3763</v>
      </c>
      <c r="S296" s="4" t="e">
        <f t="shared" si="18"/>
        <v>#NUM!</v>
      </c>
      <c r="T296" s="4" t="str">
        <f t="shared" si="16"/>
        <v/>
      </c>
      <c r="U296" s="4" t="s">
        <v>3763</v>
      </c>
    </row>
    <row r="297" spans="1:21" x14ac:dyDescent="0.3">
      <c r="A297" t="s">
        <v>620</v>
      </c>
      <c r="B297" s="1" t="s">
        <v>227</v>
      </c>
      <c r="C297" s="1" t="s">
        <v>228</v>
      </c>
      <c r="D297" s="1" t="s">
        <v>24</v>
      </c>
      <c r="E297" s="2">
        <v>42686</v>
      </c>
      <c r="F297" s="2" t="b">
        <f t="shared" si="19"/>
        <v>1</v>
      </c>
      <c r="G297" s="2">
        <f t="shared" si="17"/>
        <v>42686</v>
      </c>
      <c r="H297" s="1" t="s">
        <v>122</v>
      </c>
      <c r="I297" s="1" t="s">
        <v>621</v>
      </c>
      <c r="J297" s="1">
        <v>50</v>
      </c>
      <c r="K297" s="1">
        <v>50</v>
      </c>
      <c r="L297" s="3">
        <v>0</v>
      </c>
      <c r="N297" t="s">
        <v>3763</v>
      </c>
      <c r="S297" s="4" t="e">
        <f t="shared" si="18"/>
        <v>#NUM!</v>
      </c>
      <c r="T297" s="4" t="str">
        <f t="shared" si="16"/>
        <v/>
      </c>
      <c r="U297" s="4" t="s">
        <v>3763</v>
      </c>
    </row>
    <row r="298" spans="1:21" x14ac:dyDescent="0.3">
      <c r="A298" t="s">
        <v>622</v>
      </c>
      <c r="B298" s="1" t="s">
        <v>187</v>
      </c>
      <c r="C298" s="1" t="s">
        <v>188</v>
      </c>
      <c r="D298" s="1" t="s">
        <v>13</v>
      </c>
      <c r="E298" s="2" t="s">
        <v>3134</v>
      </c>
      <c r="F298" s="2" t="b">
        <f t="shared" si="19"/>
        <v>0</v>
      </c>
      <c r="G298" s="2">
        <f t="shared" si="17"/>
        <v>42994</v>
      </c>
      <c r="H298" s="1" t="s">
        <v>14</v>
      </c>
      <c r="I298" s="1" t="s">
        <v>415</v>
      </c>
      <c r="J298" s="1">
        <v>80</v>
      </c>
      <c r="K298" s="1">
        <v>72</v>
      </c>
      <c r="L298" s="3">
        <v>0.1</v>
      </c>
      <c r="N298" t="s">
        <v>3134</v>
      </c>
      <c r="P298">
        <v>9</v>
      </c>
      <c r="Q298">
        <v>16</v>
      </c>
      <c r="R298">
        <v>2017</v>
      </c>
      <c r="S298" s="4">
        <f t="shared" si="18"/>
        <v>42994</v>
      </c>
      <c r="T298" s="4">
        <f t="shared" si="16"/>
        <v>42994</v>
      </c>
      <c r="U298" s="4">
        <v>42994</v>
      </c>
    </row>
    <row r="299" spans="1:21" x14ac:dyDescent="0.3">
      <c r="A299" t="s">
        <v>623</v>
      </c>
      <c r="B299" s="1" t="s">
        <v>22</v>
      </c>
      <c r="C299" s="1" t="s">
        <v>23</v>
      </c>
      <c r="D299" s="1" t="s">
        <v>24</v>
      </c>
      <c r="E299" s="2">
        <v>42006</v>
      </c>
      <c r="F299" s="2" t="b">
        <f t="shared" si="19"/>
        <v>1</v>
      </c>
      <c r="G299" s="2">
        <f t="shared" si="17"/>
        <v>42006</v>
      </c>
      <c r="H299" s="1" t="s">
        <v>61</v>
      </c>
      <c r="I299" s="1" t="s">
        <v>624</v>
      </c>
      <c r="J299" s="1">
        <v>1000</v>
      </c>
      <c r="K299" s="1">
        <v>580</v>
      </c>
      <c r="L299" s="3">
        <v>0.42</v>
      </c>
      <c r="N299" t="s">
        <v>3763</v>
      </c>
      <c r="S299" s="4" t="e">
        <f t="shared" si="18"/>
        <v>#NUM!</v>
      </c>
      <c r="T299" s="4" t="str">
        <f t="shared" si="16"/>
        <v/>
      </c>
      <c r="U299" s="4" t="s">
        <v>3763</v>
      </c>
    </row>
    <row r="300" spans="1:21" x14ac:dyDescent="0.3">
      <c r="A300" t="s">
        <v>625</v>
      </c>
      <c r="B300" s="1" t="s">
        <v>241</v>
      </c>
      <c r="C300" s="1" t="s">
        <v>242</v>
      </c>
      <c r="D300" s="1" t="s">
        <v>13</v>
      </c>
      <c r="E300" s="2">
        <v>42709</v>
      </c>
      <c r="F300" s="2" t="b">
        <f t="shared" si="19"/>
        <v>1</v>
      </c>
      <c r="G300" s="2">
        <f t="shared" si="17"/>
        <v>42709</v>
      </c>
      <c r="H300" s="1" t="s">
        <v>55</v>
      </c>
      <c r="I300" s="1" t="s">
        <v>626</v>
      </c>
      <c r="J300" s="1">
        <v>800</v>
      </c>
      <c r="K300" s="1">
        <v>552</v>
      </c>
      <c r="L300" s="3">
        <v>0.31</v>
      </c>
      <c r="N300" t="s">
        <v>3763</v>
      </c>
      <c r="S300" s="4" t="e">
        <f t="shared" si="18"/>
        <v>#NUM!</v>
      </c>
      <c r="T300" s="4" t="str">
        <f t="shared" si="16"/>
        <v/>
      </c>
      <c r="U300" s="4" t="s">
        <v>3763</v>
      </c>
    </row>
    <row r="301" spans="1:21" x14ac:dyDescent="0.3">
      <c r="A301" t="s">
        <v>627</v>
      </c>
      <c r="B301" s="1" t="s">
        <v>85</v>
      </c>
      <c r="C301" s="1" t="s">
        <v>86</v>
      </c>
      <c r="D301" s="1" t="s">
        <v>13</v>
      </c>
      <c r="E301" s="2">
        <v>42343</v>
      </c>
      <c r="F301" s="2" t="b">
        <f t="shared" si="19"/>
        <v>1</v>
      </c>
      <c r="G301" s="2">
        <f t="shared" si="17"/>
        <v>42343</v>
      </c>
      <c r="H301" s="1" t="s">
        <v>104</v>
      </c>
      <c r="I301" s="1" t="s">
        <v>628</v>
      </c>
      <c r="J301" s="1">
        <v>70</v>
      </c>
      <c r="K301" s="1">
        <v>67</v>
      </c>
      <c r="L301" s="3">
        <v>4.2900000000000001E-2</v>
      </c>
      <c r="N301" t="s">
        <v>3763</v>
      </c>
      <c r="S301" s="4" t="e">
        <f t="shared" si="18"/>
        <v>#NUM!</v>
      </c>
      <c r="T301" s="4" t="str">
        <f t="shared" si="16"/>
        <v/>
      </c>
      <c r="U301" s="4" t="s">
        <v>3763</v>
      </c>
    </row>
    <row r="302" spans="1:21" x14ac:dyDescent="0.3">
      <c r="A302" t="s">
        <v>629</v>
      </c>
      <c r="B302" s="1" t="s">
        <v>49</v>
      </c>
      <c r="C302" s="1" t="s">
        <v>50</v>
      </c>
      <c r="D302" s="1" t="s">
        <v>24</v>
      </c>
      <c r="E302" s="2" t="s">
        <v>3135</v>
      </c>
      <c r="F302" s="2" t="b">
        <f t="shared" si="19"/>
        <v>0</v>
      </c>
      <c r="G302" s="2">
        <f t="shared" si="17"/>
        <v>43275</v>
      </c>
      <c r="H302" s="1" t="s">
        <v>55</v>
      </c>
      <c r="I302" s="1" t="s">
        <v>51</v>
      </c>
      <c r="J302" s="1">
        <v>800</v>
      </c>
      <c r="K302" s="1">
        <v>704</v>
      </c>
      <c r="L302" s="3">
        <v>0.12</v>
      </c>
      <c r="N302" t="s">
        <v>3135</v>
      </c>
      <c r="P302">
        <v>6</v>
      </c>
      <c r="Q302">
        <v>24</v>
      </c>
      <c r="R302">
        <v>2018</v>
      </c>
      <c r="S302" s="4">
        <f t="shared" si="18"/>
        <v>43275</v>
      </c>
      <c r="T302" s="4">
        <f t="shared" si="16"/>
        <v>43275</v>
      </c>
      <c r="U302" s="4">
        <v>43275</v>
      </c>
    </row>
    <row r="303" spans="1:21" x14ac:dyDescent="0.3">
      <c r="A303" t="s">
        <v>630</v>
      </c>
      <c r="B303" s="1" t="s">
        <v>224</v>
      </c>
      <c r="C303" s="1" t="s">
        <v>50</v>
      </c>
      <c r="D303" s="1" t="s">
        <v>24</v>
      </c>
      <c r="E303" s="2" t="s">
        <v>3136</v>
      </c>
      <c r="F303" s="2" t="b">
        <f t="shared" si="19"/>
        <v>0</v>
      </c>
      <c r="G303" s="2">
        <f t="shared" si="17"/>
        <v>42144</v>
      </c>
      <c r="H303" s="1" t="s">
        <v>61</v>
      </c>
      <c r="I303" s="1" t="s">
        <v>631</v>
      </c>
      <c r="J303" s="1">
        <v>1000</v>
      </c>
      <c r="K303" s="1">
        <v>590</v>
      </c>
      <c r="L303" s="3">
        <v>0.41</v>
      </c>
      <c r="N303" t="s">
        <v>3136</v>
      </c>
      <c r="P303">
        <v>5</v>
      </c>
      <c r="Q303">
        <v>20</v>
      </c>
      <c r="R303">
        <v>2015</v>
      </c>
      <c r="S303" s="4">
        <f t="shared" si="18"/>
        <v>42144</v>
      </c>
      <c r="T303" s="4">
        <f t="shared" si="16"/>
        <v>42144</v>
      </c>
      <c r="U303" s="4">
        <v>42144</v>
      </c>
    </row>
    <row r="304" spans="1:21" x14ac:dyDescent="0.3">
      <c r="A304" t="s">
        <v>632</v>
      </c>
      <c r="B304" s="1" t="s">
        <v>157</v>
      </c>
      <c r="C304" s="1" t="s">
        <v>108</v>
      </c>
      <c r="D304" s="1" t="s">
        <v>19</v>
      </c>
      <c r="E304" s="2" t="s">
        <v>3137</v>
      </c>
      <c r="F304" s="2" t="b">
        <f t="shared" si="19"/>
        <v>0</v>
      </c>
      <c r="G304" s="2">
        <f t="shared" si="17"/>
        <v>41775</v>
      </c>
      <c r="H304" s="1" t="s">
        <v>41</v>
      </c>
      <c r="I304" s="1" t="s">
        <v>633</v>
      </c>
      <c r="J304" s="1">
        <v>30</v>
      </c>
      <c r="K304" s="1">
        <v>28</v>
      </c>
      <c r="L304" s="3">
        <v>6.6699999999999995E-2</v>
      </c>
      <c r="N304" t="s">
        <v>3137</v>
      </c>
      <c r="P304">
        <v>5</v>
      </c>
      <c r="Q304">
        <v>16</v>
      </c>
      <c r="R304">
        <v>2014</v>
      </c>
      <c r="S304" s="4">
        <f t="shared" si="18"/>
        <v>41775</v>
      </c>
      <c r="T304" s="4">
        <f t="shared" si="16"/>
        <v>41775</v>
      </c>
      <c r="U304" s="4">
        <v>41775</v>
      </c>
    </row>
    <row r="305" spans="1:21" x14ac:dyDescent="0.3">
      <c r="A305" t="s">
        <v>634</v>
      </c>
      <c r="B305" s="1" t="s">
        <v>205</v>
      </c>
      <c r="C305" s="1" t="s">
        <v>206</v>
      </c>
      <c r="D305" s="1" t="s">
        <v>24</v>
      </c>
      <c r="E305" s="2" t="s">
        <v>3112</v>
      </c>
      <c r="F305" s="2" t="b">
        <f t="shared" si="19"/>
        <v>0</v>
      </c>
      <c r="G305" s="2">
        <f t="shared" si="17"/>
        <v>43099</v>
      </c>
      <c r="H305" s="1" t="s">
        <v>55</v>
      </c>
      <c r="I305" s="1" t="s">
        <v>635</v>
      </c>
      <c r="J305" s="1">
        <v>800</v>
      </c>
      <c r="K305" s="1">
        <v>488</v>
      </c>
      <c r="L305" s="3">
        <v>0.39</v>
      </c>
      <c r="N305" t="s">
        <v>3112</v>
      </c>
      <c r="P305">
        <v>12</v>
      </c>
      <c r="Q305">
        <v>30</v>
      </c>
      <c r="R305">
        <v>2017</v>
      </c>
      <c r="S305" s="4">
        <f t="shared" si="18"/>
        <v>43099</v>
      </c>
      <c r="T305" s="4">
        <f t="shared" si="16"/>
        <v>43099</v>
      </c>
      <c r="U305" s="4">
        <v>43099</v>
      </c>
    </row>
    <row r="306" spans="1:21" x14ac:dyDescent="0.3">
      <c r="A306" t="s">
        <v>636</v>
      </c>
      <c r="B306" s="1" t="s">
        <v>17</v>
      </c>
      <c r="C306" s="1" t="s">
        <v>18</v>
      </c>
      <c r="D306" s="1" t="s">
        <v>19</v>
      </c>
      <c r="E306" s="2" t="s">
        <v>3138</v>
      </c>
      <c r="F306" s="2" t="b">
        <f t="shared" si="19"/>
        <v>0</v>
      </c>
      <c r="G306" s="2">
        <f t="shared" si="17"/>
        <v>42109</v>
      </c>
      <c r="H306" s="1" t="s">
        <v>30</v>
      </c>
      <c r="I306" s="1" t="s">
        <v>616</v>
      </c>
      <c r="J306" s="1">
        <v>150</v>
      </c>
      <c r="K306" s="1">
        <v>134</v>
      </c>
      <c r="L306" s="3">
        <v>0.1067</v>
      </c>
      <c r="N306" t="s">
        <v>3138</v>
      </c>
      <c r="P306">
        <v>4</v>
      </c>
      <c r="Q306">
        <v>15</v>
      </c>
      <c r="R306">
        <v>2015</v>
      </c>
      <c r="S306" s="4">
        <f t="shared" si="18"/>
        <v>42109</v>
      </c>
      <c r="T306" s="4">
        <f t="shared" si="16"/>
        <v>42109</v>
      </c>
      <c r="U306" s="4">
        <v>42109</v>
      </c>
    </row>
    <row r="307" spans="1:21" x14ac:dyDescent="0.3">
      <c r="A307" t="s">
        <v>637</v>
      </c>
      <c r="B307" s="1" t="s">
        <v>77</v>
      </c>
      <c r="C307" s="1" t="s">
        <v>78</v>
      </c>
      <c r="D307" s="1" t="s">
        <v>35</v>
      </c>
      <c r="E307" s="2" t="s">
        <v>3139</v>
      </c>
      <c r="F307" s="2" t="b">
        <f t="shared" si="19"/>
        <v>0</v>
      </c>
      <c r="G307" s="2">
        <f t="shared" si="17"/>
        <v>42883</v>
      </c>
      <c r="H307" s="1" t="s">
        <v>122</v>
      </c>
      <c r="I307" s="1" t="s">
        <v>394</v>
      </c>
      <c r="J307" s="1">
        <v>50</v>
      </c>
      <c r="K307" s="1">
        <v>50</v>
      </c>
      <c r="L307" s="3">
        <v>0</v>
      </c>
      <c r="N307" t="s">
        <v>3139</v>
      </c>
      <c r="P307">
        <v>5</v>
      </c>
      <c r="Q307">
        <v>28</v>
      </c>
      <c r="R307">
        <v>2017</v>
      </c>
      <c r="S307" s="4">
        <f t="shared" si="18"/>
        <v>42883</v>
      </c>
      <c r="T307" s="4">
        <f t="shared" si="16"/>
        <v>42883</v>
      </c>
      <c r="U307" s="4">
        <v>42883</v>
      </c>
    </row>
    <row r="308" spans="1:21" x14ac:dyDescent="0.3">
      <c r="A308" t="s">
        <v>638</v>
      </c>
      <c r="B308" s="1" t="s">
        <v>157</v>
      </c>
      <c r="C308" s="1" t="s">
        <v>108</v>
      </c>
      <c r="D308" s="1" t="s">
        <v>19</v>
      </c>
      <c r="E308" s="2" t="s">
        <v>3140</v>
      </c>
      <c r="F308" s="2" t="b">
        <f t="shared" si="19"/>
        <v>0</v>
      </c>
      <c r="G308" s="2">
        <f t="shared" si="17"/>
        <v>42825</v>
      </c>
      <c r="H308" s="1" t="s">
        <v>61</v>
      </c>
      <c r="I308" s="1" t="s">
        <v>633</v>
      </c>
      <c r="J308" s="1">
        <v>1000</v>
      </c>
      <c r="K308" s="1">
        <v>670</v>
      </c>
      <c r="L308" s="3">
        <v>0.33</v>
      </c>
      <c r="N308" t="s">
        <v>3140</v>
      </c>
      <c r="P308">
        <v>3</v>
      </c>
      <c r="Q308">
        <v>31</v>
      </c>
      <c r="R308">
        <v>2017</v>
      </c>
      <c r="S308" s="4">
        <f t="shared" si="18"/>
        <v>42825</v>
      </c>
      <c r="T308" s="4">
        <f t="shared" si="16"/>
        <v>42825</v>
      </c>
      <c r="U308" s="4">
        <v>42825</v>
      </c>
    </row>
    <row r="309" spans="1:21" x14ac:dyDescent="0.3">
      <c r="A309" t="s">
        <v>639</v>
      </c>
      <c r="B309" s="1" t="s">
        <v>103</v>
      </c>
      <c r="C309" s="1" t="s">
        <v>71</v>
      </c>
      <c r="D309" s="1" t="s">
        <v>35</v>
      </c>
      <c r="E309" s="2" t="s">
        <v>3001</v>
      </c>
      <c r="F309" s="2" t="b">
        <f t="shared" si="19"/>
        <v>0</v>
      </c>
      <c r="G309" s="2">
        <f t="shared" si="17"/>
        <v>41714</v>
      </c>
      <c r="H309" s="1" t="s">
        <v>30</v>
      </c>
      <c r="I309" s="1" t="s">
        <v>497</v>
      </c>
      <c r="J309" s="1">
        <v>150</v>
      </c>
      <c r="K309" s="1">
        <v>149</v>
      </c>
      <c r="L309" s="3">
        <v>6.7000000000000002E-3</v>
      </c>
      <c r="N309" t="s">
        <v>3001</v>
      </c>
      <c r="P309">
        <v>3</v>
      </c>
      <c r="Q309">
        <v>16</v>
      </c>
      <c r="R309">
        <v>2014</v>
      </c>
      <c r="S309" s="4">
        <f t="shared" si="18"/>
        <v>41714</v>
      </c>
      <c r="T309" s="4">
        <f t="shared" si="16"/>
        <v>41714</v>
      </c>
      <c r="U309" s="4">
        <v>41714</v>
      </c>
    </row>
    <row r="310" spans="1:21" x14ac:dyDescent="0.3">
      <c r="A310" t="s">
        <v>640</v>
      </c>
      <c r="B310" s="1" t="s">
        <v>81</v>
      </c>
      <c r="C310" s="1" t="s">
        <v>82</v>
      </c>
      <c r="D310" s="1" t="s">
        <v>13</v>
      </c>
      <c r="E310" s="2" t="s">
        <v>3141</v>
      </c>
      <c r="F310" s="2" t="b">
        <f t="shared" si="19"/>
        <v>0</v>
      </c>
      <c r="G310" s="2">
        <f t="shared" si="17"/>
        <v>43360</v>
      </c>
      <c r="H310" s="1" t="s">
        <v>72</v>
      </c>
      <c r="I310" s="1" t="s">
        <v>83</v>
      </c>
      <c r="J310" s="1">
        <v>500</v>
      </c>
      <c r="K310" s="1">
        <v>500</v>
      </c>
      <c r="L310" s="3">
        <v>0</v>
      </c>
      <c r="N310" t="s">
        <v>3141</v>
      </c>
      <c r="P310">
        <v>9</v>
      </c>
      <c r="Q310">
        <v>17</v>
      </c>
      <c r="R310">
        <v>2018</v>
      </c>
      <c r="S310" s="4">
        <f t="shared" si="18"/>
        <v>43360</v>
      </c>
      <c r="T310" s="4">
        <f t="shared" si="16"/>
        <v>43360</v>
      </c>
      <c r="U310" s="4">
        <v>43360</v>
      </c>
    </row>
    <row r="311" spans="1:21" x14ac:dyDescent="0.3">
      <c r="A311" t="s">
        <v>641</v>
      </c>
      <c r="B311" s="1" t="s">
        <v>81</v>
      </c>
      <c r="C311" s="1" t="s">
        <v>82</v>
      </c>
      <c r="D311" s="1" t="s">
        <v>13</v>
      </c>
      <c r="E311" s="2" t="s">
        <v>3142</v>
      </c>
      <c r="F311" s="2" t="b">
        <f t="shared" si="19"/>
        <v>0</v>
      </c>
      <c r="G311" s="2">
        <f t="shared" si="17"/>
        <v>42938</v>
      </c>
      <c r="H311" s="1" t="s">
        <v>30</v>
      </c>
      <c r="I311" s="1" t="s">
        <v>83</v>
      </c>
      <c r="J311" s="1">
        <v>150</v>
      </c>
      <c r="K311" s="1">
        <v>146</v>
      </c>
      <c r="L311" s="3">
        <v>2.6700000000000002E-2</v>
      </c>
      <c r="N311" t="s">
        <v>3142</v>
      </c>
      <c r="P311">
        <v>7</v>
      </c>
      <c r="Q311">
        <v>22</v>
      </c>
      <c r="R311">
        <v>2017</v>
      </c>
      <c r="S311" s="4">
        <f t="shared" si="18"/>
        <v>42938</v>
      </c>
      <c r="T311" s="4">
        <f t="shared" si="16"/>
        <v>42938</v>
      </c>
      <c r="U311" s="4">
        <v>42938</v>
      </c>
    </row>
    <row r="312" spans="1:21" x14ac:dyDescent="0.3">
      <c r="A312" t="s">
        <v>642</v>
      </c>
      <c r="B312" s="1" t="s">
        <v>53</v>
      </c>
      <c r="C312" s="1" t="s">
        <v>54</v>
      </c>
      <c r="D312" s="1" t="s">
        <v>13</v>
      </c>
      <c r="E312" s="2">
        <v>43263</v>
      </c>
      <c r="F312" s="2" t="b">
        <f t="shared" si="19"/>
        <v>1</v>
      </c>
      <c r="G312" s="2">
        <f t="shared" si="17"/>
        <v>43263</v>
      </c>
      <c r="H312" s="1" t="s">
        <v>61</v>
      </c>
      <c r="I312" s="1" t="s">
        <v>643</v>
      </c>
      <c r="J312" s="1">
        <v>1000</v>
      </c>
      <c r="K312" s="1">
        <v>810</v>
      </c>
      <c r="L312" s="3">
        <v>0.19</v>
      </c>
      <c r="N312" t="s">
        <v>3763</v>
      </c>
      <c r="S312" s="4" t="e">
        <f t="shared" si="18"/>
        <v>#NUM!</v>
      </c>
      <c r="T312" s="4" t="str">
        <f t="shared" si="16"/>
        <v/>
      </c>
      <c r="U312" s="4" t="s">
        <v>3763</v>
      </c>
    </row>
    <row r="313" spans="1:21" x14ac:dyDescent="0.3">
      <c r="A313" t="s">
        <v>644</v>
      </c>
      <c r="B313" s="1" t="s">
        <v>95</v>
      </c>
      <c r="C313" s="1" t="s">
        <v>96</v>
      </c>
      <c r="D313" s="1" t="s">
        <v>13</v>
      </c>
      <c r="E313" s="2" t="s">
        <v>3143</v>
      </c>
      <c r="F313" s="2" t="b">
        <f t="shared" si="19"/>
        <v>0</v>
      </c>
      <c r="G313" s="2">
        <f t="shared" si="17"/>
        <v>42179</v>
      </c>
      <c r="H313" s="1" t="s">
        <v>30</v>
      </c>
      <c r="I313" s="1" t="s">
        <v>645</v>
      </c>
      <c r="J313" s="1">
        <v>150</v>
      </c>
      <c r="K313" s="1">
        <v>147</v>
      </c>
      <c r="L313" s="3">
        <v>0.02</v>
      </c>
      <c r="N313" t="s">
        <v>3143</v>
      </c>
      <c r="P313">
        <v>6</v>
      </c>
      <c r="Q313">
        <v>24</v>
      </c>
      <c r="R313">
        <v>2015</v>
      </c>
      <c r="S313" s="4">
        <f t="shared" si="18"/>
        <v>42179</v>
      </c>
      <c r="T313" s="4">
        <f t="shared" si="16"/>
        <v>42179</v>
      </c>
      <c r="U313" s="4">
        <v>42179</v>
      </c>
    </row>
    <row r="314" spans="1:21" x14ac:dyDescent="0.3">
      <c r="A314" t="s">
        <v>646</v>
      </c>
      <c r="B314" s="1" t="s">
        <v>53</v>
      </c>
      <c r="C314" s="1" t="s">
        <v>54</v>
      </c>
      <c r="D314" s="1" t="s">
        <v>13</v>
      </c>
      <c r="E314" s="2" t="s">
        <v>2977</v>
      </c>
      <c r="F314" s="2" t="b">
        <f t="shared" si="19"/>
        <v>0</v>
      </c>
      <c r="G314" s="2">
        <f t="shared" si="17"/>
        <v>43447</v>
      </c>
      <c r="H314" s="1" t="s">
        <v>61</v>
      </c>
      <c r="I314" s="1" t="s">
        <v>647</v>
      </c>
      <c r="J314" s="1">
        <v>1000</v>
      </c>
      <c r="K314" s="1">
        <v>730</v>
      </c>
      <c r="L314" s="3">
        <v>0.27</v>
      </c>
      <c r="N314" t="s">
        <v>2977</v>
      </c>
      <c r="P314">
        <v>12</v>
      </c>
      <c r="Q314">
        <v>13</v>
      </c>
      <c r="R314">
        <v>2018</v>
      </c>
      <c r="S314" s="4">
        <f t="shared" si="18"/>
        <v>43447</v>
      </c>
      <c r="T314" s="4">
        <f t="shared" si="16"/>
        <v>43447</v>
      </c>
      <c r="U314" s="4">
        <v>43447</v>
      </c>
    </row>
    <row r="315" spans="1:21" x14ac:dyDescent="0.3">
      <c r="A315" t="s">
        <v>648</v>
      </c>
      <c r="B315" s="1" t="s">
        <v>64</v>
      </c>
      <c r="C315" s="1" t="s">
        <v>65</v>
      </c>
      <c r="D315" s="1" t="s">
        <v>35</v>
      </c>
      <c r="E315" s="2">
        <v>42497</v>
      </c>
      <c r="F315" s="2" t="b">
        <f t="shared" si="19"/>
        <v>1</v>
      </c>
      <c r="G315" s="2">
        <f t="shared" si="17"/>
        <v>42497</v>
      </c>
      <c r="H315" s="1" t="s">
        <v>115</v>
      </c>
      <c r="I315" s="1" t="s">
        <v>280</v>
      </c>
      <c r="J315" s="1">
        <v>250</v>
      </c>
      <c r="K315" s="1">
        <v>248</v>
      </c>
      <c r="L315" s="3">
        <v>8.0000000000000002E-3</v>
      </c>
      <c r="N315" t="s">
        <v>3763</v>
      </c>
      <c r="S315" s="4" t="e">
        <f t="shared" si="18"/>
        <v>#NUM!</v>
      </c>
      <c r="T315" s="4" t="str">
        <f t="shared" si="16"/>
        <v/>
      </c>
      <c r="U315" s="4" t="s">
        <v>3763</v>
      </c>
    </row>
    <row r="316" spans="1:21" x14ac:dyDescent="0.3">
      <c r="A316" t="s">
        <v>649</v>
      </c>
      <c r="B316" s="1" t="s">
        <v>187</v>
      </c>
      <c r="C316" s="1" t="s">
        <v>188</v>
      </c>
      <c r="D316" s="1" t="s">
        <v>13</v>
      </c>
      <c r="E316" s="2">
        <v>43416</v>
      </c>
      <c r="F316" s="2" t="b">
        <f t="shared" si="19"/>
        <v>1</v>
      </c>
      <c r="G316" s="2">
        <f t="shared" si="17"/>
        <v>43416</v>
      </c>
      <c r="H316" s="1" t="s">
        <v>25</v>
      </c>
      <c r="I316" s="1" t="s">
        <v>415</v>
      </c>
      <c r="J316" s="1">
        <v>700</v>
      </c>
      <c r="K316" s="1">
        <v>609</v>
      </c>
      <c r="L316" s="3">
        <v>0.13</v>
      </c>
      <c r="N316" t="s">
        <v>3763</v>
      </c>
      <c r="S316" s="4" t="e">
        <f t="shared" si="18"/>
        <v>#NUM!</v>
      </c>
      <c r="T316" s="4" t="str">
        <f t="shared" si="16"/>
        <v/>
      </c>
      <c r="U316" s="4" t="s">
        <v>3763</v>
      </c>
    </row>
    <row r="317" spans="1:21" x14ac:dyDescent="0.3">
      <c r="A317" t="s">
        <v>650</v>
      </c>
      <c r="B317" s="1" t="s">
        <v>28</v>
      </c>
      <c r="C317" s="1" t="s">
        <v>29</v>
      </c>
      <c r="D317" s="1" t="s">
        <v>13</v>
      </c>
      <c r="E317" s="2" t="s">
        <v>3144</v>
      </c>
      <c r="F317" s="2" t="b">
        <f t="shared" si="19"/>
        <v>0</v>
      </c>
      <c r="G317" s="2">
        <f t="shared" si="17"/>
        <v>42699</v>
      </c>
      <c r="H317" s="1" t="s">
        <v>30</v>
      </c>
      <c r="I317" s="1" t="s">
        <v>445</v>
      </c>
      <c r="J317" s="1">
        <v>150</v>
      </c>
      <c r="K317" s="1">
        <v>140</v>
      </c>
      <c r="L317" s="3">
        <v>6.6699999999999995E-2</v>
      </c>
      <c r="N317" t="s">
        <v>3144</v>
      </c>
      <c r="P317">
        <v>11</v>
      </c>
      <c r="Q317">
        <v>25</v>
      </c>
      <c r="R317">
        <v>2016</v>
      </c>
      <c r="S317" s="4">
        <f t="shared" si="18"/>
        <v>42699</v>
      </c>
      <c r="T317" s="4">
        <f t="shared" si="16"/>
        <v>42699</v>
      </c>
      <c r="U317" s="4">
        <v>42699</v>
      </c>
    </row>
    <row r="318" spans="1:21" x14ac:dyDescent="0.3">
      <c r="A318" t="s">
        <v>651</v>
      </c>
      <c r="B318" s="1" t="s">
        <v>103</v>
      </c>
      <c r="C318" s="1" t="s">
        <v>71</v>
      </c>
      <c r="D318" s="1" t="s">
        <v>35</v>
      </c>
      <c r="E318" s="2" t="s">
        <v>3145</v>
      </c>
      <c r="F318" s="2" t="b">
        <f t="shared" si="19"/>
        <v>0</v>
      </c>
      <c r="G318" s="2">
        <f t="shared" si="17"/>
        <v>41690</v>
      </c>
      <c r="H318" s="1" t="s">
        <v>72</v>
      </c>
      <c r="I318" s="1" t="s">
        <v>191</v>
      </c>
      <c r="J318" s="1">
        <v>500</v>
      </c>
      <c r="K318" s="1">
        <v>500</v>
      </c>
      <c r="L318" s="3">
        <v>0</v>
      </c>
      <c r="N318" t="s">
        <v>3145</v>
      </c>
      <c r="P318">
        <v>2</v>
      </c>
      <c r="Q318">
        <v>20</v>
      </c>
      <c r="R318">
        <v>2014</v>
      </c>
      <c r="S318" s="4">
        <f t="shared" si="18"/>
        <v>41690</v>
      </c>
      <c r="T318" s="4">
        <f t="shared" si="16"/>
        <v>41690</v>
      </c>
      <c r="U318" s="4">
        <v>41690</v>
      </c>
    </row>
    <row r="319" spans="1:21" x14ac:dyDescent="0.3">
      <c r="A319" t="s">
        <v>652</v>
      </c>
      <c r="B319" s="1" t="s">
        <v>264</v>
      </c>
      <c r="C319" s="1" t="s">
        <v>265</v>
      </c>
      <c r="D319" s="1" t="s">
        <v>13</v>
      </c>
      <c r="E319" s="2">
        <v>43168</v>
      </c>
      <c r="F319" s="2" t="b">
        <f t="shared" si="19"/>
        <v>1</v>
      </c>
      <c r="G319" s="2">
        <f t="shared" si="17"/>
        <v>43168</v>
      </c>
      <c r="H319" s="1" t="s">
        <v>61</v>
      </c>
      <c r="I319" s="1" t="s">
        <v>266</v>
      </c>
      <c r="J319" s="1">
        <v>1000</v>
      </c>
      <c r="K319" s="1">
        <v>960</v>
      </c>
      <c r="L319" s="3">
        <v>0.04</v>
      </c>
      <c r="N319" t="s">
        <v>3763</v>
      </c>
      <c r="S319" s="4" t="e">
        <f t="shared" si="18"/>
        <v>#NUM!</v>
      </c>
      <c r="T319" s="4" t="str">
        <f t="shared" si="16"/>
        <v/>
      </c>
      <c r="U319" s="4" t="s">
        <v>3763</v>
      </c>
    </row>
    <row r="320" spans="1:21" x14ac:dyDescent="0.3">
      <c r="A320" t="s">
        <v>653</v>
      </c>
      <c r="B320" s="1" t="s">
        <v>224</v>
      </c>
      <c r="C320" s="1" t="s">
        <v>50</v>
      </c>
      <c r="D320" s="1" t="s">
        <v>24</v>
      </c>
      <c r="E320" s="2">
        <v>41919</v>
      </c>
      <c r="F320" s="2" t="b">
        <f t="shared" si="19"/>
        <v>1</v>
      </c>
      <c r="G320" s="2">
        <f t="shared" si="17"/>
        <v>41919</v>
      </c>
      <c r="H320" s="1" t="s">
        <v>14</v>
      </c>
      <c r="I320" s="1" t="s">
        <v>509</v>
      </c>
      <c r="J320" s="1">
        <v>80</v>
      </c>
      <c r="K320" s="1">
        <v>73</v>
      </c>
      <c r="L320" s="3">
        <v>8.7499999999999994E-2</v>
      </c>
      <c r="N320" t="s">
        <v>3763</v>
      </c>
      <c r="S320" s="4" t="e">
        <f t="shared" si="18"/>
        <v>#NUM!</v>
      </c>
      <c r="T320" s="4" t="str">
        <f t="shared" si="16"/>
        <v/>
      </c>
      <c r="U320" s="4" t="s">
        <v>3763</v>
      </c>
    </row>
    <row r="321" spans="1:21" x14ac:dyDescent="0.3">
      <c r="A321" t="s">
        <v>654</v>
      </c>
      <c r="B321" s="1" t="s">
        <v>64</v>
      </c>
      <c r="C321" s="1" t="s">
        <v>65</v>
      </c>
      <c r="D321" s="1" t="s">
        <v>35</v>
      </c>
      <c r="E321" s="2">
        <v>42652</v>
      </c>
      <c r="F321" s="2" t="b">
        <f t="shared" si="19"/>
        <v>1</v>
      </c>
      <c r="G321" s="2">
        <f t="shared" si="17"/>
        <v>42652</v>
      </c>
      <c r="H321" s="1" t="s">
        <v>25</v>
      </c>
      <c r="I321" s="1" t="s">
        <v>529</v>
      </c>
      <c r="J321" s="1">
        <v>700</v>
      </c>
      <c r="K321" s="1">
        <v>700</v>
      </c>
      <c r="L321" s="3">
        <v>0</v>
      </c>
      <c r="N321" t="s">
        <v>3763</v>
      </c>
      <c r="S321" s="4" t="e">
        <f t="shared" si="18"/>
        <v>#NUM!</v>
      </c>
      <c r="T321" s="4" t="str">
        <f t="shared" si="16"/>
        <v/>
      </c>
      <c r="U321" s="4" t="s">
        <v>3763</v>
      </c>
    </row>
    <row r="322" spans="1:21" x14ac:dyDescent="0.3">
      <c r="A322" t="s">
        <v>655</v>
      </c>
      <c r="B322" s="1" t="s">
        <v>127</v>
      </c>
      <c r="C322" s="1" t="s">
        <v>128</v>
      </c>
      <c r="D322" s="1" t="s">
        <v>13</v>
      </c>
      <c r="E322" s="2" t="s">
        <v>3146</v>
      </c>
      <c r="F322" s="2" t="b">
        <f t="shared" si="19"/>
        <v>0</v>
      </c>
      <c r="G322" s="2">
        <f t="shared" si="17"/>
        <v>42793</v>
      </c>
      <c r="H322" s="1" t="s">
        <v>25</v>
      </c>
      <c r="I322" s="1" t="s">
        <v>233</v>
      </c>
      <c r="J322" s="1">
        <v>700</v>
      </c>
      <c r="K322" s="1">
        <v>672</v>
      </c>
      <c r="L322" s="3">
        <v>0.04</v>
      </c>
      <c r="N322" t="s">
        <v>3146</v>
      </c>
      <c r="P322">
        <v>2</v>
      </c>
      <c r="Q322">
        <v>27</v>
      </c>
      <c r="R322">
        <v>2017</v>
      </c>
      <c r="S322" s="4">
        <f t="shared" si="18"/>
        <v>42793</v>
      </c>
      <c r="T322" s="4">
        <f t="shared" si="16"/>
        <v>42793</v>
      </c>
      <c r="U322" s="4">
        <v>42793</v>
      </c>
    </row>
    <row r="323" spans="1:21" x14ac:dyDescent="0.3">
      <c r="A323" t="s">
        <v>656</v>
      </c>
      <c r="B323" s="1" t="s">
        <v>270</v>
      </c>
      <c r="C323" s="1" t="s">
        <v>271</v>
      </c>
      <c r="D323" s="1" t="s">
        <v>35</v>
      </c>
      <c r="E323" s="2" t="s">
        <v>3147</v>
      </c>
      <c r="F323" s="2" t="b">
        <f t="shared" si="19"/>
        <v>0</v>
      </c>
      <c r="G323" s="2">
        <f t="shared" si="17"/>
        <v>42877</v>
      </c>
      <c r="H323" s="1" t="s">
        <v>25</v>
      </c>
      <c r="I323" s="1" t="s">
        <v>272</v>
      </c>
      <c r="J323" s="1">
        <v>700</v>
      </c>
      <c r="K323" s="1">
        <v>651</v>
      </c>
      <c r="L323" s="3">
        <v>7.0000000000000007E-2</v>
      </c>
      <c r="N323" t="s">
        <v>3147</v>
      </c>
      <c r="P323">
        <v>5</v>
      </c>
      <c r="Q323">
        <v>22</v>
      </c>
      <c r="R323">
        <v>2017</v>
      </c>
      <c r="S323" s="4">
        <f t="shared" si="18"/>
        <v>42877</v>
      </c>
      <c r="T323" s="4">
        <f t="shared" ref="T323:T386" si="20">IF(AND(P323&lt;&gt;"",Q323&lt;&gt;"",R323&lt;&gt;""),IFERROR(DATE(R323,P323,Q323),""),"")</f>
        <v>42877</v>
      </c>
      <c r="U323" s="4">
        <v>42877</v>
      </c>
    </row>
    <row r="324" spans="1:21" x14ac:dyDescent="0.3">
      <c r="A324" t="s">
        <v>657</v>
      </c>
      <c r="B324" s="1" t="s">
        <v>49</v>
      </c>
      <c r="C324" s="1" t="s">
        <v>50</v>
      </c>
      <c r="D324" s="1" t="s">
        <v>24</v>
      </c>
      <c r="E324" s="2" t="s">
        <v>3148</v>
      </c>
      <c r="F324" s="2" t="b">
        <f t="shared" si="19"/>
        <v>0</v>
      </c>
      <c r="G324" s="2">
        <f t="shared" ref="G324:G387" si="21">IF(F324=TRUE,E324,U324)</f>
        <v>41896</v>
      </c>
      <c r="H324" s="1" t="s">
        <v>30</v>
      </c>
      <c r="I324" s="1" t="s">
        <v>658</v>
      </c>
      <c r="J324" s="1">
        <v>150</v>
      </c>
      <c r="K324" s="1">
        <v>137</v>
      </c>
      <c r="L324" s="3">
        <v>8.6699999999999999E-2</v>
      </c>
      <c r="N324" t="s">
        <v>3148</v>
      </c>
      <c r="P324">
        <v>9</v>
      </c>
      <c r="Q324">
        <v>14</v>
      </c>
      <c r="R324">
        <v>2014</v>
      </c>
      <c r="S324" s="4">
        <f t="shared" ref="S324:S387" si="22">DATE(R324,P324,Q324)</f>
        <v>41896</v>
      </c>
      <c r="T324" s="4">
        <f t="shared" si="20"/>
        <v>41896</v>
      </c>
      <c r="U324" s="4">
        <v>41896</v>
      </c>
    </row>
    <row r="325" spans="1:21" x14ac:dyDescent="0.3">
      <c r="A325" t="s">
        <v>659</v>
      </c>
      <c r="B325" s="1" t="s">
        <v>205</v>
      </c>
      <c r="C325" s="1" t="s">
        <v>206</v>
      </c>
      <c r="D325" s="1" t="s">
        <v>24</v>
      </c>
      <c r="E325" s="2" t="s">
        <v>3149</v>
      </c>
      <c r="F325" s="2" t="b">
        <f t="shared" ref="F325:F388" si="23">ISNUMBER(E325)</f>
        <v>0</v>
      </c>
      <c r="G325" s="2">
        <f t="shared" si="21"/>
        <v>43264</v>
      </c>
      <c r="H325" s="1" t="s">
        <v>25</v>
      </c>
      <c r="I325" s="1" t="s">
        <v>660</v>
      </c>
      <c r="J325" s="1">
        <v>700</v>
      </c>
      <c r="K325" s="1">
        <v>651</v>
      </c>
      <c r="L325" s="3">
        <v>7.0000000000000007E-2</v>
      </c>
      <c r="N325" t="s">
        <v>3149</v>
      </c>
      <c r="P325">
        <v>6</v>
      </c>
      <c r="Q325">
        <v>13</v>
      </c>
      <c r="R325">
        <v>2018</v>
      </c>
      <c r="S325" s="4">
        <f t="shared" si="22"/>
        <v>43264</v>
      </c>
      <c r="T325" s="4">
        <f t="shared" si="20"/>
        <v>43264</v>
      </c>
      <c r="U325" s="4">
        <v>43264</v>
      </c>
    </row>
    <row r="326" spans="1:21" x14ac:dyDescent="0.3">
      <c r="A326" t="s">
        <v>661</v>
      </c>
      <c r="B326" s="1" t="s">
        <v>39</v>
      </c>
      <c r="C326" s="1" t="s">
        <v>40</v>
      </c>
      <c r="D326" s="1" t="s">
        <v>35</v>
      </c>
      <c r="E326" s="2">
        <v>43194</v>
      </c>
      <c r="F326" s="2" t="b">
        <f t="shared" si="23"/>
        <v>1</v>
      </c>
      <c r="G326" s="2">
        <f t="shared" si="21"/>
        <v>43194</v>
      </c>
      <c r="H326" s="1" t="s">
        <v>115</v>
      </c>
      <c r="I326" s="1" t="s">
        <v>42</v>
      </c>
      <c r="J326" s="1">
        <v>250</v>
      </c>
      <c r="K326" s="1">
        <v>238</v>
      </c>
      <c r="L326" s="3">
        <v>4.8000000000000001E-2</v>
      </c>
      <c r="N326" t="s">
        <v>3763</v>
      </c>
      <c r="S326" s="4" t="e">
        <f t="shared" si="22"/>
        <v>#NUM!</v>
      </c>
      <c r="T326" s="4" t="str">
        <f t="shared" si="20"/>
        <v/>
      </c>
      <c r="U326" s="4" t="s">
        <v>3763</v>
      </c>
    </row>
    <row r="327" spans="1:21" x14ac:dyDescent="0.3">
      <c r="A327" t="s">
        <v>662</v>
      </c>
      <c r="B327" s="1" t="s">
        <v>22</v>
      </c>
      <c r="C327" s="1" t="s">
        <v>23</v>
      </c>
      <c r="D327" s="1" t="s">
        <v>24</v>
      </c>
      <c r="E327" s="2" t="s">
        <v>3150</v>
      </c>
      <c r="F327" s="2" t="b">
        <f t="shared" si="23"/>
        <v>0</v>
      </c>
      <c r="G327" s="2">
        <f t="shared" si="21"/>
        <v>41897</v>
      </c>
      <c r="H327" s="1" t="s">
        <v>55</v>
      </c>
      <c r="I327" s="1" t="s">
        <v>26</v>
      </c>
      <c r="J327" s="1">
        <v>800</v>
      </c>
      <c r="K327" s="1">
        <v>696</v>
      </c>
      <c r="L327" s="3">
        <v>0.13</v>
      </c>
      <c r="N327" t="s">
        <v>3150</v>
      </c>
      <c r="P327">
        <v>9</v>
      </c>
      <c r="Q327">
        <v>15</v>
      </c>
      <c r="R327">
        <v>2014</v>
      </c>
      <c r="S327" s="4">
        <f t="shared" si="22"/>
        <v>41897</v>
      </c>
      <c r="T327" s="4">
        <f t="shared" si="20"/>
        <v>41897</v>
      </c>
      <c r="U327" s="4">
        <v>41897</v>
      </c>
    </row>
    <row r="328" spans="1:21" x14ac:dyDescent="0.3">
      <c r="A328" t="s">
        <v>663</v>
      </c>
      <c r="B328" s="1" t="s">
        <v>49</v>
      </c>
      <c r="C328" s="1" t="s">
        <v>50</v>
      </c>
      <c r="D328" s="1" t="s">
        <v>24</v>
      </c>
      <c r="E328" s="2">
        <v>41979</v>
      </c>
      <c r="F328" s="2" t="b">
        <f t="shared" si="23"/>
        <v>1</v>
      </c>
      <c r="G328" s="2">
        <f t="shared" si="21"/>
        <v>41979</v>
      </c>
      <c r="H328" s="1" t="s">
        <v>41</v>
      </c>
      <c r="I328" s="1" t="s">
        <v>398</v>
      </c>
      <c r="J328" s="1">
        <v>30</v>
      </c>
      <c r="K328" s="1">
        <v>21</v>
      </c>
      <c r="L328" s="3">
        <v>0.3</v>
      </c>
      <c r="N328" t="s">
        <v>3763</v>
      </c>
      <c r="S328" s="4" t="e">
        <f t="shared" si="22"/>
        <v>#NUM!</v>
      </c>
      <c r="T328" s="4" t="str">
        <f t="shared" si="20"/>
        <v/>
      </c>
      <c r="U328" s="4" t="s">
        <v>3763</v>
      </c>
    </row>
    <row r="329" spans="1:21" x14ac:dyDescent="0.3">
      <c r="A329" t="s">
        <v>664</v>
      </c>
      <c r="B329" s="1" t="s">
        <v>127</v>
      </c>
      <c r="C329" s="1" t="s">
        <v>128</v>
      </c>
      <c r="D329" s="1" t="s">
        <v>13</v>
      </c>
      <c r="E329" s="2" t="s">
        <v>3151</v>
      </c>
      <c r="F329" s="2" t="b">
        <f t="shared" si="23"/>
        <v>0</v>
      </c>
      <c r="G329" s="2">
        <f t="shared" si="21"/>
        <v>43065</v>
      </c>
      <c r="H329" s="1" t="s">
        <v>14</v>
      </c>
      <c r="I329" s="1" t="s">
        <v>233</v>
      </c>
      <c r="J329" s="1">
        <v>80</v>
      </c>
      <c r="K329" s="1">
        <v>74</v>
      </c>
      <c r="L329" s="3">
        <v>7.4999999999999997E-2</v>
      </c>
      <c r="N329" t="s">
        <v>3151</v>
      </c>
      <c r="P329">
        <v>11</v>
      </c>
      <c r="Q329">
        <v>26</v>
      </c>
      <c r="R329">
        <v>2017</v>
      </c>
      <c r="S329" s="4">
        <f t="shared" si="22"/>
        <v>43065</v>
      </c>
      <c r="T329" s="4">
        <f t="shared" si="20"/>
        <v>43065</v>
      </c>
      <c r="U329" s="4">
        <v>43065</v>
      </c>
    </row>
    <row r="330" spans="1:21" x14ac:dyDescent="0.3">
      <c r="A330" t="s">
        <v>665</v>
      </c>
      <c r="B330" s="1" t="s">
        <v>22</v>
      </c>
      <c r="C330" s="1" t="s">
        <v>23</v>
      </c>
      <c r="D330" s="1" t="s">
        <v>24</v>
      </c>
      <c r="E330" s="2">
        <v>42859</v>
      </c>
      <c r="F330" s="2" t="b">
        <f t="shared" si="23"/>
        <v>1</v>
      </c>
      <c r="G330" s="2">
        <f t="shared" si="21"/>
        <v>42859</v>
      </c>
      <c r="H330" s="1" t="s">
        <v>115</v>
      </c>
      <c r="I330" s="1" t="s">
        <v>144</v>
      </c>
      <c r="J330" s="1">
        <v>250</v>
      </c>
      <c r="K330" s="1">
        <v>228</v>
      </c>
      <c r="L330" s="3">
        <v>8.7999999999999995E-2</v>
      </c>
      <c r="N330" t="s">
        <v>3763</v>
      </c>
      <c r="S330" s="4" t="e">
        <f t="shared" si="22"/>
        <v>#NUM!</v>
      </c>
      <c r="T330" s="4" t="str">
        <f t="shared" si="20"/>
        <v/>
      </c>
      <c r="U330" s="4" t="s">
        <v>3763</v>
      </c>
    </row>
    <row r="331" spans="1:21" x14ac:dyDescent="0.3">
      <c r="A331" t="s">
        <v>666</v>
      </c>
      <c r="B331" s="1" t="s">
        <v>174</v>
      </c>
      <c r="C331" s="1" t="s">
        <v>175</v>
      </c>
      <c r="D331" s="1" t="s">
        <v>13</v>
      </c>
      <c r="E331" s="2" t="s">
        <v>3152</v>
      </c>
      <c r="F331" s="2" t="b">
        <f t="shared" si="23"/>
        <v>0</v>
      </c>
      <c r="G331" s="2">
        <f t="shared" si="21"/>
        <v>42567</v>
      </c>
      <c r="H331" s="1" t="s">
        <v>25</v>
      </c>
      <c r="I331" s="1" t="s">
        <v>607</v>
      </c>
      <c r="J331" s="1">
        <v>700</v>
      </c>
      <c r="K331" s="1">
        <v>644</v>
      </c>
      <c r="L331" s="3">
        <v>0.08</v>
      </c>
      <c r="N331" t="s">
        <v>3152</v>
      </c>
      <c r="P331">
        <v>7</v>
      </c>
      <c r="Q331">
        <v>16</v>
      </c>
      <c r="R331">
        <v>2016</v>
      </c>
      <c r="S331" s="4">
        <f t="shared" si="22"/>
        <v>42567</v>
      </c>
      <c r="T331" s="4">
        <f t="shared" si="20"/>
        <v>42567</v>
      </c>
      <c r="U331" s="4">
        <v>42567</v>
      </c>
    </row>
    <row r="332" spans="1:21" x14ac:dyDescent="0.3">
      <c r="A332" t="s">
        <v>667</v>
      </c>
      <c r="B332" s="1" t="s">
        <v>77</v>
      </c>
      <c r="C332" s="1" t="s">
        <v>78</v>
      </c>
      <c r="D332" s="1" t="s">
        <v>35</v>
      </c>
      <c r="E332" s="2" t="s">
        <v>3153</v>
      </c>
      <c r="F332" s="2" t="b">
        <f t="shared" si="23"/>
        <v>0</v>
      </c>
      <c r="G332" s="2">
        <f t="shared" si="21"/>
        <v>41666</v>
      </c>
      <c r="H332" s="1" t="s">
        <v>41</v>
      </c>
      <c r="I332" s="1" t="s">
        <v>668</v>
      </c>
      <c r="J332" s="1">
        <v>30</v>
      </c>
      <c r="K332" s="1">
        <v>29</v>
      </c>
      <c r="L332" s="3">
        <v>3.3300000000000003E-2</v>
      </c>
      <c r="N332" t="s">
        <v>3153</v>
      </c>
      <c r="P332">
        <v>1</v>
      </c>
      <c r="Q332">
        <v>27</v>
      </c>
      <c r="R332">
        <v>2014</v>
      </c>
      <c r="S332" s="4">
        <f t="shared" si="22"/>
        <v>41666</v>
      </c>
      <c r="T332" s="4">
        <f t="shared" si="20"/>
        <v>41666</v>
      </c>
      <c r="U332" s="4">
        <v>41666</v>
      </c>
    </row>
    <row r="333" spans="1:21" x14ac:dyDescent="0.3">
      <c r="A333" t="s">
        <v>669</v>
      </c>
      <c r="B333" s="1" t="s">
        <v>70</v>
      </c>
      <c r="C333" s="1" t="s">
        <v>71</v>
      </c>
      <c r="D333" s="1" t="s">
        <v>35</v>
      </c>
      <c r="E333" s="2">
        <v>41797</v>
      </c>
      <c r="F333" s="2" t="b">
        <f t="shared" si="23"/>
        <v>1</v>
      </c>
      <c r="G333" s="2">
        <f t="shared" si="21"/>
        <v>41797</v>
      </c>
      <c r="H333" s="1" t="s">
        <v>55</v>
      </c>
      <c r="I333" s="1" t="s">
        <v>670</v>
      </c>
      <c r="J333" s="1">
        <v>800</v>
      </c>
      <c r="K333" s="1">
        <v>656</v>
      </c>
      <c r="L333" s="3">
        <v>0.18</v>
      </c>
      <c r="N333" t="s">
        <v>3763</v>
      </c>
      <c r="S333" s="4" t="e">
        <f t="shared" si="22"/>
        <v>#NUM!</v>
      </c>
      <c r="T333" s="4" t="str">
        <f t="shared" si="20"/>
        <v/>
      </c>
      <c r="U333" s="4" t="s">
        <v>3763</v>
      </c>
    </row>
    <row r="334" spans="1:21" x14ac:dyDescent="0.3">
      <c r="A334" t="s">
        <v>671</v>
      </c>
      <c r="B334" s="1" t="s">
        <v>150</v>
      </c>
      <c r="C334" s="1" t="s">
        <v>151</v>
      </c>
      <c r="D334" s="1" t="s">
        <v>13</v>
      </c>
      <c r="E334" s="2">
        <v>42926</v>
      </c>
      <c r="F334" s="2" t="b">
        <f t="shared" si="23"/>
        <v>1</v>
      </c>
      <c r="G334" s="2">
        <f t="shared" si="21"/>
        <v>42926</v>
      </c>
      <c r="H334" s="1" t="s">
        <v>30</v>
      </c>
      <c r="I334" s="1" t="s">
        <v>185</v>
      </c>
      <c r="J334" s="1">
        <v>150</v>
      </c>
      <c r="K334" s="1">
        <v>149</v>
      </c>
      <c r="L334" s="3">
        <v>6.7000000000000002E-3</v>
      </c>
      <c r="N334" t="s">
        <v>3763</v>
      </c>
      <c r="S334" s="4" t="e">
        <f t="shared" si="22"/>
        <v>#NUM!</v>
      </c>
      <c r="T334" s="4" t="str">
        <f t="shared" si="20"/>
        <v/>
      </c>
      <c r="U334" s="4" t="s">
        <v>3763</v>
      </c>
    </row>
    <row r="335" spans="1:21" x14ac:dyDescent="0.3">
      <c r="A335" t="s">
        <v>672</v>
      </c>
      <c r="B335" s="1" t="s">
        <v>182</v>
      </c>
      <c r="C335" s="1" t="s">
        <v>108</v>
      </c>
      <c r="D335" s="1" t="s">
        <v>19</v>
      </c>
      <c r="E335" s="2">
        <v>43380</v>
      </c>
      <c r="F335" s="2" t="b">
        <f t="shared" si="23"/>
        <v>1</v>
      </c>
      <c r="G335" s="2">
        <f t="shared" si="21"/>
        <v>43380</v>
      </c>
      <c r="H335" s="1" t="s">
        <v>30</v>
      </c>
      <c r="I335" s="1" t="s">
        <v>673</v>
      </c>
      <c r="J335" s="1">
        <v>150</v>
      </c>
      <c r="K335" s="1">
        <v>147</v>
      </c>
      <c r="L335" s="3">
        <v>0.02</v>
      </c>
      <c r="N335" t="s">
        <v>3763</v>
      </c>
      <c r="S335" s="4" t="e">
        <f t="shared" si="22"/>
        <v>#NUM!</v>
      </c>
      <c r="T335" s="4" t="str">
        <f t="shared" si="20"/>
        <v/>
      </c>
      <c r="U335" s="4" t="s">
        <v>3763</v>
      </c>
    </row>
    <row r="336" spans="1:21" x14ac:dyDescent="0.3">
      <c r="A336" t="s">
        <v>674</v>
      </c>
      <c r="B336" s="1" t="s">
        <v>111</v>
      </c>
      <c r="C336" s="1" t="s">
        <v>82</v>
      </c>
      <c r="D336" s="1" t="s">
        <v>13</v>
      </c>
      <c r="E336" s="2">
        <v>42289</v>
      </c>
      <c r="F336" s="2" t="b">
        <f t="shared" si="23"/>
        <v>1</v>
      </c>
      <c r="G336" s="2">
        <f t="shared" si="21"/>
        <v>42289</v>
      </c>
      <c r="H336" s="1" t="s">
        <v>14</v>
      </c>
      <c r="I336" s="1" t="s">
        <v>112</v>
      </c>
      <c r="J336" s="1">
        <v>80</v>
      </c>
      <c r="K336" s="1">
        <v>78</v>
      </c>
      <c r="L336" s="3">
        <v>2.5000000000000001E-2</v>
      </c>
      <c r="N336" t="s">
        <v>3763</v>
      </c>
      <c r="S336" s="4" t="e">
        <f t="shared" si="22"/>
        <v>#NUM!</v>
      </c>
      <c r="T336" s="4" t="str">
        <f t="shared" si="20"/>
        <v/>
      </c>
      <c r="U336" s="4" t="s">
        <v>3763</v>
      </c>
    </row>
    <row r="337" spans="1:21" x14ac:dyDescent="0.3">
      <c r="A337" t="s">
        <v>675</v>
      </c>
      <c r="B337" s="1" t="s">
        <v>324</v>
      </c>
      <c r="C337" s="1" t="s">
        <v>325</v>
      </c>
      <c r="D337" s="1" t="s">
        <v>13</v>
      </c>
      <c r="E337" s="2" t="s">
        <v>3154</v>
      </c>
      <c r="F337" s="2" t="b">
        <f t="shared" si="23"/>
        <v>0</v>
      </c>
      <c r="G337" s="2">
        <f t="shared" si="21"/>
        <v>42245</v>
      </c>
      <c r="H337" s="1" t="s">
        <v>30</v>
      </c>
      <c r="I337" s="1" t="s">
        <v>365</v>
      </c>
      <c r="J337" s="1">
        <v>150</v>
      </c>
      <c r="K337" s="1">
        <v>147</v>
      </c>
      <c r="L337" s="3">
        <v>0.02</v>
      </c>
      <c r="N337" t="s">
        <v>3154</v>
      </c>
      <c r="P337">
        <v>8</v>
      </c>
      <c r="Q337">
        <v>29</v>
      </c>
      <c r="R337">
        <v>2015</v>
      </c>
      <c r="S337" s="4">
        <f t="shared" si="22"/>
        <v>42245</v>
      </c>
      <c r="T337" s="4">
        <f t="shared" si="20"/>
        <v>42245</v>
      </c>
      <c r="U337" s="4">
        <v>42245</v>
      </c>
    </row>
    <row r="338" spans="1:21" x14ac:dyDescent="0.3">
      <c r="A338" t="s">
        <v>676</v>
      </c>
      <c r="B338" s="1" t="s">
        <v>77</v>
      </c>
      <c r="C338" s="1" t="s">
        <v>78</v>
      </c>
      <c r="D338" s="1" t="s">
        <v>35</v>
      </c>
      <c r="E338" s="2">
        <v>42101</v>
      </c>
      <c r="F338" s="2" t="b">
        <f t="shared" si="23"/>
        <v>1</v>
      </c>
      <c r="G338" s="2">
        <f t="shared" si="21"/>
        <v>42101</v>
      </c>
      <c r="H338" s="1" t="s">
        <v>46</v>
      </c>
      <c r="I338" s="1" t="s">
        <v>548</v>
      </c>
      <c r="J338" s="1">
        <v>500</v>
      </c>
      <c r="K338" s="1">
        <v>360</v>
      </c>
      <c r="L338" s="3">
        <v>0.28000000000000003</v>
      </c>
      <c r="N338" t="s">
        <v>3763</v>
      </c>
      <c r="S338" s="4" t="e">
        <f t="shared" si="22"/>
        <v>#NUM!</v>
      </c>
      <c r="T338" s="4" t="str">
        <f t="shared" si="20"/>
        <v/>
      </c>
      <c r="U338" s="4" t="s">
        <v>3763</v>
      </c>
    </row>
    <row r="339" spans="1:21" x14ac:dyDescent="0.3">
      <c r="A339" t="s">
        <v>677</v>
      </c>
      <c r="B339" s="1" t="s">
        <v>134</v>
      </c>
      <c r="C339" s="1" t="s">
        <v>92</v>
      </c>
      <c r="D339" s="1" t="s">
        <v>35</v>
      </c>
      <c r="E339" s="2" t="s">
        <v>3087</v>
      </c>
      <c r="F339" s="2" t="b">
        <f t="shared" si="23"/>
        <v>0</v>
      </c>
      <c r="G339" s="2">
        <f t="shared" si="21"/>
        <v>43338</v>
      </c>
      <c r="H339" s="1" t="s">
        <v>122</v>
      </c>
      <c r="I339" s="1" t="s">
        <v>678</v>
      </c>
      <c r="J339" s="1">
        <v>50</v>
      </c>
      <c r="K339" s="1">
        <v>45</v>
      </c>
      <c r="L339" s="3">
        <v>0.1</v>
      </c>
      <c r="N339" t="s">
        <v>3087</v>
      </c>
      <c r="P339">
        <v>8</v>
      </c>
      <c r="Q339">
        <v>26</v>
      </c>
      <c r="R339">
        <v>2018</v>
      </c>
      <c r="S339" s="4">
        <f t="shared" si="22"/>
        <v>43338</v>
      </c>
      <c r="T339" s="4">
        <f t="shared" si="20"/>
        <v>43338</v>
      </c>
      <c r="U339" s="4">
        <v>43338</v>
      </c>
    </row>
    <row r="340" spans="1:21" x14ac:dyDescent="0.3">
      <c r="A340" t="s">
        <v>679</v>
      </c>
      <c r="B340" s="1" t="s">
        <v>70</v>
      </c>
      <c r="C340" s="1" t="s">
        <v>71</v>
      </c>
      <c r="D340" s="1" t="s">
        <v>35</v>
      </c>
      <c r="E340" s="2" t="s">
        <v>3155</v>
      </c>
      <c r="F340" s="2" t="b">
        <f t="shared" si="23"/>
        <v>0</v>
      </c>
      <c r="G340" s="2">
        <f t="shared" si="21"/>
        <v>43180</v>
      </c>
      <c r="H340" s="1" t="s">
        <v>122</v>
      </c>
      <c r="I340" s="1" t="s">
        <v>328</v>
      </c>
      <c r="J340" s="1">
        <v>50</v>
      </c>
      <c r="K340" s="1">
        <v>43</v>
      </c>
      <c r="L340" s="3">
        <v>0.14000000000000001</v>
      </c>
      <c r="N340" t="s">
        <v>3155</v>
      </c>
      <c r="P340">
        <v>3</v>
      </c>
      <c r="Q340">
        <v>21</v>
      </c>
      <c r="R340">
        <v>2018</v>
      </c>
      <c r="S340" s="4">
        <f t="shared" si="22"/>
        <v>43180</v>
      </c>
      <c r="T340" s="4">
        <f t="shared" si="20"/>
        <v>43180</v>
      </c>
      <c r="U340" s="4">
        <v>43180</v>
      </c>
    </row>
    <row r="341" spans="1:21" x14ac:dyDescent="0.3">
      <c r="A341" t="s">
        <v>680</v>
      </c>
      <c r="B341" s="1" t="s">
        <v>205</v>
      </c>
      <c r="C341" s="1" t="s">
        <v>206</v>
      </c>
      <c r="D341" s="1" t="s">
        <v>24</v>
      </c>
      <c r="E341" s="2" t="s">
        <v>3156</v>
      </c>
      <c r="F341" s="2" t="b">
        <f t="shared" si="23"/>
        <v>0</v>
      </c>
      <c r="G341" s="2">
        <f t="shared" si="21"/>
        <v>41964</v>
      </c>
      <c r="H341" s="1" t="s">
        <v>14</v>
      </c>
      <c r="I341" s="1" t="s">
        <v>681</v>
      </c>
      <c r="J341" s="1">
        <v>80</v>
      </c>
      <c r="K341" s="1">
        <v>75</v>
      </c>
      <c r="L341" s="3">
        <v>6.25E-2</v>
      </c>
      <c r="N341" t="s">
        <v>3156</v>
      </c>
      <c r="P341">
        <v>11</v>
      </c>
      <c r="Q341">
        <v>21</v>
      </c>
      <c r="R341">
        <v>2014</v>
      </c>
      <c r="S341" s="4">
        <f t="shared" si="22"/>
        <v>41964</v>
      </c>
      <c r="T341" s="4">
        <f t="shared" si="20"/>
        <v>41964</v>
      </c>
      <c r="U341" s="4">
        <v>41964</v>
      </c>
    </row>
    <row r="342" spans="1:21" x14ac:dyDescent="0.3">
      <c r="A342" t="s">
        <v>682</v>
      </c>
      <c r="B342" s="1" t="s">
        <v>187</v>
      </c>
      <c r="C342" s="1" t="s">
        <v>188</v>
      </c>
      <c r="D342" s="1" t="s">
        <v>13</v>
      </c>
      <c r="E342" s="2">
        <v>42071</v>
      </c>
      <c r="F342" s="2" t="b">
        <f t="shared" si="23"/>
        <v>1</v>
      </c>
      <c r="G342" s="2">
        <f t="shared" si="21"/>
        <v>42071</v>
      </c>
      <c r="H342" s="1" t="s">
        <v>122</v>
      </c>
      <c r="I342" s="1" t="s">
        <v>683</v>
      </c>
      <c r="J342" s="1">
        <v>50</v>
      </c>
      <c r="K342" s="1">
        <v>36</v>
      </c>
      <c r="L342" s="3">
        <v>0.28000000000000003</v>
      </c>
      <c r="N342" t="s">
        <v>3763</v>
      </c>
      <c r="S342" s="4" t="e">
        <f t="shared" si="22"/>
        <v>#NUM!</v>
      </c>
      <c r="T342" s="4" t="str">
        <f t="shared" si="20"/>
        <v/>
      </c>
      <c r="U342" s="4" t="s">
        <v>3763</v>
      </c>
    </row>
    <row r="343" spans="1:21" x14ac:dyDescent="0.3">
      <c r="A343" t="s">
        <v>684</v>
      </c>
      <c r="B343" s="1" t="s">
        <v>227</v>
      </c>
      <c r="C343" s="1" t="s">
        <v>228</v>
      </c>
      <c r="D343" s="1" t="s">
        <v>24</v>
      </c>
      <c r="E343" s="2" t="s">
        <v>3157</v>
      </c>
      <c r="F343" s="2" t="b">
        <f t="shared" si="23"/>
        <v>0</v>
      </c>
      <c r="G343" s="2">
        <f t="shared" si="21"/>
        <v>42487</v>
      </c>
      <c r="H343" s="1" t="s">
        <v>55</v>
      </c>
      <c r="I343" s="1" t="s">
        <v>685</v>
      </c>
      <c r="J343" s="1">
        <v>800</v>
      </c>
      <c r="K343" s="1">
        <v>448</v>
      </c>
      <c r="L343" s="3">
        <v>0.44</v>
      </c>
      <c r="N343" t="s">
        <v>3157</v>
      </c>
      <c r="P343">
        <v>4</v>
      </c>
      <c r="Q343">
        <v>27</v>
      </c>
      <c r="R343">
        <v>2016</v>
      </c>
      <c r="S343" s="4">
        <f t="shared" si="22"/>
        <v>42487</v>
      </c>
      <c r="T343" s="4">
        <f t="shared" si="20"/>
        <v>42487</v>
      </c>
      <c r="U343" s="4">
        <v>42487</v>
      </c>
    </row>
    <row r="344" spans="1:21" x14ac:dyDescent="0.3">
      <c r="A344" t="s">
        <v>686</v>
      </c>
      <c r="B344" s="1" t="s">
        <v>241</v>
      </c>
      <c r="C344" s="1" t="s">
        <v>242</v>
      </c>
      <c r="D344" s="1" t="s">
        <v>13</v>
      </c>
      <c r="E344" s="2">
        <v>42826</v>
      </c>
      <c r="F344" s="2" t="b">
        <f t="shared" si="23"/>
        <v>1</v>
      </c>
      <c r="G344" s="2">
        <f t="shared" si="21"/>
        <v>42826</v>
      </c>
      <c r="H344" s="1" t="s">
        <v>30</v>
      </c>
      <c r="I344" s="1" t="s">
        <v>380</v>
      </c>
      <c r="J344" s="1">
        <v>150</v>
      </c>
      <c r="K344" s="1">
        <v>138</v>
      </c>
      <c r="L344" s="3">
        <v>0.08</v>
      </c>
      <c r="N344" t="s">
        <v>3763</v>
      </c>
      <c r="S344" s="4" t="e">
        <f t="shared" si="22"/>
        <v>#NUM!</v>
      </c>
      <c r="T344" s="4" t="str">
        <f t="shared" si="20"/>
        <v/>
      </c>
      <c r="U344" s="4" t="s">
        <v>3763</v>
      </c>
    </row>
    <row r="345" spans="1:21" x14ac:dyDescent="0.3">
      <c r="A345" t="s">
        <v>687</v>
      </c>
      <c r="B345" s="1" t="s">
        <v>131</v>
      </c>
      <c r="C345" s="1" t="s">
        <v>108</v>
      </c>
      <c r="D345" s="1" t="s">
        <v>19</v>
      </c>
      <c r="E345" s="2" t="s">
        <v>3113</v>
      </c>
      <c r="F345" s="2" t="b">
        <f t="shared" si="23"/>
        <v>0</v>
      </c>
      <c r="G345" s="2">
        <f t="shared" si="21"/>
        <v>42875</v>
      </c>
      <c r="H345" s="1" t="s">
        <v>72</v>
      </c>
      <c r="I345" s="1" t="s">
        <v>688</v>
      </c>
      <c r="J345" s="1">
        <v>500</v>
      </c>
      <c r="K345" s="1">
        <v>500</v>
      </c>
      <c r="L345" s="3">
        <v>0</v>
      </c>
      <c r="N345" t="s">
        <v>3113</v>
      </c>
      <c r="P345">
        <v>5</v>
      </c>
      <c r="Q345">
        <v>20</v>
      </c>
      <c r="R345">
        <v>2017</v>
      </c>
      <c r="S345" s="4">
        <f t="shared" si="22"/>
        <v>42875</v>
      </c>
      <c r="T345" s="4">
        <f t="shared" si="20"/>
        <v>42875</v>
      </c>
      <c r="U345" s="4">
        <v>42875</v>
      </c>
    </row>
    <row r="346" spans="1:21" x14ac:dyDescent="0.3">
      <c r="A346" t="s">
        <v>689</v>
      </c>
      <c r="B346" s="1" t="s">
        <v>28</v>
      </c>
      <c r="C346" s="1" t="s">
        <v>29</v>
      </c>
      <c r="D346" s="1" t="s">
        <v>13</v>
      </c>
      <c r="E346" s="2" t="s">
        <v>3158</v>
      </c>
      <c r="F346" s="2" t="b">
        <f t="shared" si="23"/>
        <v>0</v>
      </c>
      <c r="G346" s="2">
        <f t="shared" si="21"/>
        <v>42026</v>
      </c>
      <c r="H346" s="1" t="s">
        <v>72</v>
      </c>
      <c r="I346" s="1" t="s">
        <v>396</v>
      </c>
      <c r="J346" s="1">
        <v>500</v>
      </c>
      <c r="K346" s="1">
        <v>495</v>
      </c>
      <c r="L346" s="3">
        <v>0.01</v>
      </c>
      <c r="N346" t="s">
        <v>3158</v>
      </c>
      <c r="P346">
        <v>1</v>
      </c>
      <c r="Q346">
        <v>22</v>
      </c>
      <c r="R346">
        <v>2015</v>
      </c>
      <c r="S346" s="4">
        <f t="shared" si="22"/>
        <v>42026</v>
      </c>
      <c r="T346" s="4">
        <f t="shared" si="20"/>
        <v>42026</v>
      </c>
      <c r="U346" s="4">
        <v>42026</v>
      </c>
    </row>
    <row r="347" spans="1:21" x14ac:dyDescent="0.3">
      <c r="A347" t="s">
        <v>690</v>
      </c>
      <c r="B347" s="1" t="s">
        <v>174</v>
      </c>
      <c r="C347" s="1" t="s">
        <v>175</v>
      </c>
      <c r="D347" s="1" t="s">
        <v>13</v>
      </c>
      <c r="E347" s="2">
        <v>41700</v>
      </c>
      <c r="F347" s="2" t="b">
        <f t="shared" si="23"/>
        <v>1</v>
      </c>
      <c r="G347" s="2">
        <f t="shared" si="21"/>
        <v>41700</v>
      </c>
      <c r="H347" s="1" t="s">
        <v>30</v>
      </c>
      <c r="I347" s="1" t="s">
        <v>607</v>
      </c>
      <c r="J347" s="1">
        <v>150</v>
      </c>
      <c r="K347" s="1">
        <v>128</v>
      </c>
      <c r="L347" s="3">
        <v>0.1467</v>
      </c>
      <c r="N347" t="s">
        <v>3763</v>
      </c>
      <c r="S347" s="4" t="e">
        <f t="shared" si="22"/>
        <v>#NUM!</v>
      </c>
      <c r="T347" s="4" t="str">
        <f t="shared" si="20"/>
        <v/>
      </c>
      <c r="U347" s="4" t="s">
        <v>3763</v>
      </c>
    </row>
    <row r="348" spans="1:21" x14ac:dyDescent="0.3">
      <c r="A348" t="s">
        <v>691</v>
      </c>
      <c r="B348" s="1" t="s">
        <v>70</v>
      </c>
      <c r="C348" s="1" t="s">
        <v>71</v>
      </c>
      <c r="D348" s="1" t="s">
        <v>35</v>
      </c>
      <c r="E348" s="2" t="s">
        <v>3159</v>
      </c>
      <c r="F348" s="2" t="b">
        <f t="shared" si="23"/>
        <v>0</v>
      </c>
      <c r="G348" s="2">
        <f t="shared" si="21"/>
        <v>41817</v>
      </c>
      <c r="H348" s="1" t="s">
        <v>122</v>
      </c>
      <c r="I348" s="1" t="s">
        <v>417</v>
      </c>
      <c r="J348" s="1">
        <v>50</v>
      </c>
      <c r="K348" s="1">
        <v>42</v>
      </c>
      <c r="L348" s="3">
        <v>0.16</v>
      </c>
      <c r="N348" t="s">
        <v>3159</v>
      </c>
      <c r="P348">
        <v>6</v>
      </c>
      <c r="Q348">
        <v>27</v>
      </c>
      <c r="R348">
        <v>2014</v>
      </c>
      <c r="S348" s="4">
        <f t="shared" si="22"/>
        <v>41817</v>
      </c>
      <c r="T348" s="4">
        <f t="shared" si="20"/>
        <v>41817</v>
      </c>
      <c r="U348" s="4">
        <v>41817</v>
      </c>
    </row>
    <row r="349" spans="1:21" x14ac:dyDescent="0.3">
      <c r="A349" t="s">
        <v>692</v>
      </c>
      <c r="B349" s="1" t="s">
        <v>400</v>
      </c>
      <c r="C349" s="1" t="s">
        <v>401</v>
      </c>
      <c r="D349" s="1" t="s">
        <v>13</v>
      </c>
      <c r="E349" s="2">
        <v>41642</v>
      </c>
      <c r="F349" s="2" t="b">
        <f t="shared" si="23"/>
        <v>1</v>
      </c>
      <c r="G349" s="2">
        <f t="shared" si="21"/>
        <v>41642</v>
      </c>
      <c r="H349" s="1" t="s">
        <v>14</v>
      </c>
      <c r="I349" s="1" t="s">
        <v>693</v>
      </c>
      <c r="J349" s="1">
        <v>80</v>
      </c>
      <c r="K349" s="1">
        <v>80</v>
      </c>
      <c r="L349" s="3">
        <v>0</v>
      </c>
      <c r="N349" t="s">
        <v>3763</v>
      </c>
      <c r="S349" s="4" t="e">
        <f t="shared" si="22"/>
        <v>#NUM!</v>
      </c>
      <c r="T349" s="4" t="str">
        <f t="shared" si="20"/>
        <v/>
      </c>
      <c r="U349" s="4" t="s">
        <v>3763</v>
      </c>
    </row>
    <row r="350" spans="1:21" x14ac:dyDescent="0.3">
      <c r="A350" t="s">
        <v>694</v>
      </c>
      <c r="B350" s="1" t="s">
        <v>118</v>
      </c>
      <c r="C350" s="1" t="s">
        <v>119</v>
      </c>
      <c r="D350" s="1" t="s">
        <v>35</v>
      </c>
      <c r="E350" s="2" t="s">
        <v>3160</v>
      </c>
      <c r="F350" s="2" t="b">
        <f t="shared" si="23"/>
        <v>0</v>
      </c>
      <c r="G350" s="2">
        <f t="shared" si="21"/>
        <v>43211</v>
      </c>
      <c r="H350" s="1" t="s">
        <v>30</v>
      </c>
      <c r="I350" s="1" t="s">
        <v>695</v>
      </c>
      <c r="J350" s="1">
        <v>150</v>
      </c>
      <c r="K350" s="1">
        <v>147</v>
      </c>
      <c r="L350" s="3">
        <v>0.02</v>
      </c>
      <c r="N350" t="s">
        <v>3160</v>
      </c>
      <c r="P350">
        <v>4</v>
      </c>
      <c r="Q350">
        <v>21</v>
      </c>
      <c r="R350">
        <v>2018</v>
      </c>
      <c r="S350" s="4">
        <f t="shared" si="22"/>
        <v>43211</v>
      </c>
      <c r="T350" s="4">
        <f t="shared" si="20"/>
        <v>43211</v>
      </c>
      <c r="U350" s="4">
        <v>43211</v>
      </c>
    </row>
    <row r="351" spans="1:21" x14ac:dyDescent="0.3">
      <c r="A351" t="s">
        <v>696</v>
      </c>
      <c r="B351" s="1" t="s">
        <v>59</v>
      </c>
      <c r="C351" s="1" t="s">
        <v>60</v>
      </c>
      <c r="D351" s="1" t="s">
        <v>13</v>
      </c>
      <c r="E351" s="2" t="s">
        <v>3161</v>
      </c>
      <c r="F351" s="2" t="b">
        <f t="shared" si="23"/>
        <v>0</v>
      </c>
      <c r="G351" s="2">
        <f t="shared" si="21"/>
        <v>41692</v>
      </c>
      <c r="H351" s="1" t="s">
        <v>36</v>
      </c>
      <c r="I351" s="1" t="s">
        <v>697</v>
      </c>
      <c r="J351" s="1">
        <v>50</v>
      </c>
      <c r="K351" s="1">
        <v>44</v>
      </c>
      <c r="L351" s="3">
        <v>0.12</v>
      </c>
      <c r="N351" t="s">
        <v>3161</v>
      </c>
      <c r="P351">
        <v>2</v>
      </c>
      <c r="Q351">
        <v>22</v>
      </c>
      <c r="R351">
        <v>2014</v>
      </c>
      <c r="S351" s="4">
        <f t="shared" si="22"/>
        <v>41692</v>
      </c>
      <c r="T351" s="4">
        <f t="shared" si="20"/>
        <v>41692</v>
      </c>
      <c r="U351" s="4">
        <v>41692</v>
      </c>
    </row>
    <row r="352" spans="1:21" x14ac:dyDescent="0.3">
      <c r="A352" t="s">
        <v>698</v>
      </c>
      <c r="B352" s="1" t="s">
        <v>49</v>
      </c>
      <c r="C352" s="1" t="s">
        <v>50</v>
      </c>
      <c r="D352" s="1" t="s">
        <v>24</v>
      </c>
      <c r="E352" s="2" t="s">
        <v>3162</v>
      </c>
      <c r="F352" s="2" t="b">
        <f t="shared" si="23"/>
        <v>0</v>
      </c>
      <c r="G352" s="2">
        <f t="shared" si="21"/>
        <v>43233</v>
      </c>
      <c r="H352" s="1" t="s">
        <v>104</v>
      </c>
      <c r="I352" s="1" t="s">
        <v>699</v>
      </c>
      <c r="J352" s="1">
        <v>70</v>
      </c>
      <c r="K352" s="1">
        <v>67</v>
      </c>
      <c r="L352" s="3">
        <v>4.2900000000000001E-2</v>
      </c>
      <c r="N352" t="s">
        <v>3162</v>
      </c>
      <c r="P352">
        <v>5</v>
      </c>
      <c r="Q352">
        <v>13</v>
      </c>
      <c r="R352">
        <v>2018</v>
      </c>
      <c r="S352" s="4">
        <f t="shared" si="22"/>
        <v>43233</v>
      </c>
      <c r="T352" s="4">
        <f t="shared" si="20"/>
        <v>43233</v>
      </c>
      <c r="U352" s="4">
        <v>43233</v>
      </c>
    </row>
    <row r="353" spans="1:21" x14ac:dyDescent="0.3">
      <c r="A353" t="s">
        <v>700</v>
      </c>
      <c r="B353" s="1" t="s">
        <v>107</v>
      </c>
      <c r="C353" s="1" t="s">
        <v>108</v>
      </c>
      <c r="D353" s="1" t="s">
        <v>19</v>
      </c>
      <c r="E353" s="2" t="s">
        <v>3163</v>
      </c>
      <c r="F353" s="2" t="b">
        <f t="shared" si="23"/>
        <v>0</v>
      </c>
      <c r="G353" s="2">
        <f t="shared" si="21"/>
        <v>43213</v>
      </c>
      <c r="H353" s="1" t="s">
        <v>104</v>
      </c>
      <c r="I353" s="1" t="s">
        <v>239</v>
      </c>
      <c r="J353" s="1">
        <v>70</v>
      </c>
      <c r="K353" s="1">
        <v>67</v>
      </c>
      <c r="L353" s="3">
        <v>4.2900000000000001E-2</v>
      </c>
      <c r="N353" t="s">
        <v>3163</v>
      </c>
      <c r="P353">
        <v>4</v>
      </c>
      <c r="Q353">
        <v>23</v>
      </c>
      <c r="R353">
        <v>2018</v>
      </c>
      <c r="S353" s="4">
        <f t="shared" si="22"/>
        <v>43213</v>
      </c>
      <c r="T353" s="4">
        <f t="shared" si="20"/>
        <v>43213</v>
      </c>
      <c r="U353" s="4">
        <v>43213</v>
      </c>
    </row>
    <row r="354" spans="1:21" x14ac:dyDescent="0.3">
      <c r="A354" t="s">
        <v>701</v>
      </c>
      <c r="B354" s="1" t="s">
        <v>134</v>
      </c>
      <c r="C354" s="1" t="s">
        <v>92</v>
      </c>
      <c r="D354" s="1" t="s">
        <v>35</v>
      </c>
      <c r="E354" s="2" t="s">
        <v>3164</v>
      </c>
      <c r="F354" s="2" t="b">
        <f t="shared" si="23"/>
        <v>0</v>
      </c>
      <c r="G354" s="2">
        <f t="shared" si="21"/>
        <v>42671</v>
      </c>
      <c r="H354" s="1" t="s">
        <v>46</v>
      </c>
      <c r="I354" s="1" t="s">
        <v>702</v>
      </c>
      <c r="J354" s="1">
        <v>500</v>
      </c>
      <c r="K354" s="1">
        <v>460</v>
      </c>
      <c r="L354" s="3">
        <v>0.08</v>
      </c>
      <c r="N354" t="s">
        <v>3164</v>
      </c>
      <c r="P354">
        <v>10</v>
      </c>
      <c r="Q354">
        <v>28</v>
      </c>
      <c r="R354">
        <v>2016</v>
      </c>
      <c r="S354" s="4">
        <f t="shared" si="22"/>
        <v>42671</v>
      </c>
      <c r="T354" s="4">
        <f t="shared" si="20"/>
        <v>42671</v>
      </c>
      <c r="U354" s="4">
        <v>42671</v>
      </c>
    </row>
    <row r="355" spans="1:21" x14ac:dyDescent="0.3">
      <c r="A355" t="s">
        <v>703</v>
      </c>
      <c r="B355" s="1" t="s">
        <v>11</v>
      </c>
      <c r="C355" s="1" t="s">
        <v>12</v>
      </c>
      <c r="D355" s="1" t="s">
        <v>13</v>
      </c>
      <c r="E355" s="2" t="s">
        <v>3037</v>
      </c>
      <c r="F355" s="2" t="b">
        <f t="shared" si="23"/>
        <v>0</v>
      </c>
      <c r="G355" s="2">
        <f t="shared" si="21"/>
        <v>42266</v>
      </c>
      <c r="H355" s="1" t="s">
        <v>72</v>
      </c>
      <c r="I355" s="1" t="s">
        <v>15</v>
      </c>
      <c r="J355" s="1">
        <v>500</v>
      </c>
      <c r="K355" s="1">
        <v>495</v>
      </c>
      <c r="L355" s="3">
        <v>0.01</v>
      </c>
      <c r="N355" t="s">
        <v>3037</v>
      </c>
      <c r="P355">
        <v>9</v>
      </c>
      <c r="Q355">
        <v>19</v>
      </c>
      <c r="R355">
        <v>2015</v>
      </c>
      <c r="S355" s="4">
        <f t="shared" si="22"/>
        <v>42266</v>
      </c>
      <c r="T355" s="4">
        <f t="shared" si="20"/>
        <v>42266</v>
      </c>
      <c r="U355" s="4">
        <v>42266</v>
      </c>
    </row>
    <row r="356" spans="1:21" x14ac:dyDescent="0.3">
      <c r="A356" t="s">
        <v>704</v>
      </c>
      <c r="B356" s="1" t="s">
        <v>95</v>
      </c>
      <c r="C356" s="1" t="s">
        <v>96</v>
      </c>
      <c r="D356" s="1" t="s">
        <v>13</v>
      </c>
      <c r="E356" s="2">
        <v>42529</v>
      </c>
      <c r="F356" s="2" t="b">
        <f t="shared" si="23"/>
        <v>1</v>
      </c>
      <c r="G356" s="2">
        <f t="shared" si="21"/>
        <v>42529</v>
      </c>
      <c r="H356" s="1" t="s">
        <v>55</v>
      </c>
      <c r="I356" s="1" t="s">
        <v>97</v>
      </c>
      <c r="J356" s="1">
        <v>800</v>
      </c>
      <c r="K356" s="1">
        <v>704</v>
      </c>
      <c r="L356" s="3">
        <v>0.12</v>
      </c>
      <c r="N356" t="s">
        <v>3763</v>
      </c>
      <c r="S356" s="4" t="e">
        <f t="shared" si="22"/>
        <v>#NUM!</v>
      </c>
      <c r="T356" s="4" t="str">
        <f t="shared" si="20"/>
        <v/>
      </c>
      <c r="U356" s="4" t="s">
        <v>3763</v>
      </c>
    </row>
    <row r="357" spans="1:21" x14ac:dyDescent="0.3">
      <c r="A357" t="s">
        <v>705</v>
      </c>
      <c r="B357" s="1" t="s">
        <v>85</v>
      </c>
      <c r="C357" s="1" t="s">
        <v>86</v>
      </c>
      <c r="D357" s="1" t="s">
        <v>13</v>
      </c>
      <c r="E357" s="2">
        <v>41886</v>
      </c>
      <c r="F357" s="2" t="b">
        <f t="shared" si="23"/>
        <v>1</v>
      </c>
      <c r="G357" s="2">
        <f t="shared" si="21"/>
        <v>41886</v>
      </c>
      <c r="H357" s="1" t="s">
        <v>14</v>
      </c>
      <c r="I357" s="1" t="s">
        <v>363</v>
      </c>
      <c r="J357" s="1">
        <v>80</v>
      </c>
      <c r="K357" s="1">
        <v>60</v>
      </c>
      <c r="L357" s="3">
        <v>0.25</v>
      </c>
      <c r="N357" t="s">
        <v>3763</v>
      </c>
      <c r="S357" s="4" t="e">
        <f t="shared" si="22"/>
        <v>#NUM!</v>
      </c>
      <c r="T357" s="4" t="str">
        <f t="shared" si="20"/>
        <v/>
      </c>
      <c r="U357" s="4" t="s">
        <v>3763</v>
      </c>
    </row>
    <row r="358" spans="1:21" x14ac:dyDescent="0.3">
      <c r="A358" t="s">
        <v>706</v>
      </c>
      <c r="B358" s="1" t="s">
        <v>270</v>
      </c>
      <c r="C358" s="1" t="s">
        <v>271</v>
      </c>
      <c r="D358" s="1" t="s">
        <v>35</v>
      </c>
      <c r="E358" s="2">
        <v>43289</v>
      </c>
      <c r="F358" s="2" t="b">
        <f t="shared" si="23"/>
        <v>1</v>
      </c>
      <c r="G358" s="2">
        <f t="shared" si="21"/>
        <v>43289</v>
      </c>
      <c r="H358" s="1" t="s">
        <v>72</v>
      </c>
      <c r="I358" s="1" t="s">
        <v>272</v>
      </c>
      <c r="J358" s="1">
        <v>500</v>
      </c>
      <c r="K358" s="1">
        <v>500</v>
      </c>
      <c r="L358" s="3">
        <v>0</v>
      </c>
      <c r="N358" t="s">
        <v>3763</v>
      </c>
      <c r="S358" s="4" t="e">
        <f t="shared" si="22"/>
        <v>#NUM!</v>
      </c>
      <c r="T358" s="4" t="str">
        <f t="shared" si="20"/>
        <v/>
      </c>
      <c r="U358" s="4" t="s">
        <v>3763</v>
      </c>
    </row>
    <row r="359" spans="1:21" x14ac:dyDescent="0.3">
      <c r="A359" t="s">
        <v>707</v>
      </c>
      <c r="B359" s="1" t="s">
        <v>154</v>
      </c>
      <c r="C359" s="1" t="s">
        <v>108</v>
      </c>
      <c r="D359" s="1" t="s">
        <v>19</v>
      </c>
      <c r="E359" s="2" t="s">
        <v>3165</v>
      </c>
      <c r="F359" s="2" t="b">
        <f t="shared" si="23"/>
        <v>0</v>
      </c>
      <c r="G359" s="2">
        <f t="shared" si="21"/>
        <v>42391</v>
      </c>
      <c r="H359" s="1" t="s">
        <v>30</v>
      </c>
      <c r="I359" s="1" t="s">
        <v>352</v>
      </c>
      <c r="J359" s="1">
        <v>150</v>
      </c>
      <c r="K359" s="1">
        <v>150</v>
      </c>
      <c r="L359" s="3">
        <v>0</v>
      </c>
      <c r="N359" t="s">
        <v>3165</v>
      </c>
      <c r="P359">
        <v>1</v>
      </c>
      <c r="Q359">
        <v>22</v>
      </c>
      <c r="R359">
        <v>2016</v>
      </c>
      <c r="S359" s="4">
        <f t="shared" si="22"/>
        <v>42391</v>
      </c>
      <c r="T359" s="4">
        <f t="shared" si="20"/>
        <v>42391</v>
      </c>
      <c r="U359" s="4">
        <v>42391</v>
      </c>
    </row>
    <row r="360" spans="1:21" x14ac:dyDescent="0.3">
      <c r="A360" t="s">
        <v>708</v>
      </c>
      <c r="B360" s="1" t="s">
        <v>118</v>
      </c>
      <c r="C360" s="1" t="s">
        <v>119</v>
      </c>
      <c r="D360" s="1" t="s">
        <v>35</v>
      </c>
      <c r="E360" s="2">
        <v>42289</v>
      </c>
      <c r="F360" s="2" t="b">
        <f t="shared" si="23"/>
        <v>1</v>
      </c>
      <c r="G360" s="2">
        <f t="shared" si="21"/>
        <v>42289</v>
      </c>
      <c r="H360" s="1" t="s">
        <v>104</v>
      </c>
      <c r="I360" s="1" t="s">
        <v>709</v>
      </c>
      <c r="J360" s="1">
        <v>70</v>
      </c>
      <c r="K360" s="1">
        <v>68</v>
      </c>
      <c r="L360" s="3">
        <v>2.86E-2</v>
      </c>
      <c r="N360" t="s">
        <v>3763</v>
      </c>
      <c r="S360" s="4" t="e">
        <f t="shared" si="22"/>
        <v>#NUM!</v>
      </c>
      <c r="T360" s="4" t="str">
        <f t="shared" si="20"/>
        <v/>
      </c>
      <c r="U360" s="4" t="s">
        <v>3763</v>
      </c>
    </row>
    <row r="361" spans="1:21" x14ac:dyDescent="0.3">
      <c r="A361" t="s">
        <v>710</v>
      </c>
      <c r="B361" s="1" t="s">
        <v>400</v>
      </c>
      <c r="C361" s="1" t="s">
        <v>401</v>
      </c>
      <c r="D361" s="1" t="s">
        <v>13</v>
      </c>
      <c r="E361" s="2" t="s">
        <v>3083</v>
      </c>
      <c r="F361" s="2" t="b">
        <f t="shared" si="23"/>
        <v>0</v>
      </c>
      <c r="G361" s="2">
        <f t="shared" si="21"/>
        <v>42300</v>
      </c>
      <c r="H361" s="1" t="s">
        <v>104</v>
      </c>
      <c r="I361" s="1" t="s">
        <v>711</v>
      </c>
      <c r="J361" s="1">
        <v>70</v>
      </c>
      <c r="K361" s="1">
        <v>70</v>
      </c>
      <c r="L361" s="3">
        <v>0</v>
      </c>
      <c r="N361" t="s">
        <v>3083</v>
      </c>
      <c r="P361">
        <v>10</v>
      </c>
      <c r="Q361">
        <v>23</v>
      </c>
      <c r="R361">
        <v>2015</v>
      </c>
      <c r="S361" s="4">
        <f t="shared" si="22"/>
        <v>42300</v>
      </c>
      <c r="T361" s="4">
        <f t="shared" si="20"/>
        <v>42300</v>
      </c>
      <c r="U361" s="4">
        <v>42300</v>
      </c>
    </row>
    <row r="362" spans="1:21" x14ac:dyDescent="0.3">
      <c r="A362" t="s">
        <v>712</v>
      </c>
      <c r="B362" s="1" t="s">
        <v>270</v>
      </c>
      <c r="C362" s="1" t="s">
        <v>271</v>
      </c>
      <c r="D362" s="1" t="s">
        <v>35</v>
      </c>
      <c r="E362" s="2">
        <v>43262</v>
      </c>
      <c r="F362" s="2" t="b">
        <f t="shared" si="23"/>
        <v>1</v>
      </c>
      <c r="G362" s="2">
        <f t="shared" si="21"/>
        <v>43262</v>
      </c>
      <c r="H362" s="1" t="s">
        <v>41</v>
      </c>
      <c r="I362" s="1" t="s">
        <v>713</v>
      </c>
      <c r="J362" s="1">
        <v>30</v>
      </c>
      <c r="K362" s="1">
        <v>28</v>
      </c>
      <c r="L362" s="3">
        <v>6.6699999999999995E-2</v>
      </c>
      <c r="N362" t="s">
        <v>3763</v>
      </c>
      <c r="S362" s="4" t="e">
        <f t="shared" si="22"/>
        <v>#NUM!</v>
      </c>
      <c r="T362" s="4" t="str">
        <f t="shared" si="20"/>
        <v/>
      </c>
      <c r="U362" s="4" t="s">
        <v>3763</v>
      </c>
    </row>
    <row r="363" spans="1:21" x14ac:dyDescent="0.3">
      <c r="A363" t="s">
        <v>714</v>
      </c>
      <c r="B363" s="1" t="s">
        <v>270</v>
      </c>
      <c r="C363" s="1" t="s">
        <v>271</v>
      </c>
      <c r="D363" s="1" t="s">
        <v>35</v>
      </c>
      <c r="E363" s="2">
        <v>42800</v>
      </c>
      <c r="F363" s="2" t="b">
        <f t="shared" si="23"/>
        <v>1</v>
      </c>
      <c r="G363" s="2">
        <f t="shared" si="21"/>
        <v>42800</v>
      </c>
      <c r="H363" s="1" t="s">
        <v>104</v>
      </c>
      <c r="I363" s="1" t="s">
        <v>715</v>
      </c>
      <c r="J363" s="1">
        <v>70</v>
      </c>
      <c r="K363" s="1">
        <v>64</v>
      </c>
      <c r="L363" s="3">
        <v>8.5699999999999998E-2</v>
      </c>
      <c r="N363" t="s">
        <v>3763</v>
      </c>
      <c r="S363" s="4" t="e">
        <f t="shared" si="22"/>
        <v>#NUM!</v>
      </c>
      <c r="T363" s="4" t="str">
        <f t="shared" si="20"/>
        <v/>
      </c>
      <c r="U363" s="4" t="s">
        <v>3763</v>
      </c>
    </row>
    <row r="364" spans="1:21" x14ac:dyDescent="0.3">
      <c r="A364" t="s">
        <v>716</v>
      </c>
      <c r="B364" s="1" t="s">
        <v>22</v>
      </c>
      <c r="C364" s="1" t="s">
        <v>23</v>
      </c>
      <c r="D364" s="1" t="s">
        <v>24</v>
      </c>
      <c r="E364" s="2" t="s">
        <v>3013</v>
      </c>
      <c r="F364" s="2" t="b">
        <f t="shared" si="23"/>
        <v>0</v>
      </c>
      <c r="G364" s="2">
        <f t="shared" si="21"/>
        <v>42240</v>
      </c>
      <c r="H364" s="1" t="s">
        <v>122</v>
      </c>
      <c r="I364" s="1" t="s">
        <v>26</v>
      </c>
      <c r="J364" s="1">
        <v>50</v>
      </c>
      <c r="K364" s="1">
        <v>38</v>
      </c>
      <c r="L364" s="3">
        <v>0.24</v>
      </c>
      <c r="N364" t="s">
        <v>3013</v>
      </c>
      <c r="P364">
        <v>8</v>
      </c>
      <c r="Q364">
        <v>24</v>
      </c>
      <c r="R364">
        <v>2015</v>
      </c>
      <c r="S364" s="4">
        <f t="shared" si="22"/>
        <v>42240</v>
      </c>
      <c r="T364" s="4">
        <f t="shared" si="20"/>
        <v>42240</v>
      </c>
      <c r="U364" s="4">
        <v>42240</v>
      </c>
    </row>
    <row r="365" spans="1:21" x14ac:dyDescent="0.3">
      <c r="A365" t="s">
        <v>717</v>
      </c>
      <c r="B365" s="1" t="s">
        <v>17</v>
      </c>
      <c r="C365" s="1" t="s">
        <v>18</v>
      </c>
      <c r="D365" s="1" t="s">
        <v>19</v>
      </c>
      <c r="E365" s="2" t="s">
        <v>3090</v>
      </c>
      <c r="F365" s="2" t="b">
        <f t="shared" si="23"/>
        <v>0</v>
      </c>
      <c r="G365" s="2">
        <f t="shared" si="21"/>
        <v>43089</v>
      </c>
      <c r="H365" s="1" t="s">
        <v>122</v>
      </c>
      <c r="I365" s="1" t="s">
        <v>543</v>
      </c>
      <c r="J365" s="1">
        <v>50</v>
      </c>
      <c r="K365" s="1">
        <v>50</v>
      </c>
      <c r="L365" s="3">
        <v>0</v>
      </c>
      <c r="N365" t="s">
        <v>3090</v>
      </c>
      <c r="P365">
        <v>12</v>
      </c>
      <c r="Q365">
        <v>20</v>
      </c>
      <c r="R365">
        <v>2017</v>
      </c>
      <c r="S365" s="4">
        <f t="shared" si="22"/>
        <v>43089</v>
      </c>
      <c r="T365" s="4">
        <f t="shared" si="20"/>
        <v>43089</v>
      </c>
      <c r="U365" s="4">
        <v>43089</v>
      </c>
    </row>
    <row r="366" spans="1:21" x14ac:dyDescent="0.3">
      <c r="A366" t="s">
        <v>718</v>
      </c>
      <c r="B366" s="1" t="s">
        <v>103</v>
      </c>
      <c r="C366" s="1" t="s">
        <v>71</v>
      </c>
      <c r="D366" s="1" t="s">
        <v>35</v>
      </c>
      <c r="E366" s="2" t="s">
        <v>3166</v>
      </c>
      <c r="F366" s="2" t="b">
        <f t="shared" si="23"/>
        <v>0</v>
      </c>
      <c r="G366" s="2">
        <f t="shared" si="21"/>
        <v>42056</v>
      </c>
      <c r="H366" s="1" t="s">
        <v>46</v>
      </c>
      <c r="I366" s="1" t="s">
        <v>247</v>
      </c>
      <c r="J366" s="1">
        <v>500</v>
      </c>
      <c r="K366" s="1">
        <v>465</v>
      </c>
      <c r="L366" s="3">
        <v>7.0000000000000007E-2</v>
      </c>
      <c r="N366" t="s">
        <v>3166</v>
      </c>
      <c r="P366">
        <v>2</v>
      </c>
      <c r="Q366">
        <v>21</v>
      </c>
      <c r="R366">
        <v>2015</v>
      </c>
      <c r="S366" s="4">
        <f t="shared" si="22"/>
        <v>42056</v>
      </c>
      <c r="T366" s="4">
        <f t="shared" si="20"/>
        <v>42056</v>
      </c>
      <c r="U366" s="4">
        <v>42056</v>
      </c>
    </row>
    <row r="367" spans="1:21" x14ac:dyDescent="0.3">
      <c r="A367" t="s">
        <v>719</v>
      </c>
      <c r="B367" s="1" t="s">
        <v>157</v>
      </c>
      <c r="C367" s="1" t="s">
        <v>108</v>
      </c>
      <c r="D367" s="1" t="s">
        <v>19</v>
      </c>
      <c r="E367" s="2" t="s">
        <v>3167</v>
      </c>
      <c r="F367" s="2" t="b">
        <f t="shared" si="23"/>
        <v>0</v>
      </c>
      <c r="G367" s="2">
        <f t="shared" si="21"/>
        <v>41957</v>
      </c>
      <c r="H367" s="1" t="s">
        <v>36</v>
      </c>
      <c r="I367" s="1" t="s">
        <v>720</v>
      </c>
      <c r="J367" s="1">
        <v>50</v>
      </c>
      <c r="K367" s="1">
        <v>44</v>
      </c>
      <c r="L367" s="3">
        <v>0.12</v>
      </c>
      <c r="N367" t="s">
        <v>3167</v>
      </c>
      <c r="P367">
        <v>11</v>
      </c>
      <c r="Q367">
        <v>14</v>
      </c>
      <c r="R367">
        <v>2014</v>
      </c>
      <c r="S367" s="4">
        <f t="shared" si="22"/>
        <v>41957</v>
      </c>
      <c r="T367" s="4">
        <f t="shared" si="20"/>
        <v>41957</v>
      </c>
      <c r="U367" s="4">
        <v>41957</v>
      </c>
    </row>
    <row r="368" spans="1:21" x14ac:dyDescent="0.3">
      <c r="A368" t="s">
        <v>721</v>
      </c>
      <c r="B368" s="1" t="s">
        <v>205</v>
      </c>
      <c r="C368" s="1" t="s">
        <v>206</v>
      </c>
      <c r="D368" s="1" t="s">
        <v>24</v>
      </c>
      <c r="E368" s="2" t="s">
        <v>3122</v>
      </c>
      <c r="F368" s="2" t="b">
        <f t="shared" si="23"/>
        <v>0</v>
      </c>
      <c r="G368" s="2">
        <f t="shared" si="21"/>
        <v>41698</v>
      </c>
      <c r="H368" s="1" t="s">
        <v>36</v>
      </c>
      <c r="I368" s="1" t="s">
        <v>722</v>
      </c>
      <c r="J368" s="1">
        <v>50</v>
      </c>
      <c r="K368" s="1">
        <v>47</v>
      </c>
      <c r="L368" s="3">
        <v>0.06</v>
      </c>
      <c r="N368" t="s">
        <v>3122</v>
      </c>
      <c r="P368">
        <v>2</v>
      </c>
      <c r="Q368">
        <v>28</v>
      </c>
      <c r="R368">
        <v>2014</v>
      </c>
      <c r="S368" s="4">
        <f t="shared" si="22"/>
        <v>41698</v>
      </c>
      <c r="T368" s="4">
        <f t="shared" si="20"/>
        <v>41698</v>
      </c>
      <c r="U368" s="4">
        <v>41698</v>
      </c>
    </row>
    <row r="369" spans="1:21" x14ac:dyDescent="0.3">
      <c r="A369" t="s">
        <v>723</v>
      </c>
      <c r="B369" s="1" t="s">
        <v>170</v>
      </c>
      <c r="C369" s="1" t="s">
        <v>171</v>
      </c>
      <c r="D369" s="1" t="s">
        <v>13</v>
      </c>
      <c r="E369" s="2" t="s">
        <v>3168</v>
      </c>
      <c r="F369" s="2" t="b">
        <f t="shared" si="23"/>
        <v>0</v>
      </c>
      <c r="G369" s="2">
        <f t="shared" si="21"/>
        <v>42032</v>
      </c>
      <c r="H369" s="1" t="s">
        <v>30</v>
      </c>
      <c r="I369" s="1" t="s">
        <v>518</v>
      </c>
      <c r="J369" s="1">
        <v>150</v>
      </c>
      <c r="K369" s="1">
        <v>101</v>
      </c>
      <c r="L369" s="3">
        <v>0.32669999999999999</v>
      </c>
      <c r="N369" t="s">
        <v>3168</v>
      </c>
      <c r="P369">
        <v>1</v>
      </c>
      <c r="Q369">
        <v>28</v>
      </c>
      <c r="R369">
        <v>2015</v>
      </c>
      <c r="S369" s="4">
        <f t="shared" si="22"/>
        <v>42032</v>
      </c>
      <c r="T369" s="4">
        <f t="shared" si="20"/>
        <v>42032</v>
      </c>
      <c r="U369" s="4">
        <v>42032</v>
      </c>
    </row>
    <row r="370" spans="1:21" x14ac:dyDescent="0.3">
      <c r="A370" t="s">
        <v>724</v>
      </c>
      <c r="B370" s="1" t="s">
        <v>146</v>
      </c>
      <c r="C370" s="1" t="s">
        <v>147</v>
      </c>
      <c r="D370" s="1" t="s">
        <v>13</v>
      </c>
      <c r="E370" s="2">
        <v>41831</v>
      </c>
      <c r="F370" s="2" t="b">
        <f t="shared" si="23"/>
        <v>1</v>
      </c>
      <c r="G370" s="2">
        <f t="shared" si="21"/>
        <v>41831</v>
      </c>
      <c r="H370" s="1" t="s">
        <v>14</v>
      </c>
      <c r="I370" s="1" t="s">
        <v>725</v>
      </c>
      <c r="J370" s="1">
        <v>80</v>
      </c>
      <c r="K370" s="1">
        <v>78</v>
      </c>
      <c r="L370" s="3">
        <v>2.5000000000000001E-2</v>
      </c>
      <c r="N370" t="s">
        <v>3763</v>
      </c>
      <c r="S370" s="4" t="e">
        <f t="shared" si="22"/>
        <v>#NUM!</v>
      </c>
      <c r="T370" s="4" t="str">
        <f t="shared" si="20"/>
        <v/>
      </c>
      <c r="U370" s="4" t="s">
        <v>3763</v>
      </c>
    </row>
    <row r="371" spans="1:21" x14ac:dyDescent="0.3">
      <c r="A371" t="s">
        <v>726</v>
      </c>
      <c r="B371" s="1" t="s">
        <v>103</v>
      </c>
      <c r="C371" s="1" t="s">
        <v>71</v>
      </c>
      <c r="D371" s="1" t="s">
        <v>35</v>
      </c>
      <c r="E371" s="2" t="s">
        <v>3166</v>
      </c>
      <c r="F371" s="2" t="b">
        <f t="shared" si="23"/>
        <v>0</v>
      </c>
      <c r="G371" s="2">
        <f t="shared" si="21"/>
        <v>42056</v>
      </c>
      <c r="H371" s="1" t="s">
        <v>72</v>
      </c>
      <c r="I371" s="1" t="s">
        <v>727</v>
      </c>
      <c r="J371" s="1">
        <v>500</v>
      </c>
      <c r="K371" s="1">
        <v>500</v>
      </c>
      <c r="L371" s="3">
        <v>0</v>
      </c>
      <c r="N371" t="s">
        <v>3166</v>
      </c>
      <c r="P371">
        <v>2</v>
      </c>
      <c r="Q371">
        <v>21</v>
      </c>
      <c r="R371">
        <v>2015</v>
      </c>
      <c r="S371" s="4">
        <f t="shared" si="22"/>
        <v>42056</v>
      </c>
      <c r="T371" s="4">
        <f t="shared" si="20"/>
        <v>42056</v>
      </c>
      <c r="U371" s="4">
        <v>42056</v>
      </c>
    </row>
    <row r="372" spans="1:21" x14ac:dyDescent="0.3">
      <c r="A372" t="s">
        <v>728</v>
      </c>
      <c r="B372" s="1" t="s">
        <v>49</v>
      </c>
      <c r="C372" s="1" t="s">
        <v>50</v>
      </c>
      <c r="D372" s="1" t="s">
        <v>24</v>
      </c>
      <c r="E372" s="2" t="s">
        <v>3169</v>
      </c>
      <c r="F372" s="2" t="b">
        <f t="shared" si="23"/>
        <v>0</v>
      </c>
      <c r="G372" s="2">
        <f t="shared" si="21"/>
        <v>42063</v>
      </c>
      <c r="H372" s="1" t="s">
        <v>14</v>
      </c>
      <c r="I372" s="1" t="s">
        <v>729</v>
      </c>
      <c r="J372" s="1">
        <v>80</v>
      </c>
      <c r="K372" s="1">
        <v>74</v>
      </c>
      <c r="L372" s="3">
        <v>7.4999999999999997E-2</v>
      </c>
      <c r="N372" t="s">
        <v>3169</v>
      </c>
      <c r="P372">
        <v>2</v>
      </c>
      <c r="Q372">
        <v>28</v>
      </c>
      <c r="R372">
        <v>2015</v>
      </c>
      <c r="S372" s="4">
        <f t="shared" si="22"/>
        <v>42063</v>
      </c>
      <c r="T372" s="4">
        <f t="shared" si="20"/>
        <v>42063</v>
      </c>
      <c r="U372" s="4">
        <v>42063</v>
      </c>
    </row>
    <row r="373" spans="1:21" x14ac:dyDescent="0.3">
      <c r="A373" t="s">
        <v>730</v>
      </c>
      <c r="B373" s="1" t="s">
        <v>95</v>
      </c>
      <c r="C373" s="1" t="s">
        <v>96</v>
      </c>
      <c r="D373" s="1" t="s">
        <v>13</v>
      </c>
      <c r="E373" s="2" t="s">
        <v>3022</v>
      </c>
      <c r="F373" s="2" t="b">
        <f t="shared" si="23"/>
        <v>0</v>
      </c>
      <c r="G373" s="2">
        <f t="shared" si="21"/>
        <v>43066</v>
      </c>
      <c r="H373" s="1" t="s">
        <v>104</v>
      </c>
      <c r="I373" s="1" t="s">
        <v>731</v>
      </c>
      <c r="J373" s="1">
        <v>70</v>
      </c>
      <c r="K373" s="1">
        <v>68</v>
      </c>
      <c r="L373" s="3">
        <v>2.86E-2</v>
      </c>
      <c r="N373" t="s">
        <v>3022</v>
      </c>
      <c r="P373">
        <v>11</v>
      </c>
      <c r="Q373">
        <v>27</v>
      </c>
      <c r="R373">
        <v>2017</v>
      </c>
      <c r="S373" s="4">
        <f t="shared" si="22"/>
        <v>43066</v>
      </c>
      <c r="T373" s="4">
        <f t="shared" si="20"/>
        <v>43066</v>
      </c>
      <c r="U373" s="4">
        <v>43066</v>
      </c>
    </row>
    <row r="374" spans="1:21" x14ac:dyDescent="0.3">
      <c r="A374" t="s">
        <v>732</v>
      </c>
      <c r="B374" s="1" t="s">
        <v>264</v>
      </c>
      <c r="C374" s="1" t="s">
        <v>265</v>
      </c>
      <c r="D374" s="1" t="s">
        <v>13</v>
      </c>
      <c r="E374" s="2">
        <v>41945</v>
      </c>
      <c r="F374" s="2" t="b">
        <f t="shared" si="23"/>
        <v>1</v>
      </c>
      <c r="G374" s="2">
        <f t="shared" si="21"/>
        <v>41945</v>
      </c>
      <c r="H374" s="1" t="s">
        <v>46</v>
      </c>
      <c r="I374" s="1" t="s">
        <v>314</v>
      </c>
      <c r="J374" s="1">
        <v>500</v>
      </c>
      <c r="K374" s="1">
        <v>500</v>
      </c>
      <c r="L374" s="3">
        <v>0</v>
      </c>
      <c r="N374" t="s">
        <v>3763</v>
      </c>
      <c r="S374" s="4" t="e">
        <f t="shared" si="22"/>
        <v>#NUM!</v>
      </c>
      <c r="T374" s="4" t="str">
        <f t="shared" si="20"/>
        <v/>
      </c>
      <c r="U374" s="4" t="s">
        <v>3763</v>
      </c>
    </row>
    <row r="375" spans="1:21" x14ac:dyDescent="0.3">
      <c r="A375" t="s">
        <v>733</v>
      </c>
      <c r="B375" s="1" t="s">
        <v>224</v>
      </c>
      <c r="C375" s="1" t="s">
        <v>50</v>
      </c>
      <c r="D375" s="1" t="s">
        <v>24</v>
      </c>
      <c r="E375" s="2">
        <v>43194</v>
      </c>
      <c r="F375" s="2" t="b">
        <f t="shared" si="23"/>
        <v>1</v>
      </c>
      <c r="G375" s="2">
        <f t="shared" si="21"/>
        <v>43194</v>
      </c>
      <c r="H375" s="1" t="s">
        <v>61</v>
      </c>
      <c r="I375" s="1" t="s">
        <v>734</v>
      </c>
      <c r="J375" s="1">
        <v>1000</v>
      </c>
      <c r="K375" s="1">
        <v>720</v>
      </c>
      <c r="L375" s="3">
        <v>0.28000000000000003</v>
      </c>
      <c r="N375" t="s">
        <v>3763</v>
      </c>
      <c r="S375" s="4" t="e">
        <f t="shared" si="22"/>
        <v>#NUM!</v>
      </c>
      <c r="T375" s="4" t="str">
        <f t="shared" si="20"/>
        <v/>
      </c>
      <c r="U375" s="4" t="s">
        <v>3763</v>
      </c>
    </row>
    <row r="376" spans="1:21" x14ac:dyDescent="0.3">
      <c r="A376" t="s">
        <v>735</v>
      </c>
      <c r="B376" s="1" t="s">
        <v>17</v>
      </c>
      <c r="C376" s="1" t="s">
        <v>18</v>
      </c>
      <c r="D376" s="1" t="s">
        <v>19</v>
      </c>
      <c r="E376" s="2" t="s">
        <v>3170</v>
      </c>
      <c r="F376" s="2" t="b">
        <f t="shared" si="23"/>
        <v>0</v>
      </c>
      <c r="G376" s="2">
        <f t="shared" si="21"/>
        <v>42790</v>
      </c>
      <c r="H376" s="1" t="s">
        <v>46</v>
      </c>
      <c r="I376" s="1" t="s">
        <v>616</v>
      </c>
      <c r="J376" s="1">
        <v>500</v>
      </c>
      <c r="K376" s="1">
        <v>480</v>
      </c>
      <c r="L376" s="3">
        <v>0.04</v>
      </c>
      <c r="N376" t="s">
        <v>3170</v>
      </c>
      <c r="P376">
        <v>2</v>
      </c>
      <c r="Q376">
        <v>24</v>
      </c>
      <c r="R376">
        <v>2017</v>
      </c>
      <c r="S376" s="4">
        <f t="shared" si="22"/>
        <v>42790</v>
      </c>
      <c r="T376" s="4">
        <f t="shared" si="20"/>
        <v>42790</v>
      </c>
      <c r="U376" s="4">
        <v>42790</v>
      </c>
    </row>
    <row r="377" spans="1:21" x14ac:dyDescent="0.3">
      <c r="A377" t="s">
        <v>736</v>
      </c>
      <c r="B377" s="1" t="s">
        <v>154</v>
      </c>
      <c r="C377" s="1" t="s">
        <v>108</v>
      </c>
      <c r="D377" s="1" t="s">
        <v>19</v>
      </c>
      <c r="E377" s="2" t="s">
        <v>3171</v>
      </c>
      <c r="F377" s="2" t="b">
        <f t="shared" si="23"/>
        <v>0</v>
      </c>
      <c r="G377" s="2">
        <f t="shared" si="21"/>
        <v>41686</v>
      </c>
      <c r="H377" s="1" t="s">
        <v>36</v>
      </c>
      <c r="I377" s="1" t="s">
        <v>737</v>
      </c>
      <c r="J377" s="1">
        <v>50</v>
      </c>
      <c r="K377" s="1">
        <v>43</v>
      </c>
      <c r="L377" s="3">
        <v>0.14000000000000001</v>
      </c>
      <c r="N377" t="s">
        <v>3171</v>
      </c>
      <c r="P377">
        <v>2</v>
      </c>
      <c r="Q377">
        <v>16</v>
      </c>
      <c r="R377">
        <v>2014</v>
      </c>
      <c r="S377" s="4">
        <f t="shared" si="22"/>
        <v>41686</v>
      </c>
      <c r="T377" s="4">
        <f t="shared" si="20"/>
        <v>41686</v>
      </c>
      <c r="U377" s="4">
        <v>41686</v>
      </c>
    </row>
    <row r="378" spans="1:21" x14ac:dyDescent="0.3">
      <c r="A378" t="s">
        <v>738</v>
      </c>
      <c r="B378" s="1" t="s">
        <v>53</v>
      </c>
      <c r="C378" s="1" t="s">
        <v>54</v>
      </c>
      <c r="D378" s="1" t="s">
        <v>13</v>
      </c>
      <c r="E378" s="2" t="s">
        <v>3172</v>
      </c>
      <c r="F378" s="2" t="b">
        <f t="shared" si="23"/>
        <v>0</v>
      </c>
      <c r="G378" s="2">
        <f t="shared" si="21"/>
        <v>43277</v>
      </c>
      <c r="H378" s="1" t="s">
        <v>30</v>
      </c>
      <c r="I378" s="1" t="s">
        <v>643</v>
      </c>
      <c r="J378" s="1">
        <v>150</v>
      </c>
      <c r="K378" s="1">
        <v>150</v>
      </c>
      <c r="L378" s="3">
        <v>0</v>
      </c>
      <c r="N378" t="s">
        <v>3172</v>
      </c>
      <c r="P378">
        <v>6</v>
      </c>
      <c r="Q378">
        <v>26</v>
      </c>
      <c r="R378">
        <v>2018</v>
      </c>
      <c r="S378" s="4">
        <f t="shared" si="22"/>
        <v>43277</v>
      </c>
      <c r="T378" s="4">
        <f t="shared" si="20"/>
        <v>43277</v>
      </c>
      <c r="U378" s="4">
        <v>43277</v>
      </c>
    </row>
    <row r="379" spans="1:21" x14ac:dyDescent="0.3">
      <c r="A379" t="s">
        <v>739</v>
      </c>
      <c r="B379" s="1" t="s">
        <v>11</v>
      </c>
      <c r="C379" s="1" t="s">
        <v>12</v>
      </c>
      <c r="D379" s="1" t="s">
        <v>13</v>
      </c>
      <c r="E379" s="2" t="s">
        <v>3173</v>
      </c>
      <c r="F379" s="2" t="b">
        <f t="shared" si="23"/>
        <v>0</v>
      </c>
      <c r="G379" s="2">
        <f t="shared" si="21"/>
        <v>41656</v>
      </c>
      <c r="H379" s="1" t="s">
        <v>55</v>
      </c>
      <c r="I379" s="1" t="s">
        <v>348</v>
      </c>
      <c r="J379" s="1">
        <v>800</v>
      </c>
      <c r="K379" s="1">
        <v>528</v>
      </c>
      <c r="L379" s="3">
        <v>0.34</v>
      </c>
      <c r="N379" t="s">
        <v>3173</v>
      </c>
      <c r="P379">
        <v>1</v>
      </c>
      <c r="Q379">
        <v>17</v>
      </c>
      <c r="R379">
        <v>2014</v>
      </c>
      <c r="S379" s="4">
        <f t="shared" si="22"/>
        <v>41656</v>
      </c>
      <c r="T379" s="4">
        <f t="shared" si="20"/>
        <v>41656</v>
      </c>
      <c r="U379" s="4">
        <v>41656</v>
      </c>
    </row>
    <row r="380" spans="1:21" x14ac:dyDescent="0.3">
      <c r="A380" t="s">
        <v>740</v>
      </c>
      <c r="B380" s="1" t="s">
        <v>187</v>
      </c>
      <c r="C380" s="1" t="s">
        <v>188</v>
      </c>
      <c r="D380" s="1" t="s">
        <v>13</v>
      </c>
      <c r="E380" s="2">
        <v>42158</v>
      </c>
      <c r="F380" s="2" t="b">
        <f t="shared" si="23"/>
        <v>1</v>
      </c>
      <c r="G380" s="2">
        <f t="shared" si="21"/>
        <v>42158</v>
      </c>
      <c r="H380" s="1" t="s">
        <v>36</v>
      </c>
      <c r="I380" s="1" t="s">
        <v>741</v>
      </c>
      <c r="J380" s="1">
        <v>50</v>
      </c>
      <c r="K380" s="1">
        <v>39</v>
      </c>
      <c r="L380" s="3">
        <v>0.22</v>
      </c>
      <c r="N380" t="s">
        <v>3763</v>
      </c>
      <c r="S380" s="4" t="e">
        <f t="shared" si="22"/>
        <v>#NUM!</v>
      </c>
      <c r="T380" s="4" t="str">
        <f t="shared" si="20"/>
        <v/>
      </c>
      <c r="U380" s="4" t="s">
        <v>3763</v>
      </c>
    </row>
    <row r="381" spans="1:21" x14ac:dyDescent="0.3">
      <c r="A381" t="s">
        <v>742</v>
      </c>
      <c r="B381" s="1" t="s">
        <v>85</v>
      </c>
      <c r="C381" s="1" t="s">
        <v>86</v>
      </c>
      <c r="D381" s="1" t="s">
        <v>13</v>
      </c>
      <c r="E381" s="2" t="s">
        <v>3174</v>
      </c>
      <c r="F381" s="2" t="b">
        <f t="shared" si="23"/>
        <v>0</v>
      </c>
      <c r="G381" s="2">
        <f t="shared" si="21"/>
        <v>43030</v>
      </c>
      <c r="H381" s="1" t="s">
        <v>122</v>
      </c>
      <c r="I381" s="1" t="s">
        <v>87</v>
      </c>
      <c r="J381" s="1">
        <v>50</v>
      </c>
      <c r="K381" s="1">
        <v>50</v>
      </c>
      <c r="L381" s="3">
        <v>0</v>
      </c>
      <c r="N381" t="s">
        <v>3174</v>
      </c>
      <c r="P381">
        <v>10</v>
      </c>
      <c r="Q381">
        <v>22</v>
      </c>
      <c r="R381">
        <v>2017</v>
      </c>
      <c r="S381" s="4">
        <f t="shared" si="22"/>
        <v>43030</v>
      </c>
      <c r="T381" s="4">
        <f t="shared" si="20"/>
        <v>43030</v>
      </c>
      <c r="U381" s="4">
        <v>43030</v>
      </c>
    </row>
    <row r="382" spans="1:21" x14ac:dyDescent="0.3">
      <c r="A382" t="s">
        <v>743</v>
      </c>
      <c r="B382" s="1" t="s">
        <v>103</v>
      </c>
      <c r="C382" s="1" t="s">
        <v>71</v>
      </c>
      <c r="D382" s="1" t="s">
        <v>35</v>
      </c>
      <c r="E382" s="2" t="s">
        <v>3175</v>
      </c>
      <c r="F382" s="2" t="b">
        <f t="shared" si="23"/>
        <v>0</v>
      </c>
      <c r="G382" s="2">
        <f t="shared" si="21"/>
        <v>42483</v>
      </c>
      <c r="H382" s="1" t="s">
        <v>72</v>
      </c>
      <c r="I382" s="1" t="s">
        <v>603</v>
      </c>
      <c r="J382" s="1">
        <v>500</v>
      </c>
      <c r="K382" s="1">
        <v>500</v>
      </c>
      <c r="L382" s="3">
        <v>0</v>
      </c>
      <c r="N382" t="s">
        <v>3175</v>
      </c>
      <c r="P382">
        <v>4</v>
      </c>
      <c r="Q382">
        <v>23</v>
      </c>
      <c r="R382">
        <v>2016</v>
      </c>
      <c r="S382" s="4">
        <f t="shared" si="22"/>
        <v>42483</v>
      </c>
      <c r="T382" s="4">
        <f t="shared" si="20"/>
        <v>42483</v>
      </c>
      <c r="U382" s="4">
        <v>42483</v>
      </c>
    </row>
    <row r="383" spans="1:21" x14ac:dyDescent="0.3">
      <c r="A383" t="s">
        <v>744</v>
      </c>
      <c r="B383" s="1" t="s">
        <v>95</v>
      </c>
      <c r="C383" s="1" t="s">
        <v>96</v>
      </c>
      <c r="D383" s="1" t="s">
        <v>13</v>
      </c>
      <c r="E383" s="2">
        <v>43111</v>
      </c>
      <c r="F383" s="2" t="b">
        <f t="shared" si="23"/>
        <v>1</v>
      </c>
      <c r="G383" s="2">
        <f t="shared" si="21"/>
        <v>43111</v>
      </c>
      <c r="H383" s="1" t="s">
        <v>36</v>
      </c>
      <c r="I383" s="1" t="s">
        <v>180</v>
      </c>
      <c r="J383" s="1">
        <v>50</v>
      </c>
      <c r="K383" s="1">
        <v>44</v>
      </c>
      <c r="L383" s="3">
        <v>0.12</v>
      </c>
      <c r="N383" t="s">
        <v>3763</v>
      </c>
      <c r="S383" s="4" t="e">
        <f t="shared" si="22"/>
        <v>#NUM!</v>
      </c>
      <c r="T383" s="4" t="str">
        <f t="shared" si="20"/>
        <v/>
      </c>
      <c r="U383" s="4" t="s">
        <v>3763</v>
      </c>
    </row>
    <row r="384" spans="1:21" x14ac:dyDescent="0.3">
      <c r="A384" t="s">
        <v>745</v>
      </c>
      <c r="B384" s="1" t="s">
        <v>224</v>
      </c>
      <c r="C384" s="1" t="s">
        <v>50</v>
      </c>
      <c r="D384" s="1" t="s">
        <v>24</v>
      </c>
      <c r="E384" s="2" t="s">
        <v>3176</v>
      </c>
      <c r="F384" s="2" t="b">
        <f t="shared" si="23"/>
        <v>0</v>
      </c>
      <c r="G384" s="2">
        <f t="shared" si="21"/>
        <v>43037</v>
      </c>
      <c r="H384" s="1" t="s">
        <v>122</v>
      </c>
      <c r="I384" s="1" t="s">
        <v>225</v>
      </c>
      <c r="J384" s="1">
        <v>50</v>
      </c>
      <c r="K384" s="1">
        <v>48</v>
      </c>
      <c r="L384" s="3">
        <v>0.04</v>
      </c>
      <c r="N384" t="s">
        <v>3176</v>
      </c>
      <c r="P384">
        <v>10</v>
      </c>
      <c r="Q384">
        <v>29</v>
      </c>
      <c r="R384">
        <v>2017</v>
      </c>
      <c r="S384" s="4">
        <f t="shared" si="22"/>
        <v>43037</v>
      </c>
      <c r="T384" s="4">
        <f t="shared" si="20"/>
        <v>43037</v>
      </c>
      <c r="U384" s="4">
        <v>43037</v>
      </c>
    </row>
    <row r="385" spans="1:21" x14ac:dyDescent="0.3">
      <c r="A385" t="s">
        <v>746</v>
      </c>
      <c r="B385" s="1" t="s">
        <v>134</v>
      </c>
      <c r="C385" s="1" t="s">
        <v>92</v>
      </c>
      <c r="D385" s="1" t="s">
        <v>35</v>
      </c>
      <c r="E385" s="2" t="s">
        <v>3177</v>
      </c>
      <c r="F385" s="2" t="b">
        <f t="shared" si="23"/>
        <v>0</v>
      </c>
      <c r="G385" s="2">
        <f t="shared" si="21"/>
        <v>42794</v>
      </c>
      <c r="H385" s="1" t="s">
        <v>14</v>
      </c>
      <c r="I385" s="1" t="s">
        <v>747</v>
      </c>
      <c r="J385" s="1">
        <v>80</v>
      </c>
      <c r="K385" s="1">
        <v>72</v>
      </c>
      <c r="L385" s="3">
        <v>0.1</v>
      </c>
      <c r="N385" t="s">
        <v>3177</v>
      </c>
      <c r="P385">
        <v>2</v>
      </c>
      <c r="Q385">
        <v>28</v>
      </c>
      <c r="R385">
        <v>2017</v>
      </c>
      <c r="S385" s="4">
        <f t="shared" si="22"/>
        <v>42794</v>
      </c>
      <c r="T385" s="4">
        <f t="shared" si="20"/>
        <v>42794</v>
      </c>
      <c r="U385" s="4">
        <v>42794</v>
      </c>
    </row>
    <row r="386" spans="1:21" x14ac:dyDescent="0.3">
      <c r="A386" t="s">
        <v>748</v>
      </c>
      <c r="B386" s="1" t="s">
        <v>205</v>
      </c>
      <c r="C386" s="1" t="s">
        <v>206</v>
      </c>
      <c r="D386" s="1" t="s">
        <v>24</v>
      </c>
      <c r="E386" s="2">
        <v>42044</v>
      </c>
      <c r="F386" s="2" t="b">
        <f t="shared" si="23"/>
        <v>1</v>
      </c>
      <c r="G386" s="2">
        <f t="shared" si="21"/>
        <v>42044</v>
      </c>
      <c r="H386" s="1" t="s">
        <v>122</v>
      </c>
      <c r="I386" s="1" t="s">
        <v>596</v>
      </c>
      <c r="J386" s="1">
        <v>50</v>
      </c>
      <c r="K386" s="1">
        <v>32</v>
      </c>
      <c r="L386" s="3">
        <v>0.36</v>
      </c>
      <c r="N386" t="s">
        <v>3763</v>
      </c>
      <c r="S386" s="4" t="e">
        <f t="shared" si="22"/>
        <v>#NUM!</v>
      </c>
      <c r="T386" s="4" t="str">
        <f t="shared" si="20"/>
        <v/>
      </c>
      <c r="U386" s="4" t="s">
        <v>3763</v>
      </c>
    </row>
    <row r="387" spans="1:21" x14ac:dyDescent="0.3">
      <c r="A387" t="s">
        <v>749</v>
      </c>
      <c r="B387" s="1" t="s">
        <v>221</v>
      </c>
      <c r="C387" s="1" t="s">
        <v>40</v>
      </c>
      <c r="D387" s="1" t="s">
        <v>35</v>
      </c>
      <c r="E387" s="2" t="s">
        <v>3178</v>
      </c>
      <c r="F387" s="2" t="b">
        <f t="shared" si="23"/>
        <v>0</v>
      </c>
      <c r="G387" s="2">
        <f t="shared" si="21"/>
        <v>42934</v>
      </c>
      <c r="H387" s="1" t="s">
        <v>25</v>
      </c>
      <c r="I387" s="1" t="s">
        <v>231</v>
      </c>
      <c r="J387" s="1">
        <v>700</v>
      </c>
      <c r="K387" s="1">
        <v>651</v>
      </c>
      <c r="L387" s="3">
        <v>7.0000000000000007E-2</v>
      </c>
      <c r="N387" t="s">
        <v>3178</v>
      </c>
      <c r="P387">
        <v>7</v>
      </c>
      <c r="Q387">
        <v>18</v>
      </c>
      <c r="R387">
        <v>2017</v>
      </c>
      <c r="S387" s="4">
        <f t="shared" si="22"/>
        <v>42934</v>
      </c>
      <c r="T387" s="4">
        <f t="shared" ref="T387:T450" si="24">IF(AND(P387&lt;&gt;"",Q387&lt;&gt;"",R387&lt;&gt;""),IFERROR(DATE(R387,P387,Q387),""),"")</f>
        <v>42934</v>
      </c>
      <c r="U387" s="4">
        <v>42934</v>
      </c>
    </row>
    <row r="388" spans="1:21" x14ac:dyDescent="0.3">
      <c r="A388" t="s">
        <v>750</v>
      </c>
      <c r="B388" s="1" t="s">
        <v>127</v>
      </c>
      <c r="C388" s="1" t="s">
        <v>128</v>
      </c>
      <c r="D388" s="1" t="s">
        <v>13</v>
      </c>
      <c r="E388" s="2">
        <v>42799</v>
      </c>
      <c r="F388" s="2" t="b">
        <f t="shared" si="23"/>
        <v>1</v>
      </c>
      <c r="G388" s="2">
        <f t="shared" ref="G388:G451" si="25">IF(F388=TRUE,E388,U388)</f>
        <v>42799</v>
      </c>
      <c r="H388" s="1" t="s">
        <v>122</v>
      </c>
      <c r="I388" s="1" t="s">
        <v>210</v>
      </c>
      <c r="J388" s="1">
        <v>50</v>
      </c>
      <c r="K388" s="1">
        <v>49</v>
      </c>
      <c r="L388" s="3">
        <v>0.02</v>
      </c>
      <c r="N388" t="s">
        <v>3763</v>
      </c>
      <c r="S388" s="4" t="e">
        <f t="shared" ref="S388:S451" si="26">DATE(R388,P388,Q388)</f>
        <v>#NUM!</v>
      </c>
      <c r="T388" s="4" t="str">
        <f t="shared" si="24"/>
        <v/>
      </c>
      <c r="U388" s="4" t="s">
        <v>3763</v>
      </c>
    </row>
    <row r="389" spans="1:21" x14ac:dyDescent="0.3">
      <c r="A389" t="s">
        <v>751</v>
      </c>
      <c r="B389" s="1" t="s">
        <v>99</v>
      </c>
      <c r="C389" s="1" t="s">
        <v>100</v>
      </c>
      <c r="D389" s="1" t="s">
        <v>13</v>
      </c>
      <c r="E389" s="2">
        <v>43293</v>
      </c>
      <c r="F389" s="2" t="b">
        <f t="shared" ref="F389:F452" si="27">ISNUMBER(E389)</f>
        <v>1</v>
      </c>
      <c r="G389" s="2">
        <f t="shared" si="25"/>
        <v>43293</v>
      </c>
      <c r="H389" s="1" t="s">
        <v>46</v>
      </c>
      <c r="I389" s="1" t="s">
        <v>752</v>
      </c>
      <c r="J389" s="1">
        <v>500</v>
      </c>
      <c r="K389" s="1">
        <v>440</v>
      </c>
      <c r="L389" s="3">
        <v>0.12</v>
      </c>
      <c r="N389" t="s">
        <v>3763</v>
      </c>
      <c r="S389" s="4" t="e">
        <f t="shared" si="26"/>
        <v>#NUM!</v>
      </c>
      <c r="T389" s="4" t="str">
        <f t="shared" si="24"/>
        <v/>
      </c>
      <c r="U389" s="4" t="s">
        <v>3763</v>
      </c>
    </row>
    <row r="390" spans="1:21" x14ac:dyDescent="0.3">
      <c r="A390" t="s">
        <v>753</v>
      </c>
      <c r="B390" s="1" t="s">
        <v>187</v>
      </c>
      <c r="C390" s="1" t="s">
        <v>188</v>
      </c>
      <c r="D390" s="1" t="s">
        <v>13</v>
      </c>
      <c r="E390" s="2" t="s">
        <v>3172</v>
      </c>
      <c r="F390" s="2" t="b">
        <f t="shared" si="27"/>
        <v>0</v>
      </c>
      <c r="G390" s="2">
        <f t="shared" si="25"/>
        <v>43277</v>
      </c>
      <c r="H390" s="1" t="s">
        <v>61</v>
      </c>
      <c r="I390" s="1" t="s">
        <v>237</v>
      </c>
      <c r="J390" s="1">
        <v>1000</v>
      </c>
      <c r="K390" s="1">
        <v>680</v>
      </c>
      <c r="L390" s="3">
        <v>0.32</v>
      </c>
      <c r="N390" t="s">
        <v>3172</v>
      </c>
      <c r="P390">
        <v>6</v>
      </c>
      <c r="Q390">
        <v>26</v>
      </c>
      <c r="R390">
        <v>2018</v>
      </c>
      <c r="S390" s="4">
        <f t="shared" si="26"/>
        <v>43277</v>
      </c>
      <c r="T390" s="4">
        <f t="shared" si="24"/>
        <v>43277</v>
      </c>
      <c r="U390" s="4">
        <v>43277</v>
      </c>
    </row>
    <row r="391" spans="1:21" x14ac:dyDescent="0.3">
      <c r="A391" t="s">
        <v>754</v>
      </c>
      <c r="B391" s="1" t="s">
        <v>33</v>
      </c>
      <c r="C391" s="1" t="s">
        <v>34</v>
      </c>
      <c r="D391" s="1" t="s">
        <v>35</v>
      </c>
      <c r="E391" s="2">
        <v>42165</v>
      </c>
      <c r="F391" s="2" t="b">
        <f t="shared" si="27"/>
        <v>1</v>
      </c>
      <c r="G391" s="2">
        <f t="shared" si="25"/>
        <v>42165</v>
      </c>
      <c r="H391" s="1" t="s">
        <v>25</v>
      </c>
      <c r="I391" s="1" t="s">
        <v>197</v>
      </c>
      <c r="J391" s="1">
        <v>700</v>
      </c>
      <c r="K391" s="1">
        <v>637</v>
      </c>
      <c r="L391" s="3">
        <v>0.09</v>
      </c>
      <c r="N391" t="s">
        <v>3763</v>
      </c>
      <c r="S391" s="4" t="e">
        <f t="shared" si="26"/>
        <v>#NUM!</v>
      </c>
      <c r="T391" s="4" t="str">
        <f t="shared" si="24"/>
        <v/>
      </c>
      <c r="U391" s="4" t="s">
        <v>3763</v>
      </c>
    </row>
    <row r="392" spans="1:21" x14ac:dyDescent="0.3">
      <c r="A392" t="s">
        <v>755</v>
      </c>
      <c r="B392" s="1" t="s">
        <v>114</v>
      </c>
      <c r="C392" s="1" t="s">
        <v>54</v>
      </c>
      <c r="D392" s="1" t="s">
        <v>13</v>
      </c>
      <c r="E392" s="2" t="s">
        <v>3179</v>
      </c>
      <c r="F392" s="2" t="b">
        <f t="shared" si="27"/>
        <v>0</v>
      </c>
      <c r="G392" s="2">
        <f t="shared" si="25"/>
        <v>41784</v>
      </c>
      <c r="H392" s="1" t="s">
        <v>36</v>
      </c>
      <c r="I392" s="1" t="s">
        <v>476</v>
      </c>
      <c r="J392" s="1">
        <v>50</v>
      </c>
      <c r="K392" s="1">
        <v>43</v>
      </c>
      <c r="L392" s="3">
        <v>0.14000000000000001</v>
      </c>
      <c r="N392" t="s">
        <v>3179</v>
      </c>
      <c r="P392">
        <v>5</v>
      </c>
      <c r="Q392">
        <v>25</v>
      </c>
      <c r="R392">
        <v>2014</v>
      </c>
      <c r="S392" s="4">
        <f t="shared" si="26"/>
        <v>41784</v>
      </c>
      <c r="T392" s="4">
        <f t="shared" si="24"/>
        <v>41784</v>
      </c>
      <c r="U392" s="4">
        <v>41784</v>
      </c>
    </row>
    <row r="393" spans="1:21" x14ac:dyDescent="0.3">
      <c r="A393" t="s">
        <v>756</v>
      </c>
      <c r="B393" s="1" t="s">
        <v>70</v>
      </c>
      <c r="C393" s="1" t="s">
        <v>71</v>
      </c>
      <c r="D393" s="1" t="s">
        <v>35</v>
      </c>
      <c r="E393" s="2" t="s">
        <v>3180</v>
      </c>
      <c r="F393" s="2" t="b">
        <f t="shared" si="27"/>
        <v>0</v>
      </c>
      <c r="G393" s="2">
        <f t="shared" si="25"/>
        <v>42546</v>
      </c>
      <c r="H393" s="1" t="s">
        <v>41</v>
      </c>
      <c r="I393" s="1" t="s">
        <v>73</v>
      </c>
      <c r="J393" s="1">
        <v>30</v>
      </c>
      <c r="K393" s="1">
        <v>29</v>
      </c>
      <c r="L393" s="3">
        <v>3.3300000000000003E-2</v>
      </c>
      <c r="N393" t="s">
        <v>3180</v>
      </c>
      <c r="P393">
        <v>6</v>
      </c>
      <c r="Q393">
        <v>25</v>
      </c>
      <c r="R393">
        <v>2016</v>
      </c>
      <c r="S393" s="4">
        <f t="shared" si="26"/>
        <v>42546</v>
      </c>
      <c r="T393" s="4">
        <f t="shared" si="24"/>
        <v>42546</v>
      </c>
      <c r="U393" s="4">
        <v>42546</v>
      </c>
    </row>
    <row r="394" spans="1:21" x14ac:dyDescent="0.3">
      <c r="A394" t="s">
        <v>757</v>
      </c>
      <c r="B394" s="1" t="s">
        <v>59</v>
      </c>
      <c r="C394" s="1" t="s">
        <v>60</v>
      </c>
      <c r="D394" s="1" t="s">
        <v>13</v>
      </c>
      <c r="E394" s="2">
        <v>42834</v>
      </c>
      <c r="F394" s="2" t="b">
        <f t="shared" si="27"/>
        <v>1</v>
      </c>
      <c r="G394" s="2">
        <f t="shared" si="25"/>
        <v>42834</v>
      </c>
      <c r="H394" s="1" t="s">
        <v>36</v>
      </c>
      <c r="I394" s="1" t="s">
        <v>312</v>
      </c>
      <c r="J394" s="1">
        <v>50</v>
      </c>
      <c r="K394" s="1">
        <v>47</v>
      </c>
      <c r="L394" s="3">
        <v>0.06</v>
      </c>
      <c r="N394" t="s">
        <v>3763</v>
      </c>
      <c r="S394" s="4" t="e">
        <f t="shared" si="26"/>
        <v>#NUM!</v>
      </c>
      <c r="T394" s="4" t="str">
        <f t="shared" si="24"/>
        <v/>
      </c>
      <c r="U394" s="4" t="s">
        <v>3763</v>
      </c>
    </row>
    <row r="395" spans="1:21" x14ac:dyDescent="0.3">
      <c r="A395" t="s">
        <v>758</v>
      </c>
      <c r="B395" s="1" t="s">
        <v>205</v>
      </c>
      <c r="C395" s="1" t="s">
        <v>206</v>
      </c>
      <c r="D395" s="1" t="s">
        <v>24</v>
      </c>
      <c r="E395" s="2">
        <v>42102</v>
      </c>
      <c r="F395" s="2" t="b">
        <f t="shared" si="27"/>
        <v>1</v>
      </c>
      <c r="G395" s="2">
        <f t="shared" si="25"/>
        <v>42102</v>
      </c>
      <c r="H395" s="1" t="s">
        <v>30</v>
      </c>
      <c r="I395" s="1" t="s">
        <v>759</v>
      </c>
      <c r="J395" s="1">
        <v>150</v>
      </c>
      <c r="K395" s="1">
        <v>144</v>
      </c>
      <c r="L395" s="3">
        <v>0.04</v>
      </c>
      <c r="N395" t="s">
        <v>3763</v>
      </c>
      <c r="S395" s="4" t="e">
        <f t="shared" si="26"/>
        <v>#NUM!</v>
      </c>
      <c r="T395" s="4" t="str">
        <f t="shared" si="24"/>
        <v/>
      </c>
      <c r="U395" s="4" t="s">
        <v>3763</v>
      </c>
    </row>
    <row r="396" spans="1:21" x14ac:dyDescent="0.3">
      <c r="A396" t="s">
        <v>760</v>
      </c>
      <c r="B396" s="1" t="s">
        <v>174</v>
      </c>
      <c r="C396" s="1" t="s">
        <v>175</v>
      </c>
      <c r="D396" s="1" t="s">
        <v>13</v>
      </c>
      <c r="E396" s="2" t="s">
        <v>3012</v>
      </c>
      <c r="F396" s="2" t="b">
        <f t="shared" si="27"/>
        <v>0</v>
      </c>
      <c r="G396" s="2">
        <f t="shared" si="25"/>
        <v>42239</v>
      </c>
      <c r="H396" s="1" t="s">
        <v>115</v>
      </c>
      <c r="I396" s="1" t="s">
        <v>319</v>
      </c>
      <c r="J396" s="1">
        <v>250</v>
      </c>
      <c r="K396" s="1">
        <v>193</v>
      </c>
      <c r="L396" s="3">
        <v>0.22800000000000001</v>
      </c>
      <c r="N396" t="s">
        <v>3012</v>
      </c>
      <c r="P396">
        <v>8</v>
      </c>
      <c r="Q396">
        <v>23</v>
      </c>
      <c r="R396">
        <v>2015</v>
      </c>
      <c r="S396" s="4">
        <f t="shared" si="26"/>
        <v>42239</v>
      </c>
      <c r="T396" s="4">
        <f t="shared" si="24"/>
        <v>42239</v>
      </c>
      <c r="U396" s="4">
        <v>42239</v>
      </c>
    </row>
    <row r="397" spans="1:21" x14ac:dyDescent="0.3">
      <c r="A397" t="s">
        <v>761</v>
      </c>
      <c r="B397" s="1" t="s">
        <v>77</v>
      </c>
      <c r="C397" s="1" t="s">
        <v>78</v>
      </c>
      <c r="D397" s="1" t="s">
        <v>35</v>
      </c>
      <c r="E397" s="2">
        <v>42644</v>
      </c>
      <c r="F397" s="2" t="b">
        <f t="shared" si="27"/>
        <v>1</v>
      </c>
      <c r="G397" s="2">
        <f t="shared" si="25"/>
        <v>42644</v>
      </c>
      <c r="H397" s="1" t="s">
        <v>55</v>
      </c>
      <c r="I397" s="1" t="s">
        <v>762</v>
      </c>
      <c r="J397" s="1">
        <v>800</v>
      </c>
      <c r="K397" s="1">
        <v>800</v>
      </c>
      <c r="L397" s="3">
        <v>0</v>
      </c>
      <c r="N397" t="s">
        <v>3763</v>
      </c>
      <c r="S397" s="4" t="e">
        <f t="shared" si="26"/>
        <v>#NUM!</v>
      </c>
      <c r="T397" s="4" t="str">
        <f t="shared" si="24"/>
        <v/>
      </c>
      <c r="U397" s="4" t="s">
        <v>3763</v>
      </c>
    </row>
    <row r="398" spans="1:21" x14ac:dyDescent="0.3">
      <c r="A398" t="s">
        <v>763</v>
      </c>
      <c r="B398" s="1" t="s">
        <v>434</v>
      </c>
      <c r="C398" s="1" t="s">
        <v>435</v>
      </c>
      <c r="D398" s="1" t="s">
        <v>24</v>
      </c>
      <c r="E398" s="2" t="s">
        <v>3181</v>
      </c>
      <c r="F398" s="2" t="b">
        <f t="shared" si="27"/>
        <v>0</v>
      </c>
      <c r="G398" s="2">
        <f t="shared" si="25"/>
        <v>42336</v>
      </c>
      <c r="H398" s="1" t="s">
        <v>25</v>
      </c>
      <c r="I398" s="1" t="s">
        <v>764</v>
      </c>
      <c r="J398" s="1">
        <v>700</v>
      </c>
      <c r="K398" s="1">
        <v>441</v>
      </c>
      <c r="L398" s="3">
        <v>0.37</v>
      </c>
      <c r="N398" t="s">
        <v>3181</v>
      </c>
      <c r="P398">
        <v>11</v>
      </c>
      <c r="Q398">
        <v>28</v>
      </c>
      <c r="R398">
        <v>2015</v>
      </c>
      <c r="S398" s="4">
        <f t="shared" si="26"/>
        <v>42336</v>
      </c>
      <c r="T398" s="4">
        <f t="shared" si="24"/>
        <v>42336</v>
      </c>
      <c r="U398" s="4">
        <v>42336</v>
      </c>
    </row>
    <row r="399" spans="1:21" x14ac:dyDescent="0.3">
      <c r="A399" t="s">
        <v>765</v>
      </c>
      <c r="B399" s="1" t="s">
        <v>150</v>
      </c>
      <c r="C399" s="1" t="s">
        <v>151</v>
      </c>
      <c r="D399" s="1" t="s">
        <v>13</v>
      </c>
      <c r="E399" s="2" t="s">
        <v>3182</v>
      </c>
      <c r="F399" s="2" t="b">
        <f t="shared" si="27"/>
        <v>0</v>
      </c>
      <c r="G399" s="2">
        <f t="shared" si="25"/>
        <v>42570</v>
      </c>
      <c r="H399" s="1" t="s">
        <v>104</v>
      </c>
      <c r="I399" s="1" t="s">
        <v>152</v>
      </c>
      <c r="J399" s="1">
        <v>70</v>
      </c>
      <c r="K399" s="1">
        <v>60</v>
      </c>
      <c r="L399" s="3">
        <v>0.1429</v>
      </c>
      <c r="N399" t="s">
        <v>3182</v>
      </c>
      <c r="P399">
        <v>7</v>
      </c>
      <c r="Q399">
        <v>19</v>
      </c>
      <c r="R399">
        <v>2016</v>
      </c>
      <c r="S399" s="4">
        <f t="shared" si="26"/>
        <v>42570</v>
      </c>
      <c r="T399" s="4">
        <f t="shared" si="24"/>
        <v>42570</v>
      </c>
      <c r="U399" s="4">
        <v>42570</v>
      </c>
    </row>
    <row r="400" spans="1:21" x14ac:dyDescent="0.3">
      <c r="A400" t="s">
        <v>766</v>
      </c>
      <c r="B400" s="1" t="s">
        <v>39</v>
      </c>
      <c r="C400" s="1" t="s">
        <v>40</v>
      </c>
      <c r="D400" s="1" t="s">
        <v>35</v>
      </c>
      <c r="E400" s="2">
        <v>43077</v>
      </c>
      <c r="F400" s="2" t="b">
        <f t="shared" si="27"/>
        <v>1</v>
      </c>
      <c r="G400" s="2">
        <f t="shared" si="25"/>
        <v>43077</v>
      </c>
      <c r="H400" s="1" t="s">
        <v>46</v>
      </c>
      <c r="I400" s="1" t="s">
        <v>164</v>
      </c>
      <c r="J400" s="1">
        <v>500</v>
      </c>
      <c r="K400" s="1">
        <v>495</v>
      </c>
      <c r="L400" s="3">
        <v>0.01</v>
      </c>
      <c r="N400" t="s">
        <v>3763</v>
      </c>
      <c r="S400" s="4" t="e">
        <f t="shared" si="26"/>
        <v>#NUM!</v>
      </c>
      <c r="T400" s="4" t="str">
        <f t="shared" si="24"/>
        <v/>
      </c>
      <c r="U400" s="4" t="s">
        <v>3763</v>
      </c>
    </row>
    <row r="401" spans="1:21" x14ac:dyDescent="0.3">
      <c r="A401" t="s">
        <v>767</v>
      </c>
      <c r="B401" s="1" t="s">
        <v>187</v>
      </c>
      <c r="C401" s="1" t="s">
        <v>188</v>
      </c>
      <c r="D401" s="1" t="s">
        <v>13</v>
      </c>
      <c r="E401" s="2">
        <v>42774</v>
      </c>
      <c r="F401" s="2" t="b">
        <f t="shared" si="27"/>
        <v>1</v>
      </c>
      <c r="G401" s="2">
        <f t="shared" si="25"/>
        <v>42774</v>
      </c>
      <c r="H401" s="1" t="s">
        <v>41</v>
      </c>
      <c r="I401" s="1" t="s">
        <v>415</v>
      </c>
      <c r="J401" s="1">
        <v>30</v>
      </c>
      <c r="K401" s="1">
        <v>29</v>
      </c>
      <c r="L401" s="3">
        <v>3.3300000000000003E-2</v>
      </c>
      <c r="N401" t="s">
        <v>3763</v>
      </c>
      <c r="S401" s="4" t="e">
        <f t="shared" si="26"/>
        <v>#NUM!</v>
      </c>
      <c r="T401" s="4" t="str">
        <f t="shared" si="24"/>
        <v/>
      </c>
      <c r="U401" s="4" t="s">
        <v>3763</v>
      </c>
    </row>
    <row r="402" spans="1:21" x14ac:dyDescent="0.3">
      <c r="A402" t="s">
        <v>768</v>
      </c>
      <c r="B402" s="1" t="s">
        <v>95</v>
      </c>
      <c r="C402" s="1" t="s">
        <v>96</v>
      </c>
      <c r="D402" s="1" t="s">
        <v>13</v>
      </c>
      <c r="E402" s="2" t="s">
        <v>3183</v>
      </c>
      <c r="F402" s="2" t="b">
        <f t="shared" si="27"/>
        <v>0</v>
      </c>
      <c r="G402" s="2">
        <f t="shared" si="25"/>
        <v>43371</v>
      </c>
      <c r="H402" s="1" t="s">
        <v>41</v>
      </c>
      <c r="I402" s="1" t="s">
        <v>769</v>
      </c>
      <c r="J402" s="1">
        <v>30</v>
      </c>
      <c r="K402" s="1">
        <v>29</v>
      </c>
      <c r="L402" s="3">
        <v>3.3300000000000003E-2</v>
      </c>
      <c r="N402" t="s">
        <v>3183</v>
      </c>
      <c r="P402">
        <v>9</v>
      </c>
      <c r="Q402">
        <v>28</v>
      </c>
      <c r="R402">
        <v>2018</v>
      </c>
      <c r="S402" s="4">
        <f t="shared" si="26"/>
        <v>43371</v>
      </c>
      <c r="T402" s="4">
        <f t="shared" si="24"/>
        <v>43371</v>
      </c>
      <c r="U402" s="4">
        <v>43371</v>
      </c>
    </row>
    <row r="403" spans="1:21" x14ac:dyDescent="0.3">
      <c r="A403" t="s">
        <v>770</v>
      </c>
      <c r="B403" s="1" t="s">
        <v>150</v>
      </c>
      <c r="C403" s="1" t="s">
        <v>151</v>
      </c>
      <c r="D403" s="1" t="s">
        <v>13</v>
      </c>
      <c r="E403" s="2" t="s">
        <v>3184</v>
      </c>
      <c r="F403" s="2" t="b">
        <f t="shared" si="27"/>
        <v>0</v>
      </c>
      <c r="G403" s="2">
        <f t="shared" si="25"/>
        <v>42845</v>
      </c>
      <c r="H403" s="1" t="s">
        <v>72</v>
      </c>
      <c r="I403" s="1" t="s">
        <v>771</v>
      </c>
      <c r="J403" s="1">
        <v>500</v>
      </c>
      <c r="K403" s="1">
        <v>500</v>
      </c>
      <c r="L403" s="3">
        <v>0</v>
      </c>
      <c r="N403" t="s">
        <v>3184</v>
      </c>
      <c r="P403">
        <v>4</v>
      </c>
      <c r="Q403">
        <v>20</v>
      </c>
      <c r="R403">
        <v>2017</v>
      </c>
      <c r="S403" s="4">
        <f t="shared" si="26"/>
        <v>42845</v>
      </c>
      <c r="T403" s="4">
        <f t="shared" si="24"/>
        <v>42845</v>
      </c>
      <c r="U403" s="4">
        <v>42845</v>
      </c>
    </row>
    <row r="404" spans="1:21" x14ac:dyDescent="0.3">
      <c r="A404" t="s">
        <v>772</v>
      </c>
      <c r="B404" s="1" t="s">
        <v>174</v>
      </c>
      <c r="C404" s="1" t="s">
        <v>175</v>
      </c>
      <c r="D404" s="1" t="s">
        <v>13</v>
      </c>
      <c r="E404" s="2" t="s">
        <v>3185</v>
      </c>
      <c r="F404" s="2" t="b">
        <f t="shared" si="27"/>
        <v>0</v>
      </c>
      <c r="G404" s="2">
        <f t="shared" si="25"/>
        <v>41653</v>
      </c>
      <c r="H404" s="1" t="s">
        <v>61</v>
      </c>
      <c r="I404" s="1" t="s">
        <v>607</v>
      </c>
      <c r="J404" s="1">
        <v>1000</v>
      </c>
      <c r="K404" s="1">
        <v>510</v>
      </c>
      <c r="L404" s="3">
        <v>0.49</v>
      </c>
      <c r="N404" t="s">
        <v>3185</v>
      </c>
      <c r="P404">
        <v>1</v>
      </c>
      <c r="Q404">
        <v>14</v>
      </c>
      <c r="R404">
        <v>2014</v>
      </c>
      <c r="S404" s="4">
        <f t="shared" si="26"/>
        <v>41653</v>
      </c>
      <c r="T404" s="4">
        <f t="shared" si="24"/>
        <v>41653</v>
      </c>
      <c r="U404" s="4">
        <v>41653</v>
      </c>
    </row>
    <row r="405" spans="1:21" x14ac:dyDescent="0.3">
      <c r="A405" t="s">
        <v>773</v>
      </c>
      <c r="B405" s="1" t="s">
        <v>224</v>
      </c>
      <c r="C405" s="1" t="s">
        <v>50</v>
      </c>
      <c r="D405" s="1" t="s">
        <v>24</v>
      </c>
      <c r="E405" s="2">
        <v>42313</v>
      </c>
      <c r="F405" s="2" t="b">
        <f t="shared" si="27"/>
        <v>1</v>
      </c>
      <c r="G405" s="2">
        <f t="shared" si="25"/>
        <v>42313</v>
      </c>
      <c r="H405" s="1" t="s">
        <v>55</v>
      </c>
      <c r="I405" s="1" t="s">
        <v>774</v>
      </c>
      <c r="J405" s="1">
        <v>800</v>
      </c>
      <c r="K405" s="1">
        <v>488</v>
      </c>
      <c r="L405" s="3">
        <v>0.39</v>
      </c>
      <c r="N405" t="s">
        <v>3763</v>
      </c>
      <c r="S405" s="4" t="e">
        <f t="shared" si="26"/>
        <v>#NUM!</v>
      </c>
      <c r="T405" s="4" t="str">
        <f t="shared" si="24"/>
        <v/>
      </c>
      <c r="U405" s="4" t="s">
        <v>3763</v>
      </c>
    </row>
    <row r="406" spans="1:21" x14ac:dyDescent="0.3">
      <c r="A406" t="s">
        <v>775</v>
      </c>
      <c r="B406" s="1" t="s">
        <v>17</v>
      </c>
      <c r="C406" s="1" t="s">
        <v>18</v>
      </c>
      <c r="D406" s="1" t="s">
        <v>19</v>
      </c>
      <c r="E406" s="2" t="s">
        <v>3186</v>
      </c>
      <c r="F406" s="2" t="b">
        <f t="shared" si="27"/>
        <v>0</v>
      </c>
      <c r="G406" s="2">
        <f t="shared" si="25"/>
        <v>42719</v>
      </c>
      <c r="H406" s="1" t="s">
        <v>36</v>
      </c>
      <c r="I406" s="1" t="s">
        <v>776</v>
      </c>
      <c r="J406" s="1">
        <v>50</v>
      </c>
      <c r="K406" s="1">
        <v>49</v>
      </c>
      <c r="L406" s="3">
        <v>0.02</v>
      </c>
      <c r="N406" t="s">
        <v>3186</v>
      </c>
      <c r="P406">
        <v>12</v>
      </c>
      <c r="Q406">
        <v>15</v>
      </c>
      <c r="R406">
        <v>2016</v>
      </c>
      <c r="S406" s="4">
        <f t="shared" si="26"/>
        <v>42719</v>
      </c>
      <c r="T406" s="4">
        <f t="shared" si="24"/>
        <v>42719</v>
      </c>
      <c r="U406" s="4">
        <v>42719</v>
      </c>
    </row>
    <row r="407" spans="1:21" x14ac:dyDescent="0.3">
      <c r="A407" t="s">
        <v>777</v>
      </c>
      <c r="B407" s="1" t="s">
        <v>255</v>
      </c>
      <c r="C407" s="1" t="s">
        <v>256</v>
      </c>
      <c r="D407" s="1" t="s">
        <v>13</v>
      </c>
      <c r="E407" s="2">
        <v>42922</v>
      </c>
      <c r="F407" s="2" t="b">
        <f t="shared" si="27"/>
        <v>1</v>
      </c>
      <c r="G407" s="2">
        <f t="shared" si="25"/>
        <v>42922</v>
      </c>
      <c r="H407" s="1" t="s">
        <v>14</v>
      </c>
      <c r="I407" s="1" t="s">
        <v>522</v>
      </c>
      <c r="J407" s="1">
        <v>80</v>
      </c>
      <c r="K407" s="1">
        <v>78</v>
      </c>
      <c r="L407" s="3">
        <v>2.5000000000000001E-2</v>
      </c>
      <c r="N407" t="s">
        <v>3763</v>
      </c>
      <c r="S407" s="4" t="e">
        <f t="shared" si="26"/>
        <v>#NUM!</v>
      </c>
      <c r="T407" s="4" t="str">
        <f t="shared" si="24"/>
        <v/>
      </c>
      <c r="U407" s="4" t="s">
        <v>3763</v>
      </c>
    </row>
    <row r="408" spans="1:21" x14ac:dyDescent="0.3">
      <c r="A408" t="s">
        <v>778</v>
      </c>
      <c r="B408" s="1" t="s">
        <v>241</v>
      </c>
      <c r="C408" s="1" t="s">
        <v>242</v>
      </c>
      <c r="D408" s="1" t="s">
        <v>13</v>
      </c>
      <c r="E408" s="2" t="s">
        <v>3093</v>
      </c>
      <c r="F408" s="2" t="b">
        <f t="shared" si="27"/>
        <v>0</v>
      </c>
      <c r="G408" s="2">
        <f t="shared" si="25"/>
        <v>43325</v>
      </c>
      <c r="H408" s="1" t="s">
        <v>122</v>
      </c>
      <c r="I408" s="1" t="s">
        <v>779</v>
      </c>
      <c r="J408" s="1">
        <v>50</v>
      </c>
      <c r="K408" s="1">
        <v>48</v>
      </c>
      <c r="L408" s="3">
        <v>0.04</v>
      </c>
      <c r="N408" t="s">
        <v>3093</v>
      </c>
      <c r="P408">
        <v>8</v>
      </c>
      <c r="Q408">
        <v>13</v>
      </c>
      <c r="R408">
        <v>2018</v>
      </c>
      <c r="S408" s="4">
        <f t="shared" si="26"/>
        <v>43325</v>
      </c>
      <c r="T408" s="4">
        <f t="shared" si="24"/>
        <v>43325</v>
      </c>
      <c r="U408" s="4">
        <v>43325</v>
      </c>
    </row>
    <row r="409" spans="1:21" x14ac:dyDescent="0.3">
      <c r="A409" t="s">
        <v>780</v>
      </c>
      <c r="B409" s="1" t="s">
        <v>59</v>
      </c>
      <c r="C409" s="1" t="s">
        <v>60</v>
      </c>
      <c r="D409" s="1" t="s">
        <v>13</v>
      </c>
      <c r="E409" s="2" t="s">
        <v>3187</v>
      </c>
      <c r="F409" s="2" t="b">
        <f t="shared" si="27"/>
        <v>0</v>
      </c>
      <c r="G409" s="2">
        <f t="shared" si="25"/>
        <v>43190</v>
      </c>
      <c r="H409" s="1" t="s">
        <v>122</v>
      </c>
      <c r="I409" s="1" t="s">
        <v>781</v>
      </c>
      <c r="J409" s="1">
        <v>50</v>
      </c>
      <c r="K409" s="1">
        <v>50</v>
      </c>
      <c r="L409" s="3">
        <v>0</v>
      </c>
      <c r="N409" t="s">
        <v>3187</v>
      </c>
      <c r="P409">
        <v>3</v>
      </c>
      <c r="Q409">
        <v>31</v>
      </c>
      <c r="R409">
        <v>2018</v>
      </c>
      <c r="S409" s="4">
        <f t="shared" si="26"/>
        <v>43190</v>
      </c>
      <c r="T409" s="4">
        <f t="shared" si="24"/>
        <v>43190</v>
      </c>
      <c r="U409" s="4">
        <v>43190</v>
      </c>
    </row>
    <row r="410" spans="1:21" x14ac:dyDescent="0.3">
      <c r="A410" t="s">
        <v>782</v>
      </c>
      <c r="B410" s="1" t="s">
        <v>64</v>
      </c>
      <c r="C410" s="1" t="s">
        <v>65</v>
      </c>
      <c r="D410" s="1" t="s">
        <v>35</v>
      </c>
      <c r="E410" s="2" t="s">
        <v>3188</v>
      </c>
      <c r="F410" s="2" t="b">
        <f t="shared" si="27"/>
        <v>0</v>
      </c>
      <c r="G410" s="2">
        <f t="shared" si="25"/>
        <v>43397</v>
      </c>
      <c r="H410" s="1" t="s">
        <v>115</v>
      </c>
      <c r="I410" s="1" t="s">
        <v>783</v>
      </c>
      <c r="J410" s="1">
        <v>250</v>
      </c>
      <c r="K410" s="1">
        <v>250</v>
      </c>
      <c r="L410" s="3">
        <v>0</v>
      </c>
      <c r="N410" t="s">
        <v>3188</v>
      </c>
      <c r="P410">
        <v>10</v>
      </c>
      <c r="Q410">
        <v>24</v>
      </c>
      <c r="R410">
        <v>2018</v>
      </c>
      <c r="S410" s="4">
        <f t="shared" si="26"/>
        <v>43397</v>
      </c>
      <c r="T410" s="4">
        <f t="shared" si="24"/>
        <v>43397</v>
      </c>
      <c r="U410" s="4">
        <v>43397</v>
      </c>
    </row>
    <row r="411" spans="1:21" x14ac:dyDescent="0.3">
      <c r="A411" t="s">
        <v>784</v>
      </c>
      <c r="B411" s="1" t="s">
        <v>85</v>
      </c>
      <c r="C411" s="1" t="s">
        <v>86</v>
      </c>
      <c r="D411" s="1" t="s">
        <v>13</v>
      </c>
      <c r="E411" s="2">
        <v>42558</v>
      </c>
      <c r="F411" s="2" t="b">
        <f t="shared" si="27"/>
        <v>1</v>
      </c>
      <c r="G411" s="2">
        <f t="shared" si="25"/>
        <v>42558</v>
      </c>
      <c r="H411" s="1" t="s">
        <v>104</v>
      </c>
      <c r="I411" s="1" t="s">
        <v>581</v>
      </c>
      <c r="J411" s="1">
        <v>70</v>
      </c>
      <c r="K411" s="1">
        <v>67</v>
      </c>
      <c r="L411" s="3">
        <v>4.2900000000000001E-2</v>
      </c>
      <c r="N411" t="s">
        <v>3763</v>
      </c>
      <c r="S411" s="4" t="e">
        <f t="shared" si="26"/>
        <v>#NUM!</v>
      </c>
      <c r="T411" s="4" t="str">
        <f t="shared" si="24"/>
        <v/>
      </c>
      <c r="U411" s="4" t="s">
        <v>3763</v>
      </c>
    </row>
    <row r="412" spans="1:21" x14ac:dyDescent="0.3">
      <c r="A412" t="s">
        <v>785</v>
      </c>
      <c r="B412" s="1" t="s">
        <v>33</v>
      </c>
      <c r="C412" s="1" t="s">
        <v>34</v>
      </c>
      <c r="D412" s="1" t="s">
        <v>35</v>
      </c>
      <c r="E412" s="2">
        <v>43318</v>
      </c>
      <c r="F412" s="2" t="b">
        <f t="shared" si="27"/>
        <v>1</v>
      </c>
      <c r="G412" s="2">
        <f t="shared" si="25"/>
        <v>43318</v>
      </c>
      <c r="H412" s="1" t="s">
        <v>25</v>
      </c>
      <c r="I412" s="1" t="s">
        <v>37</v>
      </c>
      <c r="J412" s="1">
        <v>700</v>
      </c>
      <c r="K412" s="1">
        <v>693</v>
      </c>
      <c r="L412" s="3">
        <v>0.01</v>
      </c>
      <c r="N412" t="s">
        <v>3763</v>
      </c>
      <c r="S412" s="4" t="e">
        <f t="shared" si="26"/>
        <v>#NUM!</v>
      </c>
      <c r="T412" s="4" t="str">
        <f t="shared" si="24"/>
        <v/>
      </c>
      <c r="U412" s="4" t="s">
        <v>3763</v>
      </c>
    </row>
    <row r="413" spans="1:21" x14ac:dyDescent="0.3">
      <c r="A413" t="s">
        <v>786</v>
      </c>
      <c r="B413" s="1" t="s">
        <v>39</v>
      </c>
      <c r="C413" s="1" t="s">
        <v>40</v>
      </c>
      <c r="D413" s="1" t="s">
        <v>35</v>
      </c>
      <c r="E413" s="2" t="s">
        <v>3189</v>
      </c>
      <c r="F413" s="2" t="b">
        <f t="shared" si="27"/>
        <v>0</v>
      </c>
      <c r="G413" s="2">
        <f t="shared" si="25"/>
        <v>42944</v>
      </c>
      <c r="H413" s="1" t="s">
        <v>41</v>
      </c>
      <c r="I413" s="1" t="s">
        <v>214</v>
      </c>
      <c r="J413" s="1">
        <v>30</v>
      </c>
      <c r="K413" s="1">
        <v>27</v>
      </c>
      <c r="L413" s="3">
        <v>0.1</v>
      </c>
      <c r="N413" t="s">
        <v>3189</v>
      </c>
      <c r="P413">
        <v>7</v>
      </c>
      <c r="Q413">
        <v>28</v>
      </c>
      <c r="R413">
        <v>2017</v>
      </c>
      <c r="S413" s="4">
        <f t="shared" si="26"/>
        <v>42944</v>
      </c>
      <c r="T413" s="4">
        <f t="shared" si="24"/>
        <v>42944</v>
      </c>
      <c r="U413" s="4">
        <v>42944</v>
      </c>
    </row>
    <row r="414" spans="1:21" x14ac:dyDescent="0.3">
      <c r="A414" t="s">
        <v>787</v>
      </c>
      <c r="B414" s="1" t="s">
        <v>174</v>
      </c>
      <c r="C414" s="1" t="s">
        <v>175</v>
      </c>
      <c r="D414" s="1" t="s">
        <v>13</v>
      </c>
      <c r="E414" s="2" t="s">
        <v>3190</v>
      </c>
      <c r="F414" s="2" t="b">
        <f t="shared" si="27"/>
        <v>0</v>
      </c>
      <c r="G414" s="2">
        <f t="shared" si="25"/>
        <v>42448</v>
      </c>
      <c r="H414" s="1" t="s">
        <v>36</v>
      </c>
      <c r="I414" s="1" t="s">
        <v>788</v>
      </c>
      <c r="J414" s="1">
        <v>50</v>
      </c>
      <c r="K414" s="1">
        <v>49</v>
      </c>
      <c r="L414" s="3">
        <v>0.02</v>
      </c>
      <c r="N414" t="s">
        <v>3190</v>
      </c>
      <c r="P414">
        <v>3</v>
      </c>
      <c r="Q414">
        <v>19</v>
      </c>
      <c r="R414">
        <v>2016</v>
      </c>
      <c r="S414" s="4">
        <f t="shared" si="26"/>
        <v>42448</v>
      </c>
      <c r="T414" s="4">
        <f t="shared" si="24"/>
        <v>42448</v>
      </c>
      <c r="U414" s="4">
        <v>42448</v>
      </c>
    </row>
    <row r="415" spans="1:21" x14ac:dyDescent="0.3">
      <c r="A415" t="s">
        <v>789</v>
      </c>
      <c r="B415" s="1" t="s">
        <v>28</v>
      </c>
      <c r="C415" s="1" t="s">
        <v>29</v>
      </c>
      <c r="D415" s="1" t="s">
        <v>13</v>
      </c>
      <c r="E415" s="2">
        <v>42069</v>
      </c>
      <c r="F415" s="2" t="b">
        <f t="shared" si="27"/>
        <v>1</v>
      </c>
      <c r="G415" s="2">
        <f t="shared" si="25"/>
        <v>42069</v>
      </c>
      <c r="H415" s="1" t="s">
        <v>55</v>
      </c>
      <c r="I415" s="1" t="s">
        <v>445</v>
      </c>
      <c r="J415" s="1">
        <v>800</v>
      </c>
      <c r="K415" s="1">
        <v>664</v>
      </c>
      <c r="L415" s="3">
        <v>0.17</v>
      </c>
      <c r="N415" t="s">
        <v>3763</v>
      </c>
      <c r="S415" s="4" t="e">
        <f t="shared" si="26"/>
        <v>#NUM!</v>
      </c>
      <c r="T415" s="4" t="str">
        <f t="shared" si="24"/>
        <v/>
      </c>
      <c r="U415" s="4" t="s">
        <v>3763</v>
      </c>
    </row>
    <row r="416" spans="1:21" x14ac:dyDescent="0.3">
      <c r="A416" t="s">
        <v>790</v>
      </c>
      <c r="B416" s="1" t="s">
        <v>187</v>
      </c>
      <c r="C416" s="1" t="s">
        <v>188</v>
      </c>
      <c r="D416" s="1" t="s">
        <v>13</v>
      </c>
      <c r="E416" s="2" t="s">
        <v>3191</v>
      </c>
      <c r="F416" s="2" t="b">
        <f t="shared" si="27"/>
        <v>0</v>
      </c>
      <c r="G416" s="2">
        <f t="shared" si="25"/>
        <v>42486</v>
      </c>
      <c r="H416" s="1" t="s">
        <v>55</v>
      </c>
      <c r="I416" s="1" t="s">
        <v>791</v>
      </c>
      <c r="J416" s="1">
        <v>800</v>
      </c>
      <c r="K416" s="1">
        <v>648</v>
      </c>
      <c r="L416" s="3">
        <v>0.19</v>
      </c>
      <c r="N416" t="s">
        <v>3191</v>
      </c>
      <c r="P416">
        <v>4</v>
      </c>
      <c r="Q416">
        <v>26</v>
      </c>
      <c r="R416">
        <v>2016</v>
      </c>
      <c r="S416" s="4">
        <f t="shared" si="26"/>
        <v>42486</v>
      </c>
      <c r="T416" s="4">
        <f t="shared" si="24"/>
        <v>42486</v>
      </c>
      <c r="U416" s="4">
        <v>42486</v>
      </c>
    </row>
    <row r="417" spans="1:21" x14ac:dyDescent="0.3">
      <c r="A417" t="s">
        <v>792</v>
      </c>
      <c r="B417" s="1" t="s">
        <v>131</v>
      </c>
      <c r="C417" s="1" t="s">
        <v>108</v>
      </c>
      <c r="D417" s="1" t="s">
        <v>19</v>
      </c>
      <c r="E417" s="2" t="s">
        <v>3192</v>
      </c>
      <c r="F417" s="2" t="b">
        <f t="shared" si="27"/>
        <v>0</v>
      </c>
      <c r="G417" s="2">
        <f t="shared" si="25"/>
        <v>43398</v>
      </c>
      <c r="H417" s="1" t="s">
        <v>41</v>
      </c>
      <c r="I417" s="1" t="s">
        <v>793</v>
      </c>
      <c r="J417" s="1">
        <v>30</v>
      </c>
      <c r="K417" s="1">
        <v>29</v>
      </c>
      <c r="L417" s="3">
        <v>3.3300000000000003E-2</v>
      </c>
      <c r="N417" t="s">
        <v>3192</v>
      </c>
      <c r="P417">
        <v>10</v>
      </c>
      <c r="Q417">
        <v>25</v>
      </c>
      <c r="R417">
        <v>2018</v>
      </c>
      <c r="S417" s="4">
        <f t="shared" si="26"/>
        <v>43398</v>
      </c>
      <c r="T417" s="4">
        <f t="shared" si="24"/>
        <v>43398</v>
      </c>
      <c r="U417" s="4">
        <v>43398</v>
      </c>
    </row>
    <row r="418" spans="1:21" x14ac:dyDescent="0.3">
      <c r="A418" t="s">
        <v>794</v>
      </c>
      <c r="B418" s="1" t="s">
        <v>53</v>
      </c>
      <c r="C418" s="1" t="s">
        <v>54</v>
      </c>
      <c r="D418" s="1" t="s">
        <v>13</v>
      </c>
      <c r="E418" s="2" t="s">
        <v>3151</v>
      </c>
      <c r="F418" s="2" t="b">
        <f t="shared" si="27"/>
        <v>0</v>
      </c>
      <c r="G418" s="2">
        <f t="shared" si="25"/>
        <v>43065</v>
      </c>
      <c r="H418" s="1" t="s">
        <v>46</v>
      </c>
      <c r="I418" s="1" t="s">
        <v>795</v>
      </c>
      <c r="J418" s="1">
        <v>500</v>
      </c>
      <c r="K418" s="1">
        <v>475</v>
      </c>
      <c r="L418" s="3">
        <v>0.05</v>
      </c>
      <c r="N418" t="s">
        <v>3151</v>
      </c>
      <c r="P418">
        <v>11</v>
      </c>
      <c r="Q418">
        <v>26</v>
      </c>
      <c r="R418">
        <v>2017</v>
      </c>
      <c r="S418" s="4">
        <f t="shared" si="26"/>
        <v>43065</v>
      </c>
      <c r="T418" s="4">
        <f t="shared" si="24"/>
        <v>43065</v>
      </c>
      <c r="U418" s="4">
        <v>43065</v>
      </c>
    </row>
    <row r="419" spans="1:21" x14ac:dyDescent="0.3">
      <c r="A419" t="s">
        <v>796</v>
      </c>
      <c r="B419" s="1" t="s">
        <v>187</v>
      </c>
      <c r="C419" s="1" t="s">
        <v>188</v>
      </c>
      <c r="D419" s="1" t="s">
        <v>13</v>
      </c>
      <c r="E419" s="2" t="s">
        <v>3193</v>
      </c>
      <c r="F419" s="2" t="b">
        <f t="shared" si="27"/>
        <v>0</v>
      </c>
      <c r="G419" s="2">
        <f t="shared" si="25"/>
        <v>42059</v>
      </c>
      <c r="H419" s="1" t="s">
        <v>72</v>
      </c>
      <c r="I419" s="1" t="s">
        <v>797</v>
      </c>
      <c r="J419" s="1">
        <v>500</v>
      </c>
      <c r="K419" s="1">
        <v>495</v>
      </c>
      <c r="L419" s="3">
        <v>0.01</v>
      </c>
      <c r="N419" t="s">
        <v>3193</v>
      </c>
      <c r="P419">
        <v>2</v>
      </c>
      <c r="Q419">
        <v>24</v>
      </c>
      <c r="R419">
        <v>2015</v>
      </c>
      <c r="S419" s="4">
        <f t="shared" si="26"/>
        <v>42059</v>
      </c>
      <c r="T419" s="4">
        <f t="shared" si="24"/>
        <v>42059</v>
      </c>
      <c r="U419" s="4">
        <v>42059</v>
      </c>
    </row>
    <row r="420" spans="1:21" x14ac:dyDescent="0.3">
      <c r="A420" t="s">
        <v>798</v>
      </c>
      <c r="B420" s="1" t="s">
        <v>11</v>
      </c>
      <c r="C420" s="1" t="s">
        <v>12</v>
      </c>
      <c r="D420" s="1" t="s">
        <v>13</v>
      </c>
      <c r="E420" s="2" t="s">
        <v>3194</v>
      </c>
      <c r="F420" s="2" t="b">
        <f t="shared" si="27"/>
        <v>0</v>
      </c>
      <c r="G420" s="2">
        <f t="shared" si="25"/>
        <v>41998</v>
      </c>
      <c r="H420" s="1" t="s">
        <v>61</v>
      </c>
      <c r="I420" s="1" t="s">
        <v>276</v>
      </c>
      <c r="J420" s="1">
        <v>1000</v>
      </c>
      <c r="K420" s="1">
        <v>580</v>
      </c>
      <c r="L420" s="3">
        <v>0.42</v>
      </c>
      <c r="N420" t="s">
        <v>3194</v>
      </c>
      <c r="P420">
        <v>12</v>
      </c>
      <c r="Q420">
        <v>25</v>
      </c>
      <c r="R420">
        <v>2014</v>
      </c>
      <c r="S420" s="4">
        <f t="shared" si="26"/>
        <v>41998</v>
      </c>
      <c r="T420" s="4">
        <f t="shared" si="24"/>
        <v>41998</v>
      </c>
      <c r="U420" s="4">
        <v>41998</v>
      </c>
    </row>
    <row r="421" spans="1:21" x14ac:dyDescent="0.3">
      <c r="A421" t="s">
        <v>799</v>
      </c>
      <c r="B421" s="1" t="s">
        <v>255</v>
      </c>
      <c r="C421" s="1" t="s">
        <v>256</v>
      </c>
      <c r="D421" s="1" t="s">
        <v>13</v>
      </c>
      <c r="E421" s="2" t="s">
        <v>3195</v>
      </c>
      <c r="F421" s="2" t="b">
        <f t="shared" si="27"/>
        <v>0</v>
      </c>
      <c r="G421" s="2">
        <f t="shared" si="25"/>
        <v>43053</v>
      </c>
      <c r="H421" s="1" t="s">
        <v>122</v>
      </c>
      <c r="I421" s="1" t="s">
        <v>800</v>
      </c>
      <c r="J421" s="1">
        <v>50</v>
      </c>
      <c r="K421" s="1">
        <v>47</v>
      </c>
      <c r="L421" s="3">
        <v>0.06</v>
      </c>
      <c r="N421" t="s">
        <v>3195</v>
      </c>
      <c r="P421">
        <v>11</v>
      </c>
      <c r="Q421">
        <v>14</v>
      </c>
      <c r="R421">
        <v>2017</v>
      </c>
      <c r="S421" s="4">
        <f t="shared" si="26"/>
        <v>43053</v>
      </c>
      <c r="T421" s="4">
        <f t="shared" si="24"/>
        <v>43053</v>
      </c>
      <c r="U421" s="4">
        <v>43053</v>
      </c>
    </row>
    <row r="422" spans="1:21" x14ac:dyDescent="0.3">
      <c r="A422" t="s">
        <v>801</v>
      </c>
      <c r="B422" s="1" t="s">
        <v>264</v>
      </c>
      <c r="C422" s="1" t="s">
        <v>265</v>
      </c>
      <c r="D422" s="1" t="s">
        <v>13</v>
      </c>
      <c r="E422" s="2">
        <v>42129</v>
      </c>
      <c r="F422" s="2" t="b">
        <f t="shared" si="27"/>
        <v>1</v>
      </c>
      <c r="G422" s="2">
        <f t="shared" si="25"/>
        <v>42129</v>
      </c>
      <c r="H422" s="1" t="s">
        <v>104</v>
      </c>
      <c r="I422" s="1" t="s">
        <v>802</v>
      </c>
      <c r="J422" s="1">
        <v>70</v>
      </c>
      <c r="K422" s="1">
        <v>48</v>
      </c>
      <c r="L422" s="3">
        <v>0.31430000000000002</v>
      </c>
      <c r="N422" t="s">
        <v>3763</v>
      </c>
      <c r="S422" s="4" t="e">
        <f t="shared" si="26"/>
        <v>#NUM!</v>
      </c>
      <c r="T422" s="4" t="str">
        <f t="shared" si="24"/>
        <v/>
      </c>
      <c r="U422" s="4" t="s">
        <v>3763</v>
      </c>
    </row>
    <row r="423" spans="1:21" x14ac:dyDescent="0.3">
      <c r="A423" t="s">
        <v>803</v>
      </c>
      <c r="B423" s="1" t="s">
        <v>187</v>
      </c>
      <c r="C423" s="1" t="s">
        <v>188</v>
      </c>
      <c r="D423" s="1" t="s">
        <v>13</v>
      </c>
      <c r="E423" s="2">
        <v>42281</v>
      </c>
      <c r="F423" s="2" t="b">
        <f t="shared" si="27"/>
        <v>1</v>
      </c>
      <c r="G423" s="2">
        <f t="shared" si="25"/>
        <v>42281</v>
      </c>
      <c r="H423" s="1" t="s">
        <v>61</v>
      </c>
      <c r="I423" s="1" t="s">
        <v>741</v>
      </c>
      <c r="J423" s="1">
        <v>1000</v>
      </c>
      <c r="K423" s="1">
        <v>750</v>
      </c>
      <c r="L423" s="3">
        <v>0.25</v>
      </c>
      <c r="N423" t="s">
        <v>3763</v>
      </c>
      <c r="S423" s="4" t="e">
        <f t="shared" si="26"/>
        <v>#NUM!</v>
      </c>
      <c r="T423" s="4" t="str">
        <f t="shared" si="24"/>
        <v/>
      </c>
      <c r="U423" s="4" t="s">
        <v>3763</v>
      </c>
    </row>
    <row r="424" spans="1:21" x14ac:dyDescent="0.3">
      <c r="A424" t="s">
        <v>804</v>
      </c>
      <c r="B424" s="1" t="s">
        <v>255</v>
      </c>
      <c r="C424" s="1" t="s">
        <v>256</v>
      </c>
      <c r="D424" s="1" t="s">
        <v>13</v>
      </c>
      <c r="E424" s="2" t="s">
        <v>3196</v>
      </c>
      <c r="F424" s="2" t="b">
        <f t="shared" si="27"/>
        <v>0</v>
      </c>
      <c r="G424" s="2">
        <f t="shared" si="25"/>
        <v>41790</v>
      </c>
      <c r="H424" s="1" t="s">
        <v>41</v>
      </c>
      <c r="I424" s="1" t="s">
        <v>805</v>
      </c>
      <c r="J424" s="1">
        <v>30</v>
      </c>
      <c r="K424" s="1">
        <v>25</v>
      </c>
      <c r="L424" s="3">
        <v>0.16669999999999999</v>
      </c>
      <c r="N424" t="s">
        <v>3196</v>
      </c>
      <c r="P424">
        <v>5</v>
      </c>
      <c r="Q424">
        <v>31</v>
      </c>
      <c r="R424">
        <v>2014</v>
      </c>
      <c r="S424" s="4">
        <f t="shared" si="26"/>
        <v>41790</v>
      </c>
      <c r="T424" s="4">
        <f t="shared" si="24"/>
        <v>41790</v>
      </c>
      <c r="U424" s="4">
        <v>41790</v>
      </c>
    </row>
    <row r="425" spans="1:21" x14ac:dyDescent="0.3">
      <c r="A425" t="s">
        <v>806</v>
      </c>
      <c r="B425" s="1" t="s">
        <v>134</v>
      </c>
      <c r="C425" s="1" t="s">
        <v>92</v>
      </c>
      <c r="D425" s="1" t="s">
        <v>35</v>
      </c>
      <c r="E425" s="2" t="s">
        <v>3197</v>
      </c>
      <c r="F425" s="2" t="b">
        <f t="shared" si="27"/>
        <v>0</v>
      </c>
      <c r="G425" s="2">
        <f t="shared" si="25"/>
        <v>43372</v>
      </c>
      <c r="H425" s="1" t="s">
        <v>41</v>
      </c>
      <c r="I425" s="1" t="s">
        <v>807</v>
      </c>
      <c r="J425" s="1">
        <v>30</v>
      </c>
      <c r="K425" s="1">
        <v>27</v>
      </c>
      <c r="L425" s="3">
        <v>0.1</v>
      </c>
      <c r="N425" t="s">
        <v>3197</v>
      </c>
      <c r="P425">
        <v>9</v>
      </c>
      <c r="Q425">
        <v>29</v>
      </c>
      <c r="R425">
        <v>2018</v>
      </c>
      <c r="S425" s="4">
        <f t="shared" si="26"/>
        <v>43372</v>
      </c>
      <c r="T425" s="4">
        <f t="shared" si="24"/>
        <v>43372</v>
      </c>
      <c r="U425" s="4">
        <v>43372</v>
      </c>
    </row>
    <row r="426" spans="1:21" x14ac:dyDescent="0.3">
      <c r="A426" t="s">
        <v>808</v>
      </c>
      <c r="B426" s="1" t="s">
        <v>270</v>
      </c>
      <c r="C426" s="1" t="s">
        <v>271</v>
      </c>
      <c r="D426" s="1" t="s">
        <v>35</v>
      </c>
      <c r="E426" s="2" t="s">
        <v>3198</v>
      </c>
      <c r="F426" s="2" t="b">
        <f t="shared" si="27"/>
        <v>0</v>
      </c>
      <c r="G426" s="2">
        <f t="shared" si="25"/>
        <v>43450</v>
      </c>
      <c r="H426" s="1" t="s">
        <v>72</v>
      </c>
      <c r="I426" s="1" t="s">
        <v>809</v>
      </c>
      <c r="J426" s="1">
        <v>500</v>
      </c>
      <c r="K426" s="1">
        <v>490</v>
      </c>
      <c r="L426" s="3">
        <v>0.02</v>
      </c>
      <c r="N426" t="s">
        <v>3198</v>
      </c>
      <c r="P426">
        <v>12</v>
      </c>
      <c r="Q426">
        <v>16</v>
      </c>
      <c r="R426">
        <v>2018</v>
      </c>
      <c r="S426" s="4">
        <f t="shared" si="26"/>
        <v>43450</v>
      </c>
      <c r="T426" s="4">
        <f t="shared" si="24"/>
        <v>43450</v>
      </c>
      <c r="U426" s="4">
        <v>43450</v>
      </c>
    </row>
    <row r="427" spans="1:21" x14ac:dyDescent="0.3">
      <c r="A427" t="s">
        <v>810</v>
      </c>
      <c r="B427" s="1" t="s">
        <v>107</v>
      </c>
      <c r="C427" s="1" t="s">
        <v>108</v>
      </c>
      <c r="D427" s="1" t="s">
        <v>19</v>
      </c>
      <c r="E427" s="2" t="s">
        <v>3199</v>
      </c>
      <c r="F427" s="2" t="b">
        <f t="shared" si="27"/>
        <v>0</v>
      </c>
      <c r="G427" s="2">
        <f t="shared" si="25"/>
        <v>42019</v>
      </c>
      <c r="H427" s="1" t="s">
        <v>72</v>
      </c>
      <c r="I427" s="1" t="s">
        <v>109</v>
      </c>
      <c r="J427" s="1">
        <v>500</v>
      </c>
      <c r="K427" s="1">
        <v>500</v>
      </c>
      <c r="L427" s="3">
        <v>0</v>
      </c>
      <c r="N427" t="s">
        <v>3199</v>
      </c>
      <c r="P427">
        <v>1</v>
      </c>
      <c r="Q427">
        <v>15</v>
      </c>
      <c r="R427">
        <v>2015</v>
      </c>
      <c r="S427" s="4">
        <f t="shared" si="26"/>
        <v>42019</v>
      </c>
      <c r="T427" s="4">
        <f t="shared" si="24"/>
        <v>42019</v>
      </c>
      <c r="U427" s="4">
        <v>42019</v>
      </c>
    </row>
    <row r="428" spans="1:21" x14ac:dyDescent="0.3">
      <c r="A428" t="s">
        <v>811</v>
      </c>
      <c r="B428" s="1" t="s">
        <v>127</v>
      </c>
      <c r="C428" s="1" t="s">
        <v>128</v>
      </c>
      <c r="D428" s="1" t="s">
        <v>13</v>
      </c>
      <c r="E428" s="2">
        <v>41736</v>
      </c>
      <c r="F428" s="2" t="b">
        <f t="shared" si="27"/>
        <v>1</v>
      </c>
      <c r="G428" s="2">
        <f t="shared" si="25"/>
        <v>41736</v>
      </c>
      <c r="H428" s="1" t="s">
        <v>72</v>
      </c>
      <c r="I428" s="1" t="s">
        <v>210</v>
      </c>
      <c r="J428" s="1">
        <v>500</v>
      </c>
      <c r="K428" s="1">
        <v>495</v>
      </c>
      <c r="L428" s="3">
        <v>0.01</v>
      </c>
      <c r="N428" t="s">
        <v>3763</v>
      </c>
      <c r="S428" s="4" t="e">
        <f t="shared" si="26"/>
        <v>#NUM!</v>
      </c>
      <c r="T428" s="4" t="str">
        <f t="shared" si="24"/>
        <v/>
      </c>
      <c r="U428" s="4" t="s">
        <v>3763</v>
      </c>
    </row>
    <row r="429" spans="1:21" x14ac:dyDescent="0.3">
      <c r="A429" t="s">
        <v>812</v>
      </c>
      <c r="B429" s="1" t="s">
        <v>434</v>
      </c>
      <c r="C429" s="1" t="s">
        <v>435</v>
      </c>
      <c r="D429" s="1" t="s">
        <v>24</v>
      </c>
      <c r="E429" s="2" t="s">
        <v>3200</v>
      </c>
      <c r="F429" s="2" t="b">
        <f t="shared" si="27"/>
        <v>0</v>
      </c>
      <c r="G429" s="2">
        <f t="shared" si="25"/>
        <v>41780</v>
      </c>
      <c r="H429" s="1" t="s">
        <v>30</v>
      </c>
      <c r="I429" s="1" t="s">
        <v>550</v>
      </c>
      <c r="J429" s="1">
        <v>150</v>
      </c>
      <c r="K429" s="1">
        <v>119</v>
      </c>
      <c r="L429" s="3">
        <v>0.20669999999999999</v>
      </c>
      <c r="N429" t="s">
        <v>3200</v>
      </c>
      <c r="P429">
        <v>5</v>
      </c>
      <c r="Q429">
        <v>21</v>
      </c>
      <c r="R429">
        <v>2014</v>
      </c>
      <c r="S429" s="4">
        <f t="shared" si="26"/>
        <v>41780</v>
      </c>
      <c r="T429" s="4">
        <f t="shared" si="24"/>
        <v>41780</v>
      </c>
      <c r="U429" s="4">
        <v>41780</v>
      </c>
    </row>
    <row r="430" spans="1:21" x14ac:dyDescent="0.3">
      <c r="A430" t="s">
        <v>813</v>
      </c>
      <c r="B430" s="1" t="s">
        <v>53</v>
      </c>
      <c r="C430" s="1" t="s">
        <v>54</v>
      </c>
      <c r="D430" s="1" t="s">
        <v>13</v>
      </c>
      <c r="E430" s="2" t="s">
        <v>3201</v>
      </c>
      <c r="F430" s="2" t="b">
        <f t="shared" si="27"/>
        <v>0</v>
      </c>
      <c r="G430" s="2">
        <f t="shared" si="25"/>
        <v>41684</v>
      </c>
      <c r="H430" s="1" t="s">
        <v>14</v>
      </c>
      <c r="I430" s="1" t="s">
        <v>814</v>
      </c>
      <c r="J430" s="1">
        <v>80</v>
      </c>
      <c r="K430" s="1">
        <v>79</v>
      </c>
      <c r="L430" s="3">
        <v>1.2500000000000001E-2</v>
      </c>
      <c r="N430" t="s">
        <v>3201</v>
      </c>
      <c r="P430">
        <v>2</v>
      </c>
      <c r="Q430">
        <v>14</v>
      </c>
      <c r="R430">
        <v>2014</v>
      </c>
      <c r="S430" s="4">
        <f t="shared" si="26"/>
        <v>41684</v>
      </c>
      <c r="T430" s="4">
        <f t="shared" si="24"/>
        <v>41684</v>
      </c>
      <c r="U430" s="4">
        <v>41684</v>
      </c>
    </row>
    <row r="431" spans="1:21" x14ac:dyDescent="0.3">
      <c r="A431" t="s">
        <v>815</v>
      </c>
      <c r="B431" s="1" t="s">
        <v>400</v>
      </c>
      <c r="C431" s="1" t="s">
        <v>401</v>
      </c>
      <c r="D431" s="1" t="s">
        <v>13</v>
      </c>
      <c r="E431" s="2">
        <v>42866</v>
      </c>
      <c r="F431" s="2" t="b">
        <f t="shared" si="27"/>
        <v>1</v>
      </c>
      <c r="G431" s="2">
        <f t="shared" si="25"/>
        <v>42866</v>
      </c>
      <c r="H431" s="1" t="s">
        <v>30</v>
      </c>
      <c r="I431" s="1" t="s">
        <v>402</v>
      </c>
      <c r="J431" s="1">
        <v>150</v>
      </c>
      <c r="K431" s="1">
        <v>99</v>
      </c>
      <c r="L431" s="3">
        <v>0.34</v>
      </c>
      <c r="N431" t="s">
        <v>3763</v>
      </c>
      <c r="S431" s="4" t="e">
        <f t="shared" si="26"/>
        <v>#NUM!</v>
      </c>
      <c r="T431" s="4" t="str">
        <f t="shared" si="24"/>
        <v/>
      </c>
      <c r="U431" s="4" t="s">
        <v>3763</v>
      </c>
    </row>
    <row r="432" spans="1:21" x14ac:dyDescent="0.3">
      <c r="A432" t="s">
        <v>816</v>
      </c>
      <c r="B432" s="1" t="s">
        <v>107</v>
      </c>
      <c r="C432" s="1" t="s">
        <v>108</v>
      </c>
      <c r="D432" s="1" t="s">
        <v>19</v>
      </c>
      <c r="E432" s="2" t="s">
        <v>3202</v>
      </c>
      <c r="F432" s="2" t="b">
        <f t="shared" si="27"/>
        <v>0</v>
      </c>
      <c r="G432" s="2">
        <f t="shared" si="25"/>
        <v>42414</v>
      </c>
      <c r="H432" s="1" t="s">
        <v>46</v>
      </c>
      <c r="I432" s="1" t="s">
        <v>817</v>
      </c>
      <c r="J432" s="1">
        <v>500</v>
      </c>
      <c r="K432" s="1">
        <v>425</v>
      </c>
      <c r="L432" s="3">
        <v>0.15</v>
      </c>
      <c r="N432" t="s">
        <v>3202</v>
      </c>
      <c r="P432">
        <v>2</v>
      </c>
      <c r="Q432">
        <v>14</v>
      </c>
      <c r="R432">
        <v>2016</v>
      </c>
      <c r="S432" s="4">
        <f t="shared" si="26"/>
        <v>42414</v>
      </c>
      <c r="T432" s="4">
        <f t="shared" si="24"/>
        <v>42414</v>
      </c>
      <c r="U432" s="4">
        <v>42414</v>
      </c>
    </row>
    <row r="433" spans="1:21" x14ac:dyDescent="0.3">
      <c r="A433" t="s">
        <v>818</v>
      </c>
      <c r="B433" s="1" t="s">
        <v>241</v>
      </c>
      <c r="C433" s="1" t="s">
        <v>242</v>
      </c>
      <c r="D433" s="1" t="s">
        <v>13</v>
      </c>
      <c r="E433" s="2" t="s">
        <v>3203</v>
      </c>
      <c r="F433" s="2" t="b">
        <f t="shared" si="27"/>
        <v>0</v>
      </c>
      <c r="G433" s="2">
        <f t="shared" si="25"/>
        <v>41716</v>
      </c>
      <c r="H433" s="1" t="s">
        <v>61</v>
      </c>
      <c r="I433" s="1" t="s">
        <v>779</v>
      </c>
      <c r="J433" s="1">
        <v>1000</v>
      </c>
      <c r="K433" s="1">
        <v>810</v>
      </c>
      <c r="L433" s="3">
        <v>0.19</v>
      </c>
      <c r="N433" t="s">
        <v>3203</v>
      </c>
      <c r="P433">
        <v>3</v>
      </c>
      <c r="Q433">
        <v>18</v>
      </c>
      <c r="R433">
        <v>2014</v>
      </c>
      <c r="S433" s="4">
        <f t="shared" si="26"/>
        <v>41716</v>
      </c>
      <c r="T433" s="4">
        <f t="shared" si="24"/>
        <v>41716</v>
      </c>
      <c r="U433" s="4">
        <v>41716</v>
      </c>
    </row>
    <row r="434" spans="1:21" x14ac:dyDescent="0.3">
      <c r="A434" t="s">
        <v>819</v>
      </c>
      <c r="B434" s="1" t="s">
        <v>111</v>
      </c>
      <c r="C434" s="1" t="s">
        <v>82</v>
      </c>
      <c r="D434" s="1" t="s">
        <v>13</v>
      </c>
      <c r="E434" s="2">
        <v>43165</v>
      </c>
      <c r="F434" s="2" t="b">
        <f t="shared" si="27"/>
        <v>1</v>
      </c>
      <c r="G434" s="2">
        <f t="shared" si="25"/>
        <v>43165</v>
      </c>
      <c r="H434" s="1" t="s">
        <v>115</v>
      </c>
      <c r="I434" s="1" t="s">
        <v>820</v>
      </c>
      <c r="J434" s="1">
        <v>250</v>
      </c>
      <c r="K434" s="1">
        <v>245</v>
      </c>
      <c r="L434" s="3">
        <v>0.02</v>
      </c>
      <c r="N434" t="s">
        <v>3763</v>
      </c>
      <c r="S434" s="4" t="e">
        <f t="shared" si="26"/>
        <v>#NUM!</v>
      </c>
      <c r="T434" s="4" t="str">
        <f t="shared" si="24"/>
        <v/>
      </c>
      <c r="U434" s="4" t="s">
        <v>3763</v>
      </c>
    </row>
    <row r="435" spans="1:21" x14ac:dyDescent="0.3">
      <c r="A435" t="s">
        <v>821</v>
      </c>
      <c r="B435" s="1" t="s">
        <v>53</v>
      </c>
      <c r="C435" s="1" t="s">
        <v>54</v>
      </c>
      <c r="D435" s="1" t="s">
        <v>13</v>
      </c>
      <c r="E435" s="2" t="s">
        <v>3204</v>
      </c>
      <c r="F435" s="2" t="b">
        <f t="shared" si="27"/>
        <v>0</v>
      </c>
      <c r="G435" s="2">
        <f t="shared" si="25"/>
        <v>42821</v>
      </c>
      <c r="H435" s="1" t="s">
        <v>122</v>
      </c>
      <c r="I435" s="1" t="s">
        <v>822</v>
      </c>
      <c r="J435" s="1">
        <v>50</v>
      </c>
      <c r="K435" s="1">
        <v>50</v>
      </c>
      <c r="L435" s="3">
        <v>0</v>
      </c>
      <c r="N435" t="s">
        <v>3204</v>
      </c>
      <c r="P435">
        <v>3</v>
      </c>
      <c r="Q435">
        <v>27</v>
      </c>
      <c r="R435">
        <v>2017</v>
      </c>
      <c r="S435" s="4">
        <f t="shared" si="26"/>
        <v>42821</v>
      </c>
      <c r="T435" s="4">
        <f t="shared" si="24"/>
        <v>42821</v>
      </c>
      <c r="U435" s="4">
        <v>42821</v>
      </c>
    </row>
    <row r="436" spans="1:21" x14ac:dyDescent="0.3">
      <c r="A436" t="s">
        <v>823</v>
      </c>
      <c r="B436" s="1" t="s">
        <v>150</v>
      </c>
      <c r="C436" s="1" t="s">
        <v>151</v>
      </c>
      <c r="D436" s="1" t="s">
        <v>13</v>
      </c>
      <c r="E436" s="2" t="s">
        <v>3135</v>
      </c>
      <c r="F436" s="2" t="b">
        <f t="shared" si="27"/>
        <v>0</v>
      </c>
      <c r="G436" s="2">
        <f t="shared" si="25"/>
        <v>43275</v>
      </c>
      <c r="H436" s="1" t="s">
        <v>115</v>
      </c>
      <c r="I436" s="1" t="s">
        <v>824</v>
      </c>
      <c r="J436" s="1">
        <v>250</v>
      </c>
      <c r="K436" s="1">
        <v>235</v>
      </c>
      <c r="L436" s="3">
        <v>0.06</v>
      </c>
      <c r="N436" t="s">
        <v>3135</v>
      </c>
      <c r="P436">
        <v>6</v>
      </c>
      <c r="Q436">
        <v>24</v>
      </c>
      <c r="R436">
        <v>2018</v>
      </c>
      <c r="S436" s="4">
        <f t="shared" si="26"/>
        <v>43275</v>
      </c>
      <c r="T436" s="4">
        <f t="shared" si="24"/>
        <v>43275</v>
      </c>
      <c r="U436" s="4">
        <v>43275</v>
      </c>
    </row>
    <row r="437" spans="1:21" x14ac:dyDescent="0.3">
      <c r="A437" t="s">
        <v>825</v>
      </c>
      <c r="B437" s="1" t="s">
        <v>111</v>
      </c>
      <c r="C437" s="1" t="s">
        <v>82</v>
      </c>
      <c r="D437" s="1" t="s">
        <v>13</v>
      </c>
      <c r="E437" s="2" t="s">
        <v>3205</v>
      </c>
      <c r="F437" s="2" t="b">
        <f t="shared" si="27"/>
        <v>0</v>
      </c>
      <c r="G437" s="2">
        <f t="shared" si="25"/>
        <v>42697</v>
      </c>
      <c r="H437" s="1" t="s">
        <v>115</v>
      </c>
      <c r="I437" s="1" t="s">
        <v>826</v>
      </c>
      <c r="J437" s="1">
        <v>250</v>
      </c>
      <c r="K437" s="1">
        <v>240</v>
      </c>
      <c r="L437" s="3">
        <v>0.04</v>
      </c>
      <c r="N437" t="s">
        <v>3205</v>
      </c>
      <c r="P437">
        <v>11</v>
      </c>
      <c r="Q437">
        <v>23</v>
      </c>
      <c r="R437">
        <v>2016</v>
      </c>
      <c r="S437" s="4">
        <f t="shared" si="26"/>
        <v>42697</v>
      </c>
      <c r="T437" s="4">
        <f t="shared" si="24"/>
        <v>42697</v>
      </c>
      <c r="U437" s="4">
        <v>42697</v>
      </c>
    </row>
    <row r="438" spans="1:21" x14ac:dyDescent="0.3">
      <c r="A438" t="s">
        <v>827</v>
      </c>
      <c r="B438" s="1" t="s">
        <v>434</v>
      </c>
      <c r="C438" s="1" t="s">
        <v>435</v>
      </c>
      <c r="D438" s="1" t="s">
        <v>24</v>
      </c>
      <c r="E438" s="2" t="s">
        <v>3142</v>
      </c>
      <c r="F438" s="2" t="b">
        <f t="shared" si="27"/>
        <v>0</v>
      </c>
      <c r="G438" s="2">
        <f t="shared" si="25"/>
        <v>42938</v>
      </c>
      <c r="H438" s="1" t="s">
        <v>104</v>
      </c>
      <c r="I438" s="1" t="s">
        <v>828</v>
      </c>
      <c r="J438" s="1">
        <v>70</v>
      </c>
      <c r="K438" s="1">
        <v>69</v>
      </c>
      <c r="L438" s="3">
        <v>1.43E-2</v>
      </c>
      <c r="N438" t="s">
        <v>3142</v>
      </c>
      <c r="P438">
        <v>7</v>
      </c>
      <c r="Q438">
        <v>22</v>
      </c>
      <c r="R438">
        <v>2017</v>
      </c>
      <c r="S438" s="4">
        <f t="shared" si="26"/>
        <v>42938</v>
      </c>
      <c r="T438" s="4">
        <f t="shared" si="24"/>
        <v>42938</v>
      </c>
      <c r="U438" s="4">
        <v>42938</v>
      </c>
    </row>
    <row r="439" spans="1:21" x14ac:dyDescent="0.3">
      <c r="A439" t="s">
        <v>829</v>
      </c>
      <c r="B439" s="1" t="s">
        <v>146</v>
      </c>
      <c r="C439" s="1" t="s">
        <v>147</v>
      </c>
      <c r="D439" s="1" t="s">
        <v>13</v>
      </c>
      <c r="E439" s="2" t="s">
        <v>3206</v>
      </c>
      <c r="F439" s="2" t="b">
        <f t="shared" si="27"/>
        <v>0</v>
      </c>
      <c r="G439" s="2">
        <f t="shared" si="25"/>
        <v>42971</v>
      </c>
      <c r="H439" s="1" t="s">
        <v>104</v>
      </c>
      <c r="I439" s="1" t="s">
        <v>830</v>
      </c>
      <c r="J439" s="1">
        <v>70</v>
      </c>
      <c r="K439" s="1">
        <v>67</v>
      </c>
      <c r="L439" s="3">
        <v>4.2900000000000001E-2</v>
      </c>
      <c r="N439" t="s">
        <v>3206</v>
      </c>
      <c r="P439">
        <v>8</v>
      </c>
      <c r="Q439">
        <v>24</v>
      </c>
      <c r="R439">
        <v>2017</v>
      </c>
      <c r="S439" s="4">
        <f t="shared" si="26"/>
        <v>42971</v>
      </c>
      <c r="T439" s="4">
        <f t="shared" si="24"/>
        <v>42971</v>
      </c>
      <c r="U439" s="4">
        <v>42971</v>
      </c>
    </row>
    <row r="440" spans="1:21" x14ac:dyDescent="0.3">
      <c r="A440" t="s">
        <v>831</v>
      </c>
      <c r="B440" s="1" t="s">
        <v>264</v>
      </c>
      <c r="C440" s="1" t="s">
        <v>265</v>
      </c>
      <c r="D440" s="1" t="s">
        <v>13</v>
      </c>
      <c r="E440" s="2" t="s">
        <v>3170</v>
      </c>
      <c r="F440" s="2" t="b">
        <f t="shared" si="27"/>
        <v>0</v>
      </c>
      <c r="G440" s="2">
        <f t="shared" si="25"/>
        <v>42790</v>
      </c>
      <c r="H440" s="1" t="s">
        <v>36</v>
      </c>
      <c r="I440" s="1" t="s">
        <v>314</v>
      </c>
      <c r="J440" s="1">
        <v>50</v>
      </c>
      <c r="K440" s="1">
        <v>49</v>
      </c>
      <c r="L440" s="3">
        <v>0.02</v>
      </c>
      <c r="N440" t="s">
        <v>3170</v>
      </c>
      <c r="P440">
        <v>2</v>
      </c>
      <c r="Q440">
        <v>24</v>
      </c>
      <c r="R440">
        <v>2017</v>
      </c>
      <c r="S440" s="4">
        <f t="shared" si="26"/>
        <v>42790</v>
      </c>
      <c r="T440" s="4">
        <f t="shared" si="24"/>
        <v>42790</v>
      </c>
      <c r="U440" s="4">
        <v>42790</v>
      </c>
    </row>
    <row r="441" spans="1:21" x14ac:dyDescent="0.3">
      <c r="A441" t="s">
        <v>832</v>
      </c>
      <c r="B441" s="1" t="s">
        <v>85</v>
      </c>
      <c r="C441" s="1" t="s">
        <v>86</v>
      </c>
      <c r="D441" s="1" t="s">
        <v>13</v>
      </c>
      <c r="E441" s="2">
        <v>42013</v>
      </c>
      <c r="F441" s="2" t="b">
        <f t="shared" si="27"/>
        <v>1</v>
      </c>
      <c r="G441" s="2">
        <f t="shared" si="25"/>
        <v>42013</v>
      </c>
      <c r="H441" s="1" t="s">
        <v>30</v>
      </c>
      <c r="I441" s="1" t="s">
        <v>87</v>
      </c>
      <c r="J441" s="1">
        <v>150</v>
      </c>
      <c r="K441" s="1">
        <v>98</v>
      </c>
      <c r="L441" s="3">
        <v>0.34670000000000001</v>
      </c>
      <c r="N441" t="s">
        <v>3763</v>
      </c>
      <c r="S441" s="4" t="e">
        <f t="shared" si="26"/>
        <v>#NUM!</v>
      </c>
      <c r="T441" s="4" t="str">
        <f t="shared" si="24"/>
        <v/>
      </c>
      <c r="U441" s="4" t="s">
        <v>3763</v>
      </c>
    </row>
    <row r="442" spans="1:21" x14ac:dyDescent="0.3">
      <c r="A442" t="s">
        <v>833</v>
      </c>
      <c r="B442" s="1" t="s">
        <v>103</v>
      </c>
      <c r="C442" s="1" t="s">
        <v>71</v>
      </c>
      <c r="D442" s="1" t="s">
        <v>35</v>
      </c>
      <c r="E442" s="2" t="s">
        <v>3207</v>
      </c>
      <c r="F442" s="2" t="b">
        <f t="shared" si="27"/>
        <v>0</v>
      </c>
      <c r="G442" s="2">
        <f t="shared" si="25"/>
        <v>43365</v>
      </c>
      <c r="H442" s="1" t="s">
        <v>36</v>
      </c>
      <c r="I442" s="1" t="s">
        <v>105</v>
      </c>
      <c r="J442" s="1">
        <v>50</v>
      </c>
      <c r="K442" s="1">
        <v>50</v>
      </c>
      <c r="L442" s="3">
        <v>0</v>
      </c>
      <c r="N442" t="s">
        <v>3207</v>
      </c>
      <c r="P442">
        <v>9</v>
      </c>
      <c r="Q442">
        <v>22</v>
      </c>
      <c r="R442">
        <v>2018</v>
      </c>
      <c r="S442" s="4">
        <f t="shared" si="26"/>
        <v>43365</v>
      </c>
      <c r="T442" s="4">
        <f t="shared" si="24"/>
        <v>43365</v>
      </c>
      <c r="U442" s="4">
        <v>43365</v>
      </c>
    </row>
    <row r="443" spans="1:21" x14ac:dyDescent="0.3">
      <c r="A443" t="s">
        <v>834</v>
      </c>
      <c r="B443" s="1" t="s">
        <v>224</v>
      </c>
      <c r="C443" s="1" t="s">
        <v>50</v>
      </c>
      <c r="D443" s="1" t="s">
        <v>24</v>
      </c>
      <c r="E443" s="2" t="s">
        <v>3208</v>
      </c>
      <c r="F443" s="2" t="b">
        <f t="shared" si="27"/>
        <v>0</v>
      </c>
      <c r="G443" s="2">
        <f t="shared" si="25"/>
        <v>42077</v>
      </c>
      <c r="H443" s="1" t="s">
        <v>72</v>
      </c>
      <c r="I443" s="1" t="s">
        <v>734</v>
      </c>
      <c r="J443" s="1">
        <v>500</v>
      </c>
      <c r="K443" s="1">
        <v>495</v>
      </c>
      <c r="L443" s="3">
        <v>0.01</v>
      </c>
      <c r="N443" t="s">
        <v>3208</v>
      </c>
      <c r="P443">
        <v>3</v>
      </c>
      <c r="Q443">
        <v>14</v>
      </c>
      <c r="R443">
        <v>2015</v>
      </c>
      <c r="S443" s="4">
        <f t="shared" si="26"/>
        <v>42077</v>
      </c>
      <c r="T443" s="4">
        <f t="shared" si="24"/>
        <v>42077</v>
      </c>
      <c r="U443" s="4">
        <v>42077</v>
      </c>
    </row>
    <row r="444" spans="1:21" x14ac:dyDescent="0.3">
      <c r="A444" t="s">
        <v>835</v>
      </c>
      <c r="B444" s="1" t="s">
        <v>227</v>
      </c>
      <c r="C444" s="1" t="s">
        <v>228</v>
      </c>
      <c r="D444" s="1" t="s">
        <v>24</v>
      </c>
      <c r="E444" s="2" t="s">
        <v>3209</v>
      </c>
      <c r="F444" s="2" t="b">
        <f t="shared" si="27"/>
        <v>0</v>
      </c>
      <c r="G444" s="2">
        <f t="shared" si="25"/>
        <v>41993</v>
      </c>
      <c r="H444" s="1" t="s">
        <v>104</v>
      </c>
      <c r="I444" s="1" t="s">
        <v>836</v>
      </c>
      <c r="J444" s="1">
        <v>70</v>
      </c>
      <c r="K444" s="1">
        <v>54</v>
      </c>
      <c r="L444" s="3">
        <v>0.2286</v>
      </c>
      <c r="N444" t="s">
        <v>3209</v>
      </c>
      <c r="P444">
        <v>12</v>
      </c>
      <c r="Q444">
        <v>20</v>
      </c>
      <c r="R444">
        <v>2014</v>
      </c>
      <c r="S444" s="4">
        <f t="shared" si="26"/>
        <v>41993</v>
      </c>
      <c r="T444" s="4">
        <f t="shared" si="24"/>
        <v>41993</v>
      </c>
      <c r="U444" s="4">
        <v>41993</v>
      </c>
    </row>
    <row r="445" spans="1:21" x14ac:dyDescent="0.3">
      <c r="A445" t="s">
        <v>837</v>
      </c>
      <c r="B445" s="1" t="s">
        <v>154</v>
      </c>
      <c r="C445" s="1" t="s">
        <v>108</v>
      </c>
      <c r="D445" s="1" t="s">
        <v>19</v>
      </c>
      <c r="E445" s="2" t="s">
        <v>3210</v>
      </c>
      <c r="F445" s="2" t="b">
        <f t="shared" si="27"/>
        <v>0</v>
      </c>
      <c r="G445" s="2">
        <f t="shared" si="25"/>
        <v>43373</v>
      </c>
      <c r="H445" s="1" t="s">
        <v>46</v>
      </c>
      <c r="I445" s="1" t="s">
        <v>490</v>
      </c>
      <c r="J445" s="1">
        <v>500</v>
      </c>
      <c r="K445" s="1">
        <v>485</v>
      </c>
      <c r="L445" s="3">
        <v>0.03</v>
      </c>
      <c r="N445" t="s">
        <v>3210</v>
      </c>
      <c r="P445">
        <v>9</v>
      </c>
      <c r="Q445">
        <v>30</v>
      </c>
      <c r="R445">
        <v>2018</v>
      </c>
      <c r="S445" s="4">
        <f t="shared" si="26"/>
        <v>43373</v>
      </c>
      <c r="T445" s="4">
        <f t="shared" si="24"/>
        <v>43373</v>
      </c>
      <c r="U445" s="4">
        <v>43373</v>
      </c>
    </row>
    <row r="446" spans="1:21" x14ac:dyDescent="0.3">
      <c r="A446" t="s">
        <v>838</v>
      </c>
      <c r="B446" s="1" t="s">
        <v>289</v>
      </c>
      <c r="C446" s="1" t="s">
        <v>108</v>
      </c>
      <c r="D446" s="1" t="s">
        <v>19</v>
      </c>
      <c r="E446" s="2" t="s">
        <v>3211</v>
      </c>
      <c r="F446" s="2" t="b">
        <f t="shared" si="27"/>
        <v>0</v>
      </c>
      <c r="G446" s="2">
        <f t="shared" si="25"/>
        <v>41900</v>
      </c>
      <c r="H446" s="1" t="s">
        <v>14</v>
      </c>
      <c r="I446" s="1" t="s">
        <v>481</v>
      </c>
      <c r="J446" s="1">
        <v>80</v>
      </c>
      <c r="K446" s="1">
        <v>78</v>
      </c>
      <c r="L446" s="3">
        <v>2.5000000000000001E-2</v>
      </c>
      <c r="N446" t="s">
        <v>3211</v>
      </c>
      <c r="P446">
        <v>9</v>
      </c>
      <c r="Q446">
        <v>18</v>
      </c>
      <c r="R446">
        <v>2014</v>
      </c>
      <c r="S446" s="4">
        <f t="shared" si="26"/>
        <v>41900</v>
      </c>
      <c r="T446" s="4">
        <f t="shared" si="24"/>
        <v>41900</v>
      </c>
      <c r="U446" s="4">
        <v>41900</v>
      </c>
    </row>
    <row r="447" spans="1:21" x14ac:dyDescent="0.3">
      <c r="A447" t="s">
        <v>839</v>
      </c>
      <c r="B447" s="1" t="s">
        <v>49</v>
      </c>
      <c r="C447" s="1" t="s">
        <v>50</v>
      </c>
      <c r="D447" s="1" t="s">
        <v>24</v>
      </c>
      <c r="E447" s="2">
        <v>43228</v>
      </c>
      <c r="F447" s="2" t="b">
        <f t="shared" si="27"/>
        <v>1</v>
      </c>
      <c r="G447" s="2">
        <f t="shared" si="25"/>
        <v>43228</v>
      </c>
      <c r="H447" s="1" t="s">
        <v>55</v>
      </c>
      <c r="I447" s="1" t="s">
        <v>729</v>
      </c>
      <c r="J447" s="1">
        <v>800</v>
      </c>
      <c r="K447" s="1">
        <v>712</v>
      </c>
      <c r="L447" s="3">
        <v>0.11</v>
      </c>
      <c r="N447" t="s">
        <v>3763</v>
      </c>
      <c r="S447" s="4" t="e">
        <f t="shared" si="26"/>
        <v>#NUM!</v>
      </c>
      <c r="T447" s="4" t="str">
        <f t="shared" si="24"/>
        <v/>
      </c>
      <c r="U447" s="4" t="s">
        <v>3763</v>
      </c>
    </row>
    <row r="448" spans="1:21" x14ac:dyDescent="0.3">
      <c r="A448" t="s">
        <v>840</v>
      </c>
      <c r="B448" s="1" t="s">
        <v>59</v>
      </c>
      <c r="C448" s="1" t="s">
        <v>60</v>
      </c>
      <c r="D448" s="1" t="s">
        <v>13</v>
      </c>
      <c r="E448" s="2">
        <v>42227</v>
      </c>
      <c r="F448" s="2" t="b">
        <f t="shared" si="27"/>
        <v>1</v>
      </c>
      <c r="G448" s="2">
        <f t="shared" si="25"/>
        <v>42227</v>
      </c>
      <c r="H448" s="1" t="s">
        <v>30</v>
      </c>
      <c r="I448" s="1" t="s">
        <v>841</v>
      </c>
      <c r="J448" s="1">
        <v>150</v>
      </c>
      <c r="K448" s="1">
        <v>93</v>
      </c>
      <c r="L448" s="3">
        <v>0.38</v>
      </c>
      <c r="N448" t="s">
        <v>3763</v>
      </c>
      <c r="S448" s="4" t="e">
        <f t="shared" si="26"/>
        <v>#NUM!</v>
      </c>
      <c r="T448" s="4" t="str">
        <f t="shared" si="24"/>
        <v/>
      </c>
      <c r="U448" s="4" t="s">
        <v>3763</v>
      </c>
    </row>
    <row r="449" spans="1:21" x14ac:dyDescent="0.3">
      <c r="A449" t="s">
        <v>842</v>
      </c>
      <c r="B449" s="1" t="s">
        <v>221</v>
      </c>
      <c r="C449" s="1" t="s">
        <v>40</v>
      </c>
      <c r="D449" s="1" t="s">
        <v>35</v>
      </c>
      <c r="E449" s="2" t="s">
        <v>3212</v>
      </c>
      <c r="F449" s="2" t="b">
        <f t="shared" si="27"/>
        <v>0</v>
      </c>
      <c r="G449" s="2">
        <f t="shared" si="25"/>
        <v>43391</v>
      </c>
      <c r="H449" s="1" t="s">
        <v>61</v>
      </c>
      <c r="I449" s="1" t="s">
        <v>245</v>
      </c>
      <c r="J449" s="1">
        <v>1000</v>
      </c>
      <c r="K449" s="1">
        <v>710</v>
      </c>
      <c r="L449" s="3">
        <v>0.28999999999999998</v>
      </c>
      <c r="N449" t="s">
        <v>3212</v>
      </c>
      <c r="P449">
        <v>10</v>
      </c>
      <c r="Q449">
        <v>18</v>
      </c>
      <c r="R449">
        <v>2018</v>
      </c>
      <c r="S449" s="4">
        <f t="shared" si="26"/>
        <v>43391</v>
      </c>
      <c r="T449" s="4">
        <f t="shared" si="24"/>
        <v>43391</v>
      </c>
      <c r="U449" s="4">
        <v>43391</v>
      </c>
    </row>
    <row r="450" spans="1:21" x14ac:dyDescent="0.3">
      <c r="A450" t="s">
        <v>843</v>
      </c>
      <c r="B450" s="1" t="s">
        <v>39</v>
      </c>
      <c r="C450" s="1" t="s">
        <v>40</v>
      </c>
      <c r="D450" s="1" t="s">
        <v>35</v>
      </c>
      <c r="E450" s="2">
        <v>43351</v>
      </c>
      <c r="F450" s="2" t="b">
        <f t="shared" si="27"/>
        <v>1</v>
      </c>
      <c r="G450" s="2">
        <f t="shared" si="25"/>
        <v>43351</v>
      </c>
      <c r="H450" s="1" t="s">
        <v>72</v>
      </c>
      <c r="I450" s="1" t="s">
        <v>844</v>
      </c>
      <c r="J450" s="1">
        <v>500</v>
      </c>
      <c r="K450" s="1">
        <v>495</v>
      </c>
      <c r="L450" s="3">
        <v>0.01</v>
      </c>
      <c r="N450" t="s">
        <v>3763</v>
      </c>
      <c r="S450" s="4" t="e">
        <f t="shared" si="26"/>
        <v>#NUM!</v>
      </c>
      <c r="T450" s="4" t="str">
        <f t="shared" si="24"/>
        <v/>
      </c>
      <c r="U450" s="4" t="s">
        <v>3763</v>
      </c>
    </row>
    <row r="451" spans="1:21" x14ac:dyDescent="0.3">
      <c r="A451" t="s">
        <v>845</v>
      </c>
      <c r="B451" s="1" t="s">
        <v>49</v>
      </c>
      <c r="C451" s="1" t="s">
        <v>50</v>
      </c>
      <c r="D451" s="1" t="s">
        <v>24</v>
      </c>
      <c r="E451" s="2" t="s">
        <v>3139</v>
      </c>
      <c r="F451" s="2" t="b">
        <f t="shared" si="27"/>
        <v>0</v>
      </c>
      <c r="G451" s="2">
        <f t="shared" si="25"/>
        <v>42883</v>
      </c>
      <c r="H451" s="1" t="s">
        <v>72</v>
      </c>
      <c r="I451" s="1" t="s">
        <v>729</v>
      </c>
      <c r="J451" s="1">
        <v>500</v>
      </c>
      <c r="K451" s="1">
        <v>490</v>
      </c>
      <c r="L451" s="3">
        <v>0.02</v>
      </c>
      <c r="N451" t="s">
        <v>3139</v>
      </c>
      <c r="P451">
        <v>5</v>
      </c>
      <c r="Q451">
        <v>28</v>
      </c>
      <c r="R451">
        <v>2017</v>
      </c>
      <c r="S451" s="4">
        <f t="shared" si="26"/>
        <v>42883</v>
      </c>
      <c r="T451" s="4">
        <f t="shared" ref="T451:T514" si="28">IF(AND(P451&lt;&gt;"",Q451&lt;&gt;"",R451&lt;&gt;""),IFERROR(DATE(R451,P451,Q451),""),"")</f>
        <v>42883</v>
      </c>
      <c r="U451" s="4">
        <v>42883</v>
      </c>
    </row>
    <row r="452" spans="1:21" x14ac:dyDescent="0.3">
      <c r="A452" t="s">
        <v>846</v>
      </c>
      <c r="B452" s="1" t="s">
        <v>118</v>
      </c>
      <c r="C452" s="1" t="s">
        <v>119</v>
      </c>
      <c r="D452" s="1" t="s">
        <v>35</v>
      </c>
      <c r="E452" s="2" t="s">
        <v>3213</v>
      </c>
      <c r="F452" s="2" t="b">
        <f t="shared" si="27"/>
        <v>0</v>
      </c>
      <c r="G452" s="2">
        <f t="shared" ref="G452:G515" si="29">IF(F452=TRUE,E452,U452)</f>
        <v>41721</v>
      </c>
      <c r="H452" s="1" t="s">
        <v>104</v>
      </c>
      <c r="I452" s="1" t="s">
        <v>847</v>
      </c>
      <c r="J452" s="1">
        <v>70</v>
      </c>
      <c r="K452" s="1">
        <v>67</v>
      </c>
      <c r="L452" s="3">
        <v>4.2900000000000001E-2</v>
      </c>
      <c r="N452" t="s">
        <v>3213</v>
      </c>
      <c r="P452">
        <v>3</v>
      </c>
      <c r="Q452">
        <v>23</v>
      </c>
      <c r="R452">
        <v>2014</v>
      </c>
      <c r="S452" s="4">
        <f t="shared" ref="S452:S515" si="30">DATE(R452,P452,Q452)</f>
        <v>41721</v>
      </c>
      <c r="T452" s="4">
        <f t="shared" si="28"/>
        <v>41721</v>
      </c>
      <c r="U452" s="4">
        <v>41721</v>
      </c>
    </row>
    <row r="453" spans="1:21" x14ac:dyDescent="0.3">
      <c r="A453" t="s">
        <v>848</v>
      </c>
      <c r="B453" s="1" t="s">
        <v>134</v>
      </c>
      <c r="C453" s="1" t="s">
        <v>92</v>
      </c>
      <c r="D453" s="1" t="s">
        <v>35</v>
      </c>
      <c r="E453" s="2">
        <v>42014</v>
      </c>
      <c r="F453" s="2" t="b">
        <f t="shared" ref="F453:F516" si="31">ISNUMBER(E453)</f>
        <v>1</v>
      </c>
      <c r="G453" s="2">
        <f t="shared" si="29"/>
        <v>42014</v>
      </c>
      <c r="H453" s="1" t="s">
        <v>115</v>
      </c>
      <c r="I453" s="1" t="s">
        <v>849</v>
      </c>
      <c r="J453" s="1">
        <v>250</v>
      </c>
      <c r="K453" s="1">
        <v>235</v>
      </c>
      <c r="L453" s="3">
        <v>0.06</v>
      </c>
      <c r="N453" t="s">
        <v>3763</v>
      </c>
      <c r="S453" s="4" t="e">
        <f t="shared" si="30"/>
        <v>#NUM!</v>
      </c>
      <c r="T453" s="4" t="str">
        <f t="shared" si="28"/>
        <v/>
      </c>
      <c r="U453" s="4" t="s">
        <v>3763</v>
      </c>
    </row>
    <row r="454" spans="1:21" x14ac:dyDescent="0.3">
      <c r="A454" t="s">
        <v>850</v>
      </c>
      <c r="B454" s="1" t="s">
        <v>49</v>
      </c>
      <c r="C454" s="1" t="s">
        <v>50</v>
      </c>
      <c r="D454" s="1" t="s">
        <v>24</v>
      </c>
      <c r="E454" s="2">
        <v>42988</v>
      </c>
      <c r="F454" s="2" t="b">
        <f t="shared" si="31"/>
        <v>1</v>
      </c>
      <c r="G454" s="2">
        <f t="shared" si="29"/>
        <v>42988</v>
      </c>
      <c r="H454" s="1" t="s">
        <v>55</v>
      </c>
      <c r="I454" s="1" t="s">
        <v>658</v>
      </c>
      <c r="J454" s="1">
        <v>800</v>
      </c>
      <c r="K454" s="1">
        <v>584</v>
      </c>
      <c r="L454" s="3">
        <v>0.27</v>
      </c>
      <c r="N454" t="s">
        <v>3763</v>
      </c>
      <c r="S454" s="4" t="e">
        <f t="shared" si="30"/>
        <v>#NUM!</v>
      </c>
      <c r="T454" s="4" t="str">
        <f t="shared" si="28"/>
        <v/>
      </c>
      <c r="U454" s="4" t="s">
        <v>3763</v>
      </c>
    </row>
    <row r="455" spans="1:21" x14ac:dyDescent="0.3">
      <c r="A455" t="s">
        <v>851</v>
      </c>
      <c r="B455" s="1" t="s">
        <v>157</v>
      </c>
      <c r="C455" s="1" t="s">
        <v>108</v>
      </c>
      <c r="D455" s="1" t="s">
        <v>19</v>
      </c>
      <c r="E455" s="2">
        <v>42861</v>
      </c>
      <c r="F455" s="2" t="b">
        <f t="shared" si="31"/>
        <v>1</v>
      </c>
      <c r="G455" s="2">
        <f t="shared" si="29"/>
        <v>42861</v>
      </c>
      <c r="H455" s="1" t="s">
        <v>14</v>
      </c>
      <c r="I455" s="1" t="s">
        <v>720</v>
      </c>
      <c r="J455" s="1">
        <v>80</v>
      </c>
      <c r="K455" s="1">
        <v>72</v>
      </c>
      <c r="L455" s="3">
        <v>0.1</v>
      </c>
      <c r="N455" t="s">
        <v>3763</v>
      </c>
      <c r="S455" s="4" t="e">
        <f t="shared" si="30"/>
        <v>#NUM!</v>
      </c>
      <c r="T455" s="4" t="str">
        <f t="shared" si="28"/>
        <v/>
      </c>
      <c r="U455" s="4" t="s">
        <v>3763</v>
      </c>
    </row>
    <row r="456" spans="1:21" x14ac:dyDescent="0.3">
      <c r="A456" t="s">
        <v>852</v>
      </c>
      <c r="B456" s="1" t="s">
        <v>17</v>
      </c>
      <c r="C456" s="1" t="s">
        <v>18</v>
      </c>
      <c r="D456" s="1" t="s">
        <v>19</v>
      </c>
      <c r="E456" s="2">
        <v>41672</v>
      </c>
      <c r="F456" s="2" t="b">
        <f t="shared" si="31"/>
        <v>1</v>
      </c>
      <c r="G456" s="2">
        <f t="shared" si="29"/>
        <v>41672</v>
      </c>
      <c r="H456" s="1" t="s">
        <v>61</v>
      </c>
      <c r="I456" s="1" t="s">
        <v>853</v>
      </c>
      <c r="J456" s="1">
        <v>1000</v>
      </c>
      <c r="K456" s="1">
        <v>750</v>
      </c>
      <c r="L456" s="3">
        <v>0.25</v>
      </c>
      <c r="N456" t="s">
        <v>3763</v>
      </c>
      <c r="S456" s="4" t="e">
        <f t="shared" si="30"/>
        <v>#NUM!</v>
      </c>
      <c r="T456" s="4" t="str">
        <f t="shared" si="28"/>
        <v/>
      </c>
      <c r="U456" s="4" t="s">
        <v>3763</v>
      </c>
    </row>
    <row r="457" spans="1:21" x14ac:dyDescent="0.3">
      <c r="A457" t="s">
        <v>854</v>
      </c>
      <c r="B457" s="1" t="s">
        <v>289</v>
      </c>
      <c r="C457" s="1" t="s">
        <v>108</v>
      </c>
      <c r="D457" s="1" t="s">
        <v>19</v>
      </c>
      <c r="E457" s="2">
        <v>42470</v>
      </c>
      <c r="F457" s="2" t="b">
        <f t="shared" si="31"/>
        <v>1</v>
      </c>
      <c r="G457" s="2">
        <f t="shared" si="29"/>
        <v>42470</v>
      </c>
      <c r="H457" s="1" t="s">
        <v>55</v>
      </c>
      <c r="I457" s="1" t="s">
        <v>346</v>
      </c>
      <c r="J457" s="1">
        <v>800</v>
      </c>
      <c r="K457" s="1">
        <v>696</v>
      </c>
      <c r="L457" s="3">
        <v>0.13</v>
      </c>
      <c r="N457" t="s">
        <v>3763</v>
      </c>
      <c r="S457" s="4" t="e">
        <f t="shared" si="30"/>
        <v>#NUM!</v>
      </c>
      <c r="T457" s="4" t="str">
        <f t="shared" si="28"/>
        <v/>
      </c>
      <c r="U457" s="4" t="s">
        <v>3763</v>
      </c>
    </row>
    <row r="458" spans="1:21" x14ac:dyDescent="0.3">
      <c r="A458" t="s">
        <v>855</v>
      </c>
      <c r="B458" s="1" t="s">
        <v>400</v>
      </c>
      <c r="C458" s="1" t="s">
        <v>401</v>
      </c>
      <c r="D458" s="1" t="s">
        <v>13</v>
      </c>
      <c r="E458" s="2" t="s">
        <v>3099</v>
      </c>
      <c r="F458" s="2" t="b">
        <f t="shared" si="31"/>
        <v>0</v>
      </c>
      <c r="G458" s="2">
        <f t="shared" si="29"/>
        <v>41750</v>
      </c>
      <c r="H458" s="1" t="s">
        <v>30</v>
      </c>
      <c r="I458" s="1" t="s">
        <v>856</v>
      </c>
      <c r="J458" s="1">
        <v>150</v>
      </c>
      <c r="K458" s="1">
        <v>146</v>
      </c>
      <c r="L458" s="3">
        <v>2.6700000000000002E-2</v>
      </c>
      <c r="N458" t="s">
        <v>3099</v>
      </c>
      <c r="P458">
        <v>4</v>
      </c>
      <c r="Q458">
        <v>21</v>
      </c>
      <c r="R458">
        <v>2014</v>
      </c>
      <c r="S458" s="4">
        <f t="shared" si="30"/>
        <v>41750</v>
      </c>
      <c r="T458" s="4">
        <f t="shared" si="28"/>
        <v>41750</v>
      </c>
      <c r="U458" s="4">
        <v>41750</v>
      </c>
    </row>
    <row r="459" spans="1:21" x14ac:dyDescent="0.3">
      <c r="A459" t="s">
        <v>857</v>
      </c>
      <c r="B459" s="1" t="s">
        <v>434</v>
      </c>
      <c r="C459" s="1" t="s">
        <v>435</v>
      </c>
      <c r="D459" s="1" t="s">
        <v>24</v>
      </c>
      <c r="E459" s="2">
        <v>42318</v>
      </c>
      <c r="F459" s="2" t="b">
        <f t="shared" si="31"/>
        <v>1</v>
      </c>
      <c r="G459" s="2">
        <f t="shared" si="29"/>
        <v>42318</v>
      </c>
      <c r="H459" s="1" t="s">
        <v>122</v>
      </c>
      <c r="I459" s="1" t="s">
        <v>858</v>
      </c>
      <c r="J459" s="1">
        <v>50</v>
      </c>
      <c r="K459" s="1">
        <v>41</v>
      </c>
      <c r="L459" s="3">
        <v>0.18</v>
      </c>
      <c r="N459" t="s">
        <v>3763</v>
      </c>
      <c r="S459" s="4" t="e">
        <f t="shared" si="30"/>
        <v>#NUM!</v>
      </c>
      <c r="T459" s="4" t="str">
        <f t="shared" si="28"/>
        <v/>
      </c>
      <c r="U459" s="4" t="s">
        <v>3763</v>
      </c>
    </row>
    <row r="460" spans="1:21" x14ac:dyDescent="0.3">
      <c r="A460" t="s">
        <v>859</v>
      </c>
      <c r="B460" s="1" t="s">
        <v>95</v>
      </c>
      <c r="C460" s="1" t="s">
        <v>96</v>
      </c>
      <c r="D460" s="1" t="s">
        <v>13</v>
      </c>
      <c r="E460" s="2" t="s">
        <v>3214</v>
      </c>
      <c r="F460" s="2" t="b">
        <f t="shared" si="31"/>
        <v>0</v>
      </c>
      <c r="G460" s="2">
        <f t="shared" si="29"/>
        <v>42908</v>
      </c>
      <c r="H460" s="1" t="s">
        <v>72</v>
      </c>
      <c r="I460" s="1" t="s">
        <v>645</v>
      </c>
      <c r="J460" s="1">
        <v>500</v>
      </c>
      <c r="K460" s="1">
        <v>495</v>
      </c>
      <c r="L460" s="3">
        <v>0.01</v>
      </c>
      <c r="N460" t="s">
        <v>3214</v>
      </c>
      <c r="P460">
        <v>6</v>
      </c>
      <c r="Q460">
        <v>22</v>
      </c>
      <c r="R460">
        <v>2017</v>
      </c>
      <c r="S460" s="4">
        <f t="shared" si="30"/>
        <v>42908</v>
      </c>
      <c r="T460" s="4">
        <f t="shared" si="28"/>
        <v>42908</v>
      </c>
      <c r="U460" s="4">
        <v>42908</v>
      </c>
    </row>
    <row r="461" spans="1:21" x14ac:dyDescent="0.3">
      <c r="A461" t="s">
        <v>860</v>
      </c>
      <c r="B461" s="1" t="s">
        <v>81</v>
      </c>
      <c r="C461" s="1" t="s">
        <v>82</v>
      </c>
      <c r="D461" s="1" t="s">
        <v>13</v>
      </c>
      <c r="E461" s="2" t="s">
        <v>3215</v>
      </c>
      <c r="F461" s="2" t="b">
        <f t="shared" si="31"/>
        <v>0</v>
      </c>
      <c r="G461" s="2">
        <f t="shared" si="29"/>
        <v>42939</v>
      </c>
      <c r="H461" s="1" t="s">
        <v>36</v>
      </c>
      <c r="I461" s="1" t="s">
        <v>861</v>
      </c>
      <c r="J461" s="1">
        <v>50</v>
      </c>
      <c r="K461" s="1">
        <v>46</v>
      </c>
      <c r="L461" s="3">
        <v>0.08</v>
      </c>
      <c r="N461" t="s">
        <v>3215</v>
      </c>
      <c r="P461">
        <v>7</v>
      </c>
      <c r="Q461">
        <v>23</v>
      </c>
      <c r="R461">
        <v>2017</v>
      </c>
      <c r="S461" s="4">
        <f t="shared" si="30"/>
        <v>42939</v>
      </c>
      <c r="T461" s="4">
        <f t="shared" si="28"/>
        <v>42939</v>
      </c>
      <c r="U461" s="4">
        <v>42939</v>
      </c>
    </row>
    <row r="462" spans="1:21" x14ac:dyDescent="0.3">
      <c r="A462" t="s">
        <v>862</v>
      </c>
      <c r="B462" s="1" t="s">
        <v>124</v>
      </c>
      <c r="C462" s="1" t="s">
        <v>40</v>
      </c>
      <c r="D462" s="1" t="s">
        <v>35</v>
      </c>
      <c r="E462" s="2" t="s">
        <v>3216</v>
      </c>
      <c r="F462" s="2" t="b">
        <f t="shared" si="31"/>
        <v>0</v>
      </c>
      <c r="G462" s="2">
        <f t="shared" si="29"/>
        <v>42332</v>
      </c>
      <c r="H462" s="1" t="s">
        <v>14</v>
      </c>
      <c r="I462" s="1" t="s">
        <v>863</v>
      </c>
      <c r="J462" s="1">
        <v>80</v>
      </c>
      <c r="K462" s="1">
        <v>74</v>
      </c>
      <c r="L462" s="3">
        <v>7.4999999999999997E-2</v>
      </c>
      <c r="N462" t="s">
        <v>3216</v>
      </c>
      <c r="P462">
        <v>11</v>
      </c>
      <c r="Q462">
        <v>24</v>
      </c>
      <c r="R462">
        <v>2015</v>
      </c>
      <c r="S462" s="4">
        <f t="shared" si="30"/>
        <v>42332</v>
      </c>
      <c r="T462" s="4">
        <f t="shared" si="28"/>
        <v>42332</v>
      </c>
      <c r="U462" s="4">
        <v>42332</v>
      </c>
    </row>
    <row r="463" spans="1:21" x14ac:dyDescent="0.3">
      <c r="A463" t="s">
        <v>864</v>
      </c>
      <c r="B463" s="1" t="s">
        <v>264</v>
      </c>
      <c r="C463" s="1" t="s">
        <v>265</v>
      </c>
      <c r="D463" s="1" t="s">
        <v>13</v>
      </c>
      <c r="E463" s="2">
        <v>41796</v>
      </c>
      <c r="F463" s="2" t="b">
        <f t="shared" si="31"/>
        <v>1</v>
      </c>
      <c r="G463" s="2">
        <f t="shared" si="29"/>
        <v>41796</v>
      </c>
      <c r="H463" s="1" t="s">
        <v>104</v>
      </c>
      <c r="I463" s="1" t="s">
        <v>314</v>
      </c>
      <c r="J463" s="1">
        <v>70</v>
      </c>
      <c r="K463" s="1">
        <v>59</v>
      </c>
      <c r="L463" s="3">
        <v>0.15709999999999999</v>
      </c>
      <c r="N463" t="s">
        <v>3763</v>
      </c>
      <c r="S463" s="4" t="e">
        <f t="shared" si="30"/>
        <v>#NUM!</v>
      </c>
      <c r="T463" s="4" t="str">
        <f t="shared" si="28"/>
        <v/>
      </c>
      <c r="U463" s="4" t="s">
        <v>3763</v>
      </c>
    </row>
    <row r="464" spans="1:21" x14ac:dyDescent="0.3">
      <c r="A464" t="s">
        <v>865</v>
      </c>
      <c r="B464" s="1" t="s">
        <v>59</v>
      </c>
      <c r="C464" s="1" t="s">
        <v>60</v>
      </c>
      <c r="D464" s="1" t="s">
        <v>13</v>
      </c>
      <c r="E464" s="2" t="s">
        <v>3217</v>
      </c>
      <c r="F464" s="2" t="b">
        <f t="shared" si="31"/>
        <v>0</v>
      </c>
      <c r="G464" s="2">
        <f t="shared" si="29"/>
        <v>42946</v>
      </c>
      <c r="H464" s="1" t="s">
        <v>104</v>
      </c>
      <c r="I464" s="1" t="s">
        <v>312</v>
      </c>
      <c r="J464" s="1">
        <v>70</v>
      </c>
      <c r="K464" s="1">
        <v>68</v>
      </c>
      <c r="L464" s="3">
        <v>2.86E-2</v>
      </c>
      <c r="N464" t="s">
        <v>3217</v>
      </c>
      <c r="P464">
        <v>7</v>
      </c>
      <c r="Q464">
        <v>30</v>
      </c>
      <c r="R464">
        <v>2017</v>
      </c>
      <c r="S464" s="4">
        <f t="shared" si="30"/>
        <v>42946</v>
      </c>
      <c r="T464" s="4">
        <f t="shared" si="28"/>
        <v>42946</v>
      </c>
      <c r="U464" s="4">
        <v>42946</v>
      </c>
    </row>
    <row r="465" spans="1:21" x14ac:dyDescent="0.3">
      <c r="A465" t="s">
        <v>866</v>
      </c>
      <c r="B465" s="1" t="s">
        <v>127</v>
      </c>
      <c r="C465" s="1" t="s">
        <v>128</v>
      </c>
      <c r="D465" s="1" t="s">
        <v>13</v>
      </c>
      <c r="E465" s="2">
        <v>42958</v>
      </c>
      <c r="F465" s="2" t="b">
        <f t="shared" si="31"/>
        <v>1</v>
      </c>
      <c r="G465" s="2">
        <f t="shared" si="29"/>
        <v>42958</v>
      </c>
      <c r="H465" s="1" t="s">
        <v>30</v>
      </c>
      <c r="I465" s="1" t="s">
        <v>867</v>
      </c>
      <c r="J465" s="1">
        <v>150</v>
      </c>
      <c r="K465" s="1">
        <v>146</v>
      </c>
      <c r="L465" s="3">
        <v>2.6700000000000002E-2</v>
      </c>
      <c r="N465" t="s">
        <v>3763</v>
      </c>
      <c r="S465" s="4" t="e">
        <f t="shared" si="30"/>
        <v>#NUM!</v>
      </c>
      <c r="T465" s="4" t="str">
        <f t="shared" si="28"/>
        <v/>
      </c>
      <c r="U465" s="4" t="s">
        <v>3763</v>
      </c>
    </row>
    <row r="466" spans="1:21" x14ac:dyDescent="0.3">
      <c r="A466" t="s">
        <v>868</v>
      </c>
      <c r="B466" s="1" t="s">
        <v>11</v>
      </c>
      <c r="C466" s="1" t="s">
        <v>12</v>
      </c>
      <c r="D466" s="1" t="s">
        <v>13</v>
      </c>
      <c r="E466" s="2" t="s">
        <v>3218</v>
      </c>
      <c r="F466" s="2" t="b">
        <f t="shared" si="31"/>
        <v>0</v>
      </c>
      <c r="G466" s="2">
        <f t="shared" si="29"/>
        <v>41899</v>
      </c>
      <c r="H466" s="1" t="s">
        <v>61</v>
      </c>
      <c r="I466" s="1" t="s">
        <v>193</v>
      </c>
      <c r="J466" s="1">
        <v>1000</v>
      </c>
      <c r="K466" s="1">
        <v>630</v>
      </c>
      <c r="L466" s="3">
        <v>0.37</v>
      </c>
      <c r="N466" t="s">
        <v>3218</v>
      </c>
      <c r="P466">
        <v>9</v>
      </c>
      <c r="Q466">
        <v>17</v>
      </c>
      <c r="R466">
        <v>2014</v>
      </c>
      <c r="S466" s="4">
        <f t="shared" si="30"/>
        <v>41899</v>
      </c>
      <c r="T466" s="4">
        <f t="shared" si="28"/>
        <v>41899</v>
      </c>
      <c r="U466" s="4">
        <v>41899</v>
      </c>
    </row>
    <row r="467" spans="1:21" x14ac:dyDescent="0.3">
      <c r="A467" t="s">
        <v>869</v>
      </c>
      <c r="B467" s="1" t="s">
        <v>227</v>
      </c>
      <c r="C467" s="1" t="s">
        <v>228</v>
      </c>
      <c r="D467" s="1" t="s">
        <v>24</v>
      </c>
      <c r="E467" s="2" t="s">
        <v>3212</v>
      </c>
      <c r="F467" s="2" t="b">
        <f t="shared" si="31"/>
        <v>0</v>
      </c>
      <c r="G467" s="2">
        <f t="shared" si="29"/>
        <v>43391</v>
      </c>
      <c r="H467" s="1" t="s">
        <v>36</v>
      </c>
      <c r="I467" s="1" t="s">
        <v>870</v>
      </c>
      <c r="J467" s="1">
        <v>50</v>
      </c>
      <c r="K467" s="1">
        <v>44</v>
      </c>
      <c r="L467" s="3">
        <v>0.12</v>
      </c>
      <c r="N467" t="s">
        <v>3212</v>
      </c>
      <c r="P467">
        <v>10</v>
      </c>
      <c r="Q467">
        <v>18</v>
      </c>
      <c r="R467">
        <v>2018</v>
      </c>
      <c r="S467" s="4">
        <f t="shared" si="30"/>
        <v>43391</v>
      </c>
      <c r="T467" s="4">
        <f t="shared" si="28"/>
        <v>43391</v>
      </c>
      <c r="U467" s="4">
        <v>43391</v>
      </c>
    </row>
    <row r="468" spans="1:21" x14ac:dyDescent="0.3">
      <c r="A468" t="s">
        <v>871</v>
      </c>
      <c r="B468" s="1" t="s">
        <v>64</v>
      </c>
      <c r="C468" s="1" t="s">
        <v>65</v>
      </c>
      <c r="D468" s="1" t="s">
        <v>35</v>
      </c>
      <c r="E468" s="2" t="s">
        <v>3219</v>
      </c>
      <c r="F468" s="2" t="b">
        <f t="shared" si="31"/>
        <v>0</v>
      </c>
      <c r="G468" s="2">
        <f t="shared" si="29"/>
        <v>42004</v>
      </c>
      <c r="H468" s="1" t="s">
        <v>25</v>
      </c>
      <c r="I468" s="1" t="s">
        <v>872</v>
      </c>
      <c r="J468" s="1">
        <v>700</v>
      </c>
      <c r="K468" s="1">
        <v>693</v>
      </c>
      <c r="L468" s="3">
        <v>0.01</v>
      </c>
      <c r="N468" t="s">
        <v>3219</v>
      </c>
      <c r="P468">
        <v>12</v>
      </c>
      <c r="Q468">
        <v>31</v>
      </c>
      <c r="R468">
        <v>2014</v>
      </c>
      <c r="S468" s="4">
        <f t="shared" si="30"/>
        <v>42004</v>
      </c>
      <c r="T468" s="4">
        <f t="shared" si="28"/>
        <v>42004</v>
      </c>
      <c r="U468" s="4">
        <v>42004</v>
      </c>
    </row>
    <row r="469" spans="1:21" x14ac:dyDescent="0.3">
      <c r="A469" t="s">
        <v>873</v>
      </c>
      <c r="B469" s="1" t="s">
        <v>187</v>
      </c>
      <c r="C469" s="1" t="s">
        <v>188</v>
      </c>
      <c r="D469" s="1" t="s">
        <v>13</v>
      </c>
      <c r="E469" s="2" t="s">
        <v>3220</v>
      </c>
      <c r="F469" s="2" t="b">
        <f t="shared" si="31"/>
        <v>0</v>
      </c>
      <c r="G469" s="2">
        <f t="shared" si="29"/>
        <v>42937</v>
      </c>
      <c r="H469" s="1" t="s">
        <v>25</v>
      </c>
      <c r="I469" s="1" t="s">
        <v>791</v>
      </c>
      <c r="J469" s="1">
        <v>700</v>
      </c>
      <c r="K469" s="1">
        <v>637</v>
      </c>
      <c r="L469" s="3">
        <v>0.09</v>
      </c>
      <c r="N469" t="s">
        <v>3220</v>
      </c>
      <c r="P469">
        <v>7</v>
      </c>
      <c r="Q469">
        <v>21</v>
      </c>
      <c r="R469">
        <v>2017</v>
      </c>
      <c r="S469" s="4">
        <f t="shared" si="30"/>
        <v>42937</v>
      </c>
      <c r="T469" s="4">
        <f t="shared" si="28"/>
        <v>42937</v>
      </c>
      <c r="U469" s="4">
        <v>42937</v>
      </c>
    </row>
    <row r="470" spans="1:21" x14ac:dyDescent="0.3">
      <c r="A470" t="s">
        <v>874</v>
      </c>
      <c r="B470" s="1" t="s">
        <v>44</v>
      </c>
      <c r="C470" s="1" t="s">
        <v>45</v>
      </c>
      <c r="D470" s="1" t="s">
        <v>24</v>
      </c>
      <c r="E470" s="2">
        <v>42556</v>
      </c>
      <c r="F470" s="2" t="b">
        <f t="shared" si="31"/>
        <v>1</v>
      </c>
      <c r="G470" s="2">
        <f t="shared" si="29"/>
        <v>42556</v>
      </c>
      <c r="H470" s="1" t="s">
        <v>14</v>
      </c>
      <c r="I470" s="1" t="s">
        <v>301</v>
      </c>
      <c r="J470" s="1">
        <v>80</v>
      </c>
      <c r="K470" s="1">
        <v>68</v>
      </c>
      <c r="L470" s="3">
        <v>0.15</v>
      </c>
      <c r="N470" t="s">
        <v>3763</v>
      </c>
      <c r="S470" s="4" t="e">
        <f t="shared" si="30"/>
        <v>#NUM!</v>
      </c>
      <c r="T470" s="4" t="str">
        <f t="shared" si="28"/>
        <v/>
      </c>
      <c r="U470" s="4" t="s">
        <v>3763</v>
      </c>
    </row>
    <row r="471" spans="1:21" x14ac:dyDescent="0.3">
      <c r="A471" t="s">
        <v>875</v>
      </c>
      <c r="B471" s="1" t="s">
        <v>77</v>
      </c>
      <c r="C471" s="1" t="s">
        <v>78</v>
      </c>
      <c r="D471" s="1" t="s">
        <v>35</v>
      </c>
      <c r="E471" s="2" t="s">
        <v>3001</v>
      </c>
      <c r="F471" s="2" t="b">
        <f t="shared" si="31"/>
        <v>0</v>
      </c>
      <c r="G471" s="2">
        <f t="shared" si="29"/>
        <v>41714</v>
      </c>
      <c r="H471" s="1" t="s">
        <v>41</v>
      </c>
      <c r="I471" s="1" t="s">
        <v>162</v>
      </c>
      <c r="J471" s="1">
        <v>30</v>
      </c>
      <c r="K471" s="1">
        <v>26</v>
      </c>
      <c r="L471" s="3">
        <v>0.1333</v>
      </c>
      <c r="N471" t="s">
        <v>3001</v>
      </c>
      <c r="P471">
        <v>3</v>
      </c>
      <c r="Q471">
        <v>16</v>
      </c>
      <c r="R471">
        <v>2014</v>
      </c>
      <c r="S471" s="4">
        <f t="shared" si="30"/>
        <v>41714</v>
      </c>
      <c r="T471" s="4">
        <f t="shared" si="28"/>
        <v>41714</v>
      </c>
      <c r="U471" s="4">
        <v>41714</v>
      </c>
    </row>
    <row r="472" spans="1:21" x14ac:dyDescent="0.3">
      <c r="A472" t="s">
        <v>876</v>
      </c>
      <c r="B472" s="1" t="s">
        <v>289</v>
      </c>
      <c r="C472" s="1" t="s">
        <v>108</v>
      </c>
      <c r="D472" s="1" t="s">
        <v>19</v>
      </c>
      <c r="E472" s="2" t="s">
        <v>3221</v>
      </c>
      <c r="F472" s="2" t="b">
        <f t="shared" si="31"/>
        <v>0</v>
      </c>
      <c r="G472" s="2">
        <f t="shared" si="29"/>
        <v>43005</v>
      </c>
      <c r="H472" s="1" t="s">
        <v>115</v>
      </c>
      <c r="I472" s="1" t="s">
        <v>877</v>
      </c>
      <c r="J472" s="1">
        <v>250</v>
      </c>
      <c r="K472" s="1">
        <v>240</v>
      </c>
      <c r="L472" s="3">
        <v>0.04</v>
      </c>
      <c r="N472" t="s">
        <v>3221</v>
      </c>
      <c r="P472">
        <v>9</v>
      </c>
      <c r="Q472">
        <v>27</v>
      </c>
      <c r="R472">
        <v>2017</v>
      </c>
      <c r="S472" s="4">
        <f t="shared" si="30"/>
        <v>43005</v>
      </c>
      <c r="T472" s="4">
        <f t="shared" si="28"/>
        <v>43005</v>
      </c>
      <c r="U472" s="4">
        <v>43005</v>
      </c>
    </row>
    <row r="473" spans="1:21" x14ac:dyDescent="0.3">
      <c r="A473" t="s">
        <v>878</v>
      </c>
      <c r="B473" s="1" t="s">
        <v>103</v>
      </c>
      <c r="C473" s="1" t="s">
        <v>71</v>
      </c>
      <c r="D473" s="1" t="s">
        <v>35</v>
      </c>
      <c r="E473" s="2">
        <v>43320</v>
      </c>
      <c r="F473" s="2" t="b">
        <f t="shared" si="31"/>
        <v>1</v>
      </c>
      <c r="G473" s="2">
        <f t="shared" si="29"/>
        <v>43320</v>
      </c>
      <c r="H473" s="1" t="s">
        <v>30</v>
      </c>
      <c r="I473" s="1" t="s">
        <v>105</v>
      </c>
      <c r="J473" s="1">
        <v>150</v>
      </c>
      <c r="K473" s="1">
        <v>131</v>
      </c>
      <c r="L473" s="3">
        <v>0.12670000000000001</v>
      </c>
      <c r="N473" t="s">
        <v>3763</v>
      </c>
      <c r="S473" s="4" t="e">
        <f t="shared" si="30"/>
        <v>#NUM!</v>
      </c>
      <c r="T473" s="4" t="str">
        <f t="shared" si="28"/>
        <v/>
      </c>
      <c r="U473" s="4" t="s">
        <v>3763</v>
      </c>
    </row>
    <row r="474" spans="1:21" x14ac:dyDescent="0.3">
      <c r="A474" t="s">
        <v>879</v>
      </c>
      <c r="B474" s="1" t="s">
        <v>146</v>
      </c>
      <c r="C474" s="1" t="s">
        <v>147</v>
      </c>
      <c r="D474" s="1" t="s">
        <v>13</v>
      </c>
      <c r="E474" s="2">
        <v>42770</v>
      </c>
      <c r="F474" s="2" t="b">
        <f t="shared" si="31"/>
        <v>1</v>
      </c>
      <c r="G474" s="2">
        <f t="shared" si="29"/>
        <v>42770</v>
      </c>
      <c r="H474" s="1" t="s">
        <v>61</v>
      </c>
      <c r="I474" s="1" t="s">
        <v>725</v>
      </c>
      <c r="J474" s="1">
        <v>1000</v>
      </c>
      <c r="K474" s="1">
        <v>820</v>
      </c>
      <c r="L474" s="3">
        <v>0.18</v>
      </c>
      <c r="N474" t="s">
        <v>3763</v>
      </c>
      <c r="S474" s="4" t="e">
        <f t="shared" si="30"/>
        <v>#NUM!</v>
      </c>
      <c r="T474" s="4" t="str">
        <f t="shared" si="28"/>
        <v/>
      </c>
      <c r="U474" s="4" t="s">
        <v>3763</v>
      </c>
    </row>
    <row r="475" spans="1:21" x14ac:dyDescent="0.3">
      <c r="A475" t="s">
        <v>880</v>
      </c>
      <c r="B475" s="1" t="s">
        <v>434</v>
      </c>
      <c r="C475" s="1" t="s">
        <v>435</v>
      </c>
      <c r="D475" s="1" t="s">
        <v>24</v>
      </c>
      <c r="E475" s="2" t="s">
        <v>3222</v>
      </c>
      <c r="F475" s="2" t="b">
        <f t="shared" si="31"/>
        <v>0</v>
      </c>
      <c r="G475" s="2">
        <f t="shared" si="29"/>
        <v>43331</v>
      </c>
      <c r="H475" s="1" t="s">
        <v>55</v>
      </c>
      <c r="I475" s="1" t="s">
        <v>764</v>
      </c>
      <c r="J475" s="1">
        <v>800</v>
      </c>
      <c r="K475" s="1">
        <v>528</v>
      </c>
      <c r="L475" s="3">
        <v>0.34</v>
      </c>
      <c r="N475" t="s">
        <v>3222</v>
      </c>
      <c r="P475">
        <v>8</v>
      </c>
      <c r="Q475">
        <v>19</v>
      </c>
      <c r="R475">
        <v>2018</v>
      </c>
      <c r="S475" s="4">
        <f t="shared" si="30"/>
        <v>43331</v>
      </c>
      <c r="T475" s="4">
        <f t="shared" si="28"/>
        <v>43331</v>
      </c>
      <c r="U475" s="4">
        <v>43331</v>
      </c>
    </row>
    <row r="476" spans="1:21" x14ac:dyDescent="0.3">
      <c r="A476" t="s">
        <v>881</v>
      </c>
      <c r="B476" s="1" t="s">
        <v>324</v>
      </c>
      <c r="C476" s="1" t="s">
        <v>325</v>
      </c>
      <c r="D476" s="1" t="s">
        <v>13</v>
      </c>
      <c r="E476" s="2" t="s">
        <v>3027</v>
      </c>
      <c r="F476" s="2" t="b">
        <f t="shared" si="31"/>
        <v>0</v>
      </c>
      <c r="G476" s="2">
        <f t="shared" si="29"/>
        <v>41833</v>
      </c>
      <c r="H476" s="1" t="s">
        <v>104</v>
      </c>
      <c r="I476" s="1" t="s">
        <v>453</v>
      </c>
      <c r="J476" s="1">
        <v>70</v>
      </c>
      <c r="K476" s="1">
        <v>69</v>
      </c>
      <c r="L476" s="3">
        <v>1.43E-2</v>
      </c>
      <c r="N476" t="s">
        <v>3027</v>
      </c>
      <c r="P476">
        <v>7</v>
      </c>
      <c r="Q476">
        <v>13</v>
      </c>
      <c r="R476">
        <v>2014</v>
      </c>
      <c r="S476" s="4">
        <f t="shared" si="30"/>
        <v>41833</v>
      </c>
      <c r="T476" s="4">
        <f t="shared" si="28"/>
        <v>41833</v>
      </c>
      <c r="U476" s="4">
        <v>41833</v>
      </c>
    </row>
    <row r="477" spans="1:21" x14ac:dyDescent="0.3">
      <c r="A477" t="s">
        <v>882</v>
      </c>
      <c r="B477" s="1" t="s">
        <v>324</v>
      </c>
      <c r="C477" s="1" t="s">
        <v>325</v>
      </c>
      <c r="D477" s="1" t="s">
        <v>13</v>
      </c>
      <c r="E477" s="2">
        <v>43318</v>
      </c>
      <c r="F477" s="2" t="b">
        <f t="shared" si="31"/>
        <v>1</v>
      </c>
      <c r="G477" s="2">
        <f t="shared" si="29"/>
        <v>43318</v>
      </c>
      <c r="H477" s="1" t="s">
        <v>46</v>
      </c>
      <c r="I477" s="1" t="s">
        <v>883</v>
      </c>
      <c r="J477" s="1">
        <v>500</v>
      </c>
      <c r="K477" s="1">
        <v>485</v>
      </c>
      <c r="L477" s="3">
        <v>0.03</v>
      </c>
      <c r="N477" t="s">
        <v>3763</v>
      </c>
      <c r="S477" s="4" t="e">
        <f t="shared" si="30"/>
        <v>#NUM!</v>
      </c>
      <c r="T477" s="4" t="str">
        <f t="shared" si="28"/>
        <v/>
      </c>
      <c r="U477" s="4" t="s">
        <v>3763</v>
      </c>
    </row>
    <row r="478" spans="1:21" x14ac:dyDescent="0.3">
      <c r="A478" t="s">
        <v>884</v>
      </c>
      <c r="B478" s="1" t="s">
        <v>114</v>
      </c>
      <c r="C478" s="1" t="s">
        <v>54</v>
      </c>
      <c r="D478" s="1" t="s">
        <v>13</v>
      </c>
      <c r="E478" s="2" t="s">
        <v>3223</v>
      </c>
      <c r="F478" s="2" t="b">
        <f t="shared" si="31"/>
        <v>0</v>
      </c>
      <c r="G478" s="2">
        <f t="shared" si="29"/>
        <v>42113</v>
      </c>
      <c r="H478" s="1" t="s">
        <v>122</v>
      </c>
      <c r="I478" s="1" t="s">
        <v>885</v>
      </c>
      <c r="J478" s="1">
        <v>50</v>
      </c>
      <c r="K478" s="1">
        <v>39</v>
      </c>
      <c r="L478" s="3">
        <v>0.22</v>
      </c>
      <c r="N478" t="s">
        <v>3223</v>
      </c>
      <c r="P478">
        <v>4</v>
      </c>
      <c r="Q478">
        <v>19</v>
      </c>
      <c r="R478">
        <v>2015</v>
      </c>
      <c r="S478" s="4">
        <f t="shared" si="30"/>
        <v>42113</v>
      </c>
      <c r="T478" s="4">
        <f t="shared" si="28"/>
        <v>42113</v>
      </c>
      <c r="U478" s="4">
        <v>42113</v>
      </c>
    </row>
    <row r="479" spans="1:21" x14ac:dyDescent="0.3">
      <c r="A479" t="s">
        <v>886</v>
      </c>
      <c r="B479" s="1" t="s">
        <v>114</v>
      </c>
      <c r="C479" s="1" t="s">
        <v>54</v>
      </c>
      <c r="D479" s="1" t="s">
        <v>13</v>
      </c>
      <c r="E479" s="2" t="s">
        <v>3075</v>
      </c>
      <c r="F479" s="2" t="b">
        <f t="shared" si="31"/>
        <v>0</v>
      </c>
      <c r="G479" s="2">
        <f t="shared" si="29"/>
        <v>42851</v>
      </c>
      <c r="H479" s="1" t="s">
        <v>61</v>
      </c>
      <c r="I479" s="1" t="s">
        <v>887</v>
      </c>
      <c r="J479" s="1">
        <v>1000</v>
      </c>
      <c r="K479" s="1">
        <v>830</v>
      </c>
      <c r="L479" s="3">
        <v>0.17</v>
      </c>
      <c r="N479" t="s">
        <v>3075</v>
      </c>
      <c r="P479">
        <v>4</v>
      </c>
      <c r="Q479">
        <v>26</v>
      </c>
      <c r="R479">
        <v>2017</v>
      </c>
      <c r="S479" s="4">
        <f t="shared" si="30"/>
        <v>42851</v>
      </c>
      <c r="T479" s="4">
        <f t="shared" si="28"/>
        <v>42851</v>
      </c>
      <c r="U479" s="4">
        <v>42851</v>
      </c>
    </row>
    <row r="480" spans="1:21" x14ac:dyDescent="0.3">
      <c r="A480" t="s">
        <v>888</v>
      </c>
      <c r="B480" s="1" t="s">
        <v>157</v>
      </c>
      <c r="C480" s="1" t="s">
        <v>108</v>
      </c>
      <c r="D480" s="1" t="s">
        <v>19</v>
      </c>
      <c r="E480" s="2" t="s">
        <v>3224</v>
      </c>
      <c r="F480" s="2" t="b">
        <f t="shared" si="31"/>
        <v>0</v>
      </c>
      <c r="G480" s="2">
        <f t="shared" si="29"/>
        <v>42627</v>
      </c>
      <c r="H480" s="1" t="s">
        <v>36</v>
      </c>
      <c r="I480" s="1" t="s">
        <v>464</v>
      </c>
      <c r="J480" s="1">
        <v>50</v>
      </c>
      <c r="K480" s="1">
        <v>44</v>
      </c>
      <c r="L480" s="3">
        <v>0.12</v>
      </c>
      <c r="N480" t="s">
        <v>3224</v>
      </c>
      <c r="P480">
        <v>9</v>
      </c>
      <c r="Q480">
        <v>14</v>
      </c>
      <c r="R480">
        <v>2016</v>
      </c>
      <c r="S480" s="4">
        <f t="shared" si="30"/>
        <v>42627</v>
      </c>
      <c r="T480" s="4">
        <f t="shared" si="28"/>
        <v>42627</v>
      </c>
      <c r="U480" s="4">
        <v>42627</v>
      </c>
    </row>
    <row r="481" spans="1:21" x14ac:dyDescent="0.3">
      <c r="A481" t="s">
        <v>889</v>
      </c>
      <c r="B481" s="1" t="s">
        <v>53</v>
      </c>
      <c r="C481" s="1" t="s">
        <v>54</v>
      </c>
      <c r="D481" s="1" t="s">
        <v>13</v>
      </c>
      <c r="E481" s="2" t="s">
        <v>3225</v>
      </c>
      <c r="F481" s="2" t="b">
        <f t="shared" si="31"/>
        <v>0</v>
      </c>
      <c r="G481" s="2">
        <f t="shared" si="29"/>
        <v>41940</v>
      </c>
      <c r="H481" s="1" t="s">
        <v>72</v>
      </c>
      <c r="I481" s="1" t="s">
        <v>404</v>
      </c>
      <c r="J481" s="1">
        <v>500</v>
      </c>
      <c r="K481" s="1">
        <v>500</v>
      </c>
      <c r="L481" s="3">
        <v>0</v>
      </c>
      <c r="N481" t="s">
        <v>3225</v>
      </c>
      <c r="P481">
        <v>10</v>
      </c>
      <c r="Q481">
        <v>28</v>
      </c>
      <c r="R481">
        <v>2014</v>
      </c>
      <c r="S481" s="4">
        <f t="shared" si="30"/>
        <v>41940</v>
      </c>
      <c r="T481" s="4">
        <f t="shared" si="28"/>
        <v>41940</v>
      </c>
      <c r="U481" s="4">
        <v>41940</v>
      </c>
    </row>
    <row r="482" spans="1:21" x14ac:dyDescent="0.3">
      <c r="A482" t="s">
        <v>890</v>
      </c>
      <c r="B482" s="1" t="s">
        <v>17</v>
      </c>
      <c r="C482" s="1" t="s">
        <v>18</v>
      </c>
      <c r="D482" s="1" t="s">
        <v>19</v>
      </c>
      <c r="E482" s="2" t="s">
        <v>3226</v>
      </c>
      <c r="F482" s="2" t="b">
        <f t="shared" si="31"/>
        <v>0</v>
      </c>
      <c r="G482" s="2">
        <f t="shared" si="29"/>
        <v>42184</v>
      </c>
      <c r="H482" s="1" t="s">
        <v>36</v>
      </c>
      <c r="I482" s="1" t="s">
        <v>493</v>
      </c>
      <c r="J482" s="1">
        <v>50</v>
      </c>
      <c r="K482" s="1">
        <v>37</v>
      </c>
      <c r="L482" s="3">
        <v>0.26</v>
      </c>
      <c r="N482" t="s">
        <v>3226</v>
      </c>
      <c r="P482">
        <v>6</v>
      </c>
      <c r="Q482">
        <v>29</v>
      </c>
      <c r="R482">
        <v>2015</v>
      </c>
      <c r="S482" s="4">
        <f t="shared" si="30"/>
        <v>42184</v>
      </c>
      <c r="T482" s="4">
        <f t="shared" si="28"/>
        <v>42184</v>
      </c>
      <c r="U482" s="4">
        <v>42184</v>
      </c>
    </row>
    <row r="483" spans="1:21" x14ac:dyDescent="0.3">
      <c r="A483" t="s">
        <v>891</v>
      </c>
      <c r="B483" s="1" t="s">
        <v>182</v>
      </c>
      <c r="C483" s="1" t="s">
        <v>108</v>
      </c>
      <c r="D483" s="1" t="s">
        <v>19</v>
      </c>
      <c r="E483" s="2" t="s">
        <v>3227</v>
      </c>
      <c r="F483" s="2" t="b">
        <f t="shared" si="31"/>
        <v>0</v>
      </c>
      <c r="G483" s="2">
        <f t="shared" si="29"/>
        <v>42812</v>
      </c>
      <c r="H483" s="1" t="s">
        <v>14</v>
      </c>
      <c r="I483" s="1" t="s">
        <v>505</v>
      </c>
      <c r="J483" s="1">
        <v>80</v>
      </c>
      <c r="K483" s="1">
        <v>78</v>
      </c>
      <c r="L483" s="3">
        <v>2.5000000000000001E-2</v>
      </c>
      <c r="N483" t="s">
        <v>3227</v>
      </c>
      <c r="P483">
        <v>3</v>
      </c>
      <c r="Q483">
        <v>18</v>
      </c>
      <c r="R483">
        <v>2017</v>
      </c>
      <c r="S483" s="4">
        <f t="shared" si="30"/>
        <v>42812</v>
      </c>
      <c r="T483" s="4">
        <f t="shared" si="28"/>
        <v>42812</v>
      </c>
      <c r="U483" s="4">
        <v>42812</v>
      </c>
    </row>
    <row r="484" spans="1:21" x14ac:dyDescent="0.3">
      <c r="A484" t="s">
        <v>892</v>
      </c>
      <c r="B484" s="1" t="s">
        <v>270</v>
      </c>
      <c r="C484" s="1" t="s">
        <v>271</v>
      </c>
      <c r="D484" s="1" t="s">
        <v>35</v>
      </c>
      <c r="E484" s="2" t="s">
        <v>2998</v>
      </c>
      <c r="F484" s="2" t="b">
        <f t="shared" si="31"/>
        <v>0</v>
      </c>
      <c r="G484" s="2">
        <f t="shared" si="29"/>
        <v>43342</v>
      </c>
      <c r="H484" s="1" t="s">
        <v>104</v>
      </c>
      <c r="I484" s="1" t="s">
        <v>337</v>
      </c>
      <c r="J484" s="1">
        <v>70</v>
      </c>
      <c r="K484" s="1">
        <v>65</v>
      </c>
      <c r="L484" s="3">
        <v>7.1400000000000005E-2</v>
      </c>
      <c r="N484" t="s">
        <v>2998</v>
      </c>
      <c r="P484">
        <v>8</v>
      </c>
      <c r="Q484">
        <v>30</v>
      </c>
      <c r="R484">
        <v>2018</v>
      </c>
      <c r="S484" s="4">
        <f t="shared" si="30"/>
        <v>43342</v>
      </c>
      <c r="T484" s="4">
        <f t="shared" si="28"/>
        <v>43342</v>
      </c>
      <c r="U484" s="4">
        <v>43342</v>
      </c>
    </row>
    <row r="485" spans="1:21" x14ac:dyDescent="0.3">
      <c r="A485" t="s">
        <v>893</v>
      </c>
      <c r="B485" s="1" t="s">
        <v>107</v>
      </c>
      <c r="C485" s="1" t="s">
        <v>108</v>
      </c>
      <c r="D485" s="1" t="s">
        <v>19</v>
      </c>
      <c r="E485" s="2" t="s">
        <v>3228</v>
      </c>
      <c r="F485" s="2" t="b">
        <f t="shared" si="31"/>
        <v>0</v>
      </c>
      <c r="G485" s="2">
        <f t="shared" si="29"/>
        <v>41845</v>
      </c>
      <c r="H485" s="1" t="s">
        <v>115</v>
      </c>
      <c r="I485" s="1" t="s">
        <v>894</v>
      </c>
      <c r="J485" s="1">
        <v>250</v>
      </c>
      <c r="K485" s="1">
        <v>228</v>
      </c>
      <c r="L485" s="3">
        <v>8.7999999999999995E-2</v>
      </c>
      <c r="N485" t="s">
        <v>3228</v>
      </c>
      <c r="P485">
        <v>7</v>
      </c>
      <c r="Q485">
        <v>25</v>
      </c>
      <c r="R485">
        <v>2014</v>
      </c>
      <c r="S485" s="4">
        <f t="shared" si="30"/>
        <v>41845</v>
      </c>
      <c r="T485" s="4">
        <f t="shared" si="28"/>
        <v>41845</v>
      </c>
      <c r="U485" s="4">
        <v>41845</v>
      </c>
    </row>
    <row r="486" spans="1:21" x14ac:dyDescent="0.3">
      <c r="A486" t="s">
        <v>895</v>
      </c>
      <c r="B486" s="1" t="s">
        <v>118</v>
      </c>
      <c r="C486" s="1" t="s">
        <v>119</v>
      </c>
      <c r="D486" s="1" t="s">
        <v>35</v>
      </c>
      <c r="E486" s="2">
        <v>42990</v>
      </c>
      <c r="F486" s="2" t="b">
        <f t="shared" si="31"/>
        <v>1</v>
      </c>
      <c r="G486" s="2">
        <f t="shared" si="29"/>
        <v>42990</v>
      </c>
      <c r="H486" s="1" t="s">
        <v>115</v>
      </c>
      <c r="I486" s="1" t="s">
        <v>896</v>
      </c>
      <c r="J486" s="1">
        <v>250</v>
      </c>
      <c r="K486" s="1">
        <v>250</v>
      </c>
      <c r="L486" s="3">
        <v>0</v>
      </c>
      <c r="N486" t="s">
        <v>3763</v>
      </c>
      <c r="S486" s="4" t="e">
        <f t="shared" si="30"/>
        <v>#NUM!</v>
      </c>
      <c r="T486" s="4" t="str">
        <f t="shared" si="28"/>
        <v/>
      </c>
      <c r="U486" s="4" t="s">
        <v>3763</v>
      </c>
    </row>
    <row r="487" spans="1:21" x14ac:dyDescent="0.3">
      <c r="A487" t="s">
        <v>897</v>
      </c>
      <c r="B487" s="1" t="s">
        <v>324</v>
      </c>
      <c r="C487" s="1" t="s">
        <v>325</v>
      </c>
      <c r="D487" s="1" t="s">
        <v>13</v>
      </c>
      <c r="E487" s="2" t="s">
        <v>3020</v>
      </c>
      <c r="F487" s="2" t="b">
        <f t="shared" si="31"/>
        <v>0</v>
      </c>
      <c r="G487" s="2">
        <f t="shared" si="29"/>
        <v>42931</v>
      </c>
      <c r="H487" s="1" t="s">
        <v>41</v>
      </c>
      <c r="I487" s="1" t="s">
        <v>365</v>
      </c>
      <c r="J487" s="1">
        <v>30</v>
      </c>
      <c r="K487" s="1">
        <v>29</v>
      </c>
      <c r="L487" s="3">
        <v>3.3300000000000003E-2</v>
      </c>
      <c r="N487" t="s">
        <v>3020</v>
      </c>
      <c r="P487">
        <v>7</v>
      </c>
      <c r="Q487">
        <v>15</v>
      </c>
      <c r="R487">
        <v>2017</v>
      </c>
      <c r="S487" s="4">
        <f t="shared" si="30"/>
        <v>42931</v>
      </c>
      <c r="T487" s="4">
        <f t="shared" si="28"/>
        <v>42931</v>
      </c>
      <c r="U487" s="4">
        <v>42931</v>
      </c>
    </row>
    <row r="488" spans="1:21" x14ac:dyDescent="0.3">
      <c r="A488" t="s">
        <v>898</v>
      </c>
      <c r="B488" s="1" t="s">
        <v>205</v>
      </c>
      <c r="C488" s="1" t="s">
        <v>206</v>
      </c>
      <c r="D488" s="1" t="s">
        <v>24</v>
      </c>
      <c r="E488" s="2">
        <v>42065</v>
      </c>
      <c r="F488" s="2" t="b">
        <f t="shared" si="31"/>
        <v>1</v>
      </c>
      <c r="G488" s="2">
        <f t="shared" si="29"/>
        <v>42065</v>
      </c>
      <c r="H488" s="1" t="s">
        <v>122</v>
      </c>
      <c r="I488" s="1" t="s">
        <v>361</v>
      </c>
      <c r="J488" s="1">
        <v>50</v>
      </c>
      <c r="K488" s="1">
        <v>32</v>
      </c>
      <c r="L488" s="3">
        <v>0.36</v>
      </c>
      <c r="N488" t="s">
        <v>3763</v>
      </c>
      <c r="S488" s="4" t="e">
        <f t="shared" si="30"/>
        <v>#NUM!</v>
      </c>
      <c r="T488" s="4" t="str">
        <f t="shared" si="28"/>
        <v/>
      </c>
      <c r="U488" s="4" t="s">
        <v>3763</v>
      </c>
    </row>
    <row r="489" spans="1:21" x14ac:dyDescent="0.3">
      <c r="A489" t="s">
        <v>899</v>
      </c>
      <c r="B489" s="1" t="s">
        <v>91</v>
      </c>
      <c r="C489" s="1" t="s">
        <v>92</v>
      </c>
      <c r="D489" s="1" t="s">
        <v>35</v>
      </c>
      <c r="E489" s="2" t="s">
        <v>3222</v>
      </c>
      <c r="F489" s="2" t="b">
        <f t="shared" si="31"/>
        <v>0</v>
      </c>
      <c r="G489" s="2">
        <f t="shared" si="29"/>
        <v>43331</v>
      </c>
      <c r="H489" s="1" t="s">
        <v>25</v>
      </c>
      <c r="I489" s="1" t="s">
        <v>900</v>
      </c>
      <c r="J489" s="1">
        <v>700</v>
      </c>
      <c r="K489" s="1">
        <v>686</v>
      </c>
      <c r="L489" s="3">
        <v>0.02</v>
      </c>
      <c r="N489" t="s">
        <v>3222</v>
      </c>
      <c r="P489">
        <v>8</v>
      </c>
      <c r="Q489">
        <v>19</v>
      </c>
      <c r="R489">
        <v>2018</v>
      </c>
      <c r="S489" s="4">
        <f t="shared" si="30"/>
        <v>43331</v>
      </c>
      <c r="T489" s="4">
        <f t="shared" si="28"/>
        <v>43331</v>
      </c>
      <c r="U489" s="4">
        <v>43331</v>
      </c>
    </row>
    <row r="490" spans="1:21" x14ac:dyDescent="0.3">
      <c r="A490" t="s">
        <v>901</v>
      </c>
      <c r="B490" s="1" t="s">
        <v>434</v>
      </c>
      <c r="C490" s="1" t="s">
        <v>435</v>
      </c>
      <c r="D490" s="1" t="s">
        <v>24</v>
      </c>
      <c r="E490" s="2" t="s">
        <v>3229</v>
      </c>
      <c r="F490" s="2" t="b">
        <f t="shared" si="31"/>
        <v>0</v>
      </c>
      <c r="G490" s="2">
        <f t="shared" si="29"/>
        <v>42728</v>
      </c>
      <c r="H490" s="1" t="s">
        <v>30</v>
      </c>
      <c r="I490" s="1" t="s">
        <v>550</v>
      </c>
      <c r="J490" s="1">
        <v>150</v>
      </c>
      <c r="K490" s="1">
        <v>131</v>
      </c>
      <c r="L490" s="3">
        <v>0.12670000000000001</v>
      </c>
      <c r="N490" t="s">
        <v>3229</v>
      </c>
      <c r="P490">
        <v>12</v>
      </c>
      <c r="Q490">
        <v>24</v>
      </c>
      <c r="R490">
        <v>2016</v>
      </c>
      <c r="S490" s="4">
        <f t="shared" si="30"/>
        <v>42728</v>
      </c>
      <c r="T490" s="4">
        <f t="shared" si="28"/>
        <v>42728</v>
      </c>
      <c r="U490" s="4">
        <v>42728</v>
      </c>
    </row>
    <row r="491" spans="1:21" x14ac:dyDescent="0.3">
      <c r="A491" t="s">
        <v>902</v>
      </c>
      <c r="B491" s="1" t="s">
        <v>289</v>
      </c>
      <c r="C491" s="1" t="s">
        <v>108</v>
      </c>
      <c r="D491" s="1" t="s">
        <v>19</v>
      </c>
      <c r="E491" s="2">
        <v>42496</v>
      </c>
      <c r="F491" s="2" t="b">
        <f t="shared" si="31"/>
        <v>1</v>
      </c>
      <c r="G491" s="2">
        <f t="shared" si="29"/>
        <v>42496</v>
      </c>
      <c r="H491" s="1" t="s">
        <v>61</v>
      </c>
      <c r="I491" s="1" t="s">
        <v>903</v>
      </c>
      <c r="J491" s="1">
        <v>1000</v>
      </c>
      <c r="K491" s="1">
        <v>940</v>
      </c>
      <c r="L491" s="3">
        <v>0.06</v>
      </c>
      <c r="N491" t="s">
        <v>3763</v>
      </c>
      <c r="S491" s="4" t="e">
        <f t="shared" si="30"/>
        <v>#NUM!</v>
      </c>
      <c r="T491" s="4" t="str">
        <f t="shared" si="28"/>
        <v/>
      </c>
      <c r="U491" s="4" t="s">
        <v>3763</v>
      </c>
    </row>
    <row r="492" spans="1:21" x14ac:dyDescent="0.3">
      <c r="A492" t="s">
        <v>904</v>
      </c>
      <c r="B492" s="1" t="s">
        <v>99</v>
      </c>
      <c r="C492" s="1" t="s">
        <v>100</v>
      </c>
      <c r="D492" s="1" t="s">
        <v>13</v>
      </c>
      <c r="E492" s="2">
        <v>42588</v>
      </c>
      <c r="F492" s="2" t="b">
        <f t="shared" si="31"/>
        <v>1</v>
      </c>
      <c r="G492" s="2">
        <f t="shared" si="29"/>
        <v>42588</v>
      </c>
      <c r="H492" s="1" t="s">
        <v>30</v>
      </c>
      <c r="I492" s="1" t="s">
        <v>752</v>
      </c>
      <c r="J492" s="1">
        <v>150</v>
      </c>
      <c r="K492" s="1">
        <v>138</v>
      </c>
      <c r="L492" s="3">
        <v>0.08</v>
      </c>
      <c r="N492" t="s">
        <v>3763</v>
      </c>
      <c r="S492" s="4" t="e">
        <f t="shared" si="30"/>
        <v>#NUM!</v>
      </c>
      <c r="T492" s="4" t="str">
        <f t="shared" si="28"/>
        <v/>
      </c>
      <c r="U492" s="4" t="s">
        <v>3763</v>
      </c>
    </row>
    <row r="493" spans="1:21" x14ac:dyDescent="0.3">
      <c r="A493" t="s">
        <v>905</v>
      </c>
      <c r="B493" s="1" t="s">
        <v>224</v>
      </c>
      <c r="C493" s="1" t="s">
        <v>50</v>
      </c>
      <c r="D493" s="1" t="s">
        <v>24</v>
      </c>
      <c r="E493" s="2" t="s">
        <v>3230</v>
      </c>
      <c r="F493" s="2" t="b">
        <f t="shared" si="31"/>
        <v>0</v>
      </c>
      <c r="G493" s="2">
        <f t="shared" si="29"/>
        <v>41778</v>
      </c>
      <c r="H493" s="1" t="s">
        <v>122</v>
      </c>
      <c r="I493" s="1" t="s">
        <v>906</v>
      </c>
      <c r="J493" s="1">
        <v>50</v>
      </c>
      <c r="K493" s="1">
        <v>44</v>
      </c>
      <c r="L493" s="3">
        <v>0.12</v>
      </c>
      <c r="N493" t="s">
        <v>3230</v>
      </c>
      <c r="P493">
        <v>5</v>
      </c>
      <c r="Q493">
        <v>19</v>
      </c>
      <c r="R493">
        <v>2014</v>
      </c>
      <c r="S493" s="4">
        <f t="shared" si="30"/>
        <v>41778</v>
      </c>
      <c r="T493" s="4">
        <f t="shared" si="28"/>
        <v>41778</v>
      </c>
      <c r="U493" s="4">
        <v>41778</v>
      </c>
    </row>
    <row r="494" spans="1:21" x14ac:dyDescent="0.3">
      <c r="A494" t="s">
        <v>907</v>
      </c>
      <c r="B494" s="1" t="s">
        <v>264</v>
      </c>
      <c r="C494" s="1" t="s">
        <v>265</v>
      </c>
      <c r="D494" s="1" t="s">
        <v>13</v>
      </c>
      <c r="E494" s="2">
        <v>42584</v>
      </c>
      <c r="F494" s="2" t="b">
        <f t="shared" si="31"/>
        <v>1</v>
      </c>
      <c r="G494" s="2">
        <f t="shared" si="29"/>
        <v>42584</v>
      </c>
      <c r="H494" s="1" t="s">
        <v>115</v>
      </c>
      <c r="I494" s="1" t="s">
        <v>802</v>
      </c>
      <c r="J494" s="1">
        <v>250</v>
      </c>
      <c r="K494" s="1">
        <v>218</v>
      </c>
      <c r="L494" s="3">
        <v>0.128</v>
      </c>
      <c r="N494" t="s">
        <v>3763</v>
      </c>
      <c r="S494" s="4" t="e">
        <f t="shared" si="30"/>
        <v>#NUM!</v>
      </c>
      <c r="T494" s="4" t="str">
        <f t="shared" si="28"/>
        <v/>
      </c>
      <c r="U494" s="4" t="s">
        <v>3763</v>
      </c>
    </row>
    <row r="495" spans="1:21" x14ac:dyDescent="0.3">
      <c r="A495" t="s">
        <v>908</v>
      </c>
      <c r="B495" s="1" t="s">
        <v>118</v>
      </c>
      <c r="C495" s="1" t="s">
        <v>119</v>
      </c>
      <c r="D495" s="1" t="s">
        <v>35</v>
      </c>
      <c r="E495" s="2">
        <v>42592</v>
      </c>
      <c r="F495" s="2" t="b">
        <f t="shared" si="31"/>
        <v>1</v>
      </c>
      <c r="G495" s="2">
        <f t="shared" si="29"/>
        <v>42592</v>
      </c>
      <c r="H495" s="1" t="s">
        <v>30</v>
      </c>
      <c r="I495" s="1" t="s">
        <v>909</v>
      </c>
      <c r="J495" s="1">
        <v>150</v>
      </c>
      <c r="K495" s="1">
        <v>144</v>
      </c>
      <c r="L495" s="3">
        <v>0.04</v>
      </c>
      <c r="N495" t="s">
        <v>3763</v>
      </c>
      <c r="S495" s="4" t="e">
        <f t="shared" si="30"/>
        <v>#NUM!</v>
      </c>
      <c r="T495" s="4" t="str">
        <f t="shared" si="28"/>
        <v/>
      </c>
      <c r="U495" s="4" t="s">
        <v>3763</v>
      </c>
    </row>
    <row r="496" spans="1:21" x14ac:dyDescent="0.3">
      <c r="A496" t="s">
        <v>910</v>
      </c>
      <c r="B496" s="1" t="s">
        <v>99</v>
      </c>
      <c r="C496" s="1" t="s">
        <v>100</v>
      </c>
      <c r="D496" s="1" t="s">
        <v>13</v>
      </c>
      <c r="E496" s="2">
        <v>43195</v>
      </c>
      <c r="F496" s="2" t="b">
        <f t="shared" si="31"/>
        <v>1</v>
      </c>
      <c r="G496" s="2">
        <f t="shared" si="29"/>
        <v>43195</v>
      </c>
      <c r="H496" s="1" t="s">
        <v>61</v>
      </c>
      <c r="I496" s="1" t="s">
        <v>911</v>
      </c>
      <c r="J496" s="1">
        <v>1000</v>
      </c>
      <c r="K496" s="1">
        <v>890</v>
      </c>
      <c r="L496" s="3">
        <v>0.11</v>
      </c>
      <c r="N496" t="s">
        <v>3763</v>
      </c>
      <c r="S496" s="4" t="e">
        <f t="shared" si="30"/>
        <v>#NUM!</v>
      </c>
      <c r="T496" s="4" t="str">
        <f t="shared" si="28"/>
        <v/>
      </c>
      <c r="U496" s="4" t="s">
        <v>3763</v>
      </c>
    </row>
    <row r="497" spans="1:21" x14ac:dyDescent="0.3">
      <c r="A497" t="s">
        <v>912</v>
      </c>
      <c r="B497" s="1" t="s">
        <v>17</v>
      </c>
      <c r="C497" s="1" t="s">
        <v>18</v>
      </c>
      <c r="D497" s="1" t="s">
        <v>19</v>
      </c>
      <c r="E497" s="2" t="s">
        <v>3020</v>
      </c>
      <c r="F497" s="2" t="b">
        <f t="shared" si="31"/>
        <v>0</v>
      </c>
      <c r="G497" s="2">
        <f t="shared" si="29"/>
        <v>42931</v>
      </c>
      <c r="H497" s="1" t="s">
        <v>30</v>
      </c>
      <c r="I497" s="1" t="s">
        <v>913</v>
      </c>
      <c r="J497" s="1">
        <v>150</v>
      </c>
      <c r="K497" s="1">
        <v>150</v>
      </c>
      <c r="L497" s="3">
        <v>0</v>
      </c>
      <c r="N497" t="s">
        <v>3020</v>
      </c>
      <c r="P497">
        <v>7</v>
      </c>
      <c r="Q497">
        <v>15</v>
      </c>
      <c r="R497">
        <v>2017</v>
      </c>
      <c r="S497" s="4">
        <f t="shared" si="30"/>
        <v>42931</v>
      </c>
      <c r="T497" s="4">
        <f t="shared" si="28"/>
        <v>42931</v>
      </c>
      <c r="U497" s="4">
        <v>42931</v>
      </c>
    </row>
    <row r="498" spans="1:21" x14ac:dyDescent="0.3">
      <c r="A498" t="s">
        <v>914</v>
      </c>
      <c r="B498" s="1" t="s">
        <v>289</v>
      </c>
      <c r="C498" s="1" t="s">
        <v>108</v>
      </c>
      <c r="D498" s="1" t="s">
        <v>19</v>
      </c>
      <c r="E498" s="2">
        <v>41948</v>
      </c>
      <c r="F498" s="2" t="b">
        <f t="shared" si="31"/>
        <v>1</v>
      </c>
      <c r="G498" s="2">
        <f t="shared" si="29"/>
        <v>41948</v>
      </c>
      <c r="H498" s="1" t="s">
        <v>115</v>
      </c>
      <c r="I498" s="1" t="s">
        <v>500</v>
      </c>
      <c r="J498" s="1">
        <v>250</v>
      </c>
      <c r="K498" s="1">
        <v>238</v>
      </c>
      <c r="L498" s="3">
        <v>4.8000000000000001E-2</v>
      </c>
      <c r="N498" t="s">
        <v>3763</v>
      </c>
      <c r="S498" s="4" t="e">
        <f t="shared" si="30"/>
        <v>#NUM!</v>
      </c>
      <c r="T498" s="4" t="str">
        <f t="shared" si="28"/>
        <v/>
      </c>
      <c r="U498" s="4" t="s">
        <v>3763</v>
      </c>
    </row>
    <row r="499" spans="1:21" x14ac:dyDescent="0.3">
      <c r="A499" t="s">
        <v>915</v>
      </c>
      <c r="B499" s="1" t="s">
        <v>124</v>
      </c>
      <c r="C499" s="1" t="s">
        <v>40</v>
      </c>
      <c r="D499" s="1" t="s">
        <v>35</v>
      </c>
      <c r="E499" s="2">
        <v>42527</v>
      </c>
      <c r="F499" s="2" t="b">
        <f t="shared" si="31"/>
        <v>1</v>
      </c>
      <c r="G499" s="2">
        <f t="shared" si="29"/>
        <v>42527</v>
      </c>
      <c r="H499" s="1" t="s">
        <v>122</v>
      </c>
      <c r="I499" s="1" t="s">
        <v>916</v>
      </c>
      <c r="J499" s="1">
        <v>50</v>
      </c>
      <c r="K499" s="1">
        <v>49</v>
      </c>
      <c r="L499" s="3">
        <v>0.02</v>
      </c>
      <c r="N499" t="s">
        <v>3763</v>
      </c>
      <c r="S499" s="4" t="e">
        <f t="shared" si="30"/>
        <v>#NUM!</v>
      </c>
      <c r="T499" s="4" t="str">
        <f t="shared" si="28"/>
        <v/>
      </c>
      <c r="U499" s="4" t="s">
        <v>3763</v>
      </c>
    </row>
    <row r="500" spans="1:21" x14ac:dyDescent="0.3">
      <c r="A500" t="s">
        <v>917</v>
      </c>
      <c r="B500" s="1" t="s">
        <v>49</v>
      </c>
      <c r="C500" s="1" t="s">
        <v>50</v>
      </c>
      <c r="D500" s="1" t="s">
        <v>24</v>
      </c>
      <c r="E500" s="2" t="s">
        <v>3004</v>
      </c>
      <c r="F500" s="2" t="b">
        <f t="shared" si="31"/>
        <v>0</v>
      </c>
      <c r="G500" s="2">
        <f t="shared" si="29"/>
        <v>43307</v>
      </c>
      <c r="H500" s="1" t="s">
        <v>25</v>
      </c>
      <c r="I500" s="1" t="s">
        <v>918</v>
      </c>
      <c r="J500" s="1">
        <v>700</v>
      </c>
      <c r="K500" s="1">
        <v>630</v>
      </c>
      <c r="L500" s="3">
        <v>0.1</v>
      </c>
      <c r="N500" t="s">
        <v>3004</v>
      </c>
      <c r="P500">
        <v>7</v>
      </c>
      <c r="Q500">
        <v>26</v>
      </c>
      <c r="R500">
        <v>2018</v>
      </c>
      <c r="S500" s="4">
        <f t="shared" si="30"/>
        <v>43307</v>
      </c>
      <c r="T500" s="4">
        <f t="shared" si="28"/>
        <v>43307</v>
      </c>
      <c r="U500" s="4">
        <v>43307</v>
      </c>
    </row>
    <row r="501" spans="1:21" x14ac:dyDescent="0.3">
      <c r="A501" t="s">
        <v>919</v>
      </c>
      <c r="B501" s="1" t="s">
        <v>127</v>
      </c>
      <c r="C501" s="1" t="s">
        <v>128</v>
      </c>
      <c r="D501" s="1" t="s">
        <v>13</v>
      </c>
      <c r="E501" s="2" t="s">
        <v>3231</v>
      </c>
      <c r="F501" s="2" t="b">
        <f t="shared" si="31"/>
        <v>0</v>
      </c>
      <c r="G501" s="2">
        <f t="shared" si="29"/>
        <v>43246</v>
      </c>
      <c r="H501" s="1" t="s">
        <v>36</v>
      </c>
      <c r="I501" s="1" t="s">
        <v>920</v>
      </c>
      <c r="J501" s="1">
        <v>50</v>
      </c>
      <c r="K501" s="1">
        <v>48</v>
      </c>
      <c r="L501" s="3">
        <v>0.04</v>
      </c>
      <c r="N501" t="s">
        <v>3231</v>
      </c>
      <c r="P501">
        <v>5</v>
      </c>
      <c r="Q501">
        <v>26</v>
      </c>
      <c r="R501">
        <v>2018</v>
      </c>
      <c r="S501" s="4">
        <f t="shared" si="30"/>
        <v>43246</v>
      </c>
      <c r="T501" s="4">
        <f t="shared" si="28"/>
        <v>43246</v>
      </c>
      <c r="U501" s="4">
        <v>43246</v>
      </c>
    </row>
    <row r="502" spans="1:21" x14ac:dyDescent="0.3">
      <c r="A502" t="s">
        <v>921</v>
      </c>
      <c r="B502" s="1" t="s">
        <v>324</v>
      </c>
      <c r="C502" s="1" t="s">
        <v>325</v>
      </c>
      <c r="D502" s="1" t="s">
        <v>13</v>
      </c>
      <c r="E502" s="2" t="s">
        <v>3232</v>
      </c>
      <c r="F502" s="2" t="b">
        <f t="shared" si="31"/>
        <v>0</v>
      </c>
      <c r="G502" s="2">
        <f t="shared" si="29"/>
        <v>42333</v>
      </c>
      <c r="H502" s="1" t="s">
        <v>46</v>
      </c>
      <c r="I502" s="1" t="s">
        <v>922</v>
      </c>
      <c r="J502" s="1">
        <v>500</v>
      </c>
      <c r="K502" s="1">
        <v>500</v>
      </c>
      <c r="L502" s="3">
        <v>0</v>
      </c>
      <c r="N502" t="s">
        <v>3232</v>
      </c>
      <c r="P502">
        <v>11</v>
      </c>
      <c r="Q502">
        <v>25</v>
      </c>
      <c r="R502">
        <v>2015</v>
      </c>
      <c r="S502" s="4">
        <f t="shared" si="30"/>
        <v>42333</v>
      </c>
      <c r="T502" s="4">
        <f t="shared" si="28"/>
        <v>42333</v>
      </c>
      <c r="U502" s="4">
        <v>42333</v>
      </c>
    </row>
    <row r="503" spans="1:21" x14ac:dyDescent="0.3">
      <c r="A503" t="s">
        <v>923</v>
      </c>
      <c r="B503" s="1" t="s">
        <v>241</v>
      </c>
      <c r="C503" s="1" t="s">
        <v>242</v>
      </c>
      <c r="D503" s="1" t="s">
        <v>13</v>
      </c>
      <c r="E503" s="2">
        <v>42746</v>
      </c>
      <c r="F503" s="2" t="b">
        <f t="shared" si="31"/>
        <v>1</v>
      </c>
      <c r="G503" s="2">
        <f t="shared" si="29"/>
        <v>42746</v>
      </c>
      <c r="H503" s="1" t="s">
        <v>41</v>
      </c>
      <c r="I503" s="1" t="s">
        <v>287</v>
      </c>
      <c r="J503" s="1">
        <v>30</v>
      </c>
      <c r="K503" s="1">
        <v>29</v>
      </c>
      <c r="L503" s="3">
        <v>3.3300000000000003E-2</v>
      </c>
      <c r="N503" t="s">
        <v>3763</v>
      </c>
      <c r="S503" s="4" t="e">
        <f t="shared" si="30"/>
        <v>#NUM!</v>
      </c>
      <c r="T503" s="4" t="str">
        <f t="shared" si="28"/>
        <v/>
      </c>
      <c r="U503" s="4" t="s">
        <v>3763</v>
      </c>
    </row>
    <row r="504" spans="1:21" x14ac:dyDescent="0.3">
      <c r="A504" t="s">
        <v>924</v>
      </c>
      <c r="B504" s="1" t="s">
        <v>157</v>
      </c>
      <c r="C504" s="1" t="s">
        <v>108</v>
      </c>
      <c r="D504" s="1" t="s">
        <v>19</v>
      </c>
      <c r="E504" s="2" t="s">
        <v>3051</v>
      </c>
      <c r="F504" s="2" t="b">
        <f t="shared" si="31"/>
        <v>0</v>
      </c>
      <c r="G504" s="2">
        <f t="shared" si="29"/>
        <v>43388</v>
      </c>
      <c r="H504" s="1" t="s">
        <v>72</v>
      </c>
      <c r="I504" s="1" t="s">
        <v>925</v>
      </c>
      <c r="J504" s="1">
        <v>500</v>
      </c>
      <c r="K504" s="1">
        <v>495</v>
      </c>
      <c r="L504" s="3">
        <v>0.01</v>
      </c>
      <c r="N504" t="s">
        <v>3051</v>
      </c>
      <c r="P504">
        <v>10</v>
      </c>
      <c r="Q504">
        <v>15</v>
      </c>
      <c r="R504">
        <v>2018</v>
      </c>
      <c r="S504" s="4">
        <f t="shared" si="30"/>
        <v>43388</v>
      </c>
      <c r="T504" s="4">
        <f t="shared" si="28"/>
        <v>43388</v>
      </c>
      <c r="U504" s="4">
        <v>43388</v>
      </c>
    </row>
    <row r="505" spans="1:21" x14ac:dyDescent="0.3">
      <c r="A505" t="s">
        <v>926</v>
      </c>
      <c r="B505" s="1" t="s">
        <v>289</v>
      </c>
      <c r="C505" s="1" t="s">
        <v>108</v>
      </c>
      <c r="D505" s="1" t="s">
        <v>19</v>
      </c>
      <c r="E505" s="2" t="s">
        <v>3233</v>
      </c>
      <c r="F505" s="2" t="b">
        <f t="shared" si="31"/>
        <v>0</v>
      </c>
      <c r="G505" s="2">
        <f t="shared" si="29"/>
        <v>42572</v>
      </c>
      <c r="H505" s="1" t="s">
        <v>30</v>
      </c>
      <c r="I505" s="1" t="s">
        <v>346</v>
      </c>
      <c r="J505" s="1">
        <v>150</v>
      </c>
      <c r="K505" s="1">
        <v>149</v>
      </c>
      <c r="L505" s="3">
        <v>6.7000000000000002E-3</v>
      </c>
      <c r="N505" t="s">
        <v>3233</v>
      </c>
      <c r="P505">
        <v>7</v>
      </c>
      <c r="Q505">
        <v>21</v>
      </c>
      <c r="R505">
        <v>2016</v>
      </c>
      <c r="S505" s="4">
        <f t="shared" si="30"/>
        <v>42572</v>
      </c>
      <c r="T505" s="4">
        <f t="shared" si="28"/>
        <v>42572</v>
      </c>
      <c r="U505" s="4">
        <v>42572</v>
      </c>
    </row>
    <row r="506" spans="1:21" x14ac:dyDescent="0.3">
      <c r="A506" t="s">
        <v>927</v>
      </c>
      <c r="B506" s="1" t="s">
        <v>107</v>
      </c>
      <c r="C506" s="1" t="s">
        <v>108</v>
      </c>
      <c r="D506" s="1" t="s">
        <v>19</v>
      </c>
      <c r="E506" s="2">
        <v>42135</v>
      </c>
      <c r="F506" s="2" t="b">
        <f t="shared" si="31"/>
        <v>1</v>
      </c>
      <c r="G506" s="2">
        <f t="shared" si="29"/>
        <v>42135</v>
      </c>
      <c r="H506" s="1" t="s">
        <v>104</v>
      </c>
      <c r="I506" s="1" t="s">
        <v>109</v>
      </c>
      <c r="J506" s="1">
        <v>70</v>
      </c>
      <c r="K506" s="1">
        <v>54</v>
      </c>
      <c r="L506" s="3">
        <v>0.2286</v>
      </c>
      <c r="N506" t="s">
        <v>3763</v>
      </c>
      <c r="S506" s="4" t="e">
        <f t="shared" si="30"/>
        <v>#NUM!</v>
      </c>
      <c r="T506" s="4" t="str">
        <f t="shared" si="28"/>
        <v/>
      </c>
      <c r="U506" s="4" t="s">
        <v>3763</v>
      </c>
    </row>
    <row r="507" spans="1:21" x14ac:dyDescent="0.3">
      <c r="A507" t="s">
        <v>928</v>
      </c>
      <c r="B507" s="1" t="s">
        <v>64</v>
      </c>
      <c r="C507" s="1" t="s">
        <v>65</v>
      </c>
      <c r="D507" s="1" t="s">
        <v>35</v>
      </c>
      <c r="E507" s="2">
        <v>43132</v>
      </c>
      <c r="F507" s="2" t="b">
        <f t="shared" si="31"/>
        <v>1</v>
      </c>
      <c r="G507" s="2">
        <f t="shared" si="29"/>
        <v>43132</v>
      </c>
      <c r="H507" s="1" t="s">
        <v>72</v>
      </c>
      <c r="I507" s="1" t="s">
        <v>66</v>
      </c>
      <c r="J507" s="1">
        <v>500</v>
      </c>
      <c r="K507" s="1">
        <v>490</v>
      </c>
      <c r="L507" s="3">
        <v>0.02</v>
      </c>
      <c r="N507" t="s">
        <v>3763</v>
      </c>
      <c r="S507" s="4" t="e">
        <f t="shared" si="30"/>
        <v>#NUM!</v>
      </c>
      <c r="T507" s="4" t="str">
        <f t="shared" si="28"/>
        <v/>
      </c>
      <c r="U507" s="4" t="s">
        <v>3763</v>
      </c>
    </row>
    <row r="508" spans="1:21" x14ac:dyDescent="0.3">
      <c r="A508" t="s">
        <v>929</v>
      </c>
      <c r="B508" s="1" t="s">
        <v>434</v>
      </c>
      <c r="C508" s="1" t="s">
        <v>435</v>
      </c>
      <c r="D508" s="1" t="s">
        <v>24</v>
      </c>
      <c r="E508" s="2">
        <v>42039</v>
      </c>
      <c r="F508" s="2" t="b">
        <f t="shared" si="31"/>
        <v>1</v>
      </c>
      <c r="G508" s="2">
        <f t="shared" si="29"/>
        <v>42039</v>
      </c>
      <c r="H508" s="1" t="s">
        <v>122</v>
      </c>
      <c r="I508" s="1" t="s">
        <v>764</v>
      </c>
      <c r="J508" s="1">
        <v>50</v>
      </c>
      <c r="K508" s="1">
        <v>46</v>
      </c>
      <c r="L508" s="3">
        <v>0.08</v>
      </c>
      <c r="N508" t="s">
        <v>3763</v>
      </c>
      <c r="S508" s="4" t="e">
        <f t="shared" si="30"/>
        <v>#NUM!</v>
      </c>
      <c r="T508" s="4" t="str">
        <f t="shared" si="28"/>
        <v/>
      </c>
      <c r="U508" s="4" t="s">
        <v>3763</v>
      </c>
    </row>
    <row r="509" spans="1:21" x14ac:dyDescent="0.3">
      <c r="A509" t="s">
        <v>930</v>
      </c>
      <c r="B509" s="1" t="s">
        <v>44</v>
      </c>
      <c r="C509" s="1" t="s">
        <v>45</v>
      </c>
      <c r="D509" s="1" t="s">
        <v>24</v>
      </c>
      <c r="E509" s="2">
        <v>42796</v>
      </c>
      <c r="F509" s="2" t="b">
        <f t="shared" si="31"/>
        <v>1</v>
      </c>
      <c r="G509" s="2">
        <f t="shared" si="29"/>
        <v>42796</v>
      </c>
      <c r="H509" s="1" t="s">
        <v>55</v>
      </c>
      <c r="I509" s="1" t="s">
        <v>253</v>
      </c>
      <c r="J509" s="1">
        <v>800</v>
      </c>
      <c r="K509" s="1">
        <v>600</v>
      </c>
      <c r="L509" s="3">
        <v>0.25</v>
      </c>
      <c r="N509" t="s">
        <v>3763</v>
      </c>
      <c r="S509" s="4" t="e">
        <f t="shared" si="30"/>
        <v>#NUM!</v>
      </c>
      <c r="T509" s="4" t="str">
        <f t="shared" si="28"/>
        <v/>
      </c>
      <c r="U509" s="4" t="s">
        <v>3763</v>
      </c>
    </row>
    <row r="510" spans="1:21" x14ac:dyDescent="0.3">
      <c r="A510" t="s">
        <v>931</v>
      </c>
      <c r="B510" s="1" t="s">
        <v>53</v>
      </c>
      <c r="C510" s="1" t="s">
        <v>54</v>
      </c>
      <c r="D510" s="1" t="s">
        <v>13</v>
      </c>
      <c r="E510" s="2" t="s">
        <v>3234</v>
      </c>
      <c r="F510" s="2" t="b">
        <f t="shared" si="31"/>
        <v>0</v>
      </c>
      <c r="G510" s="2">
        <f t="shared" si="29"/>
        <v>43055</v>
      </c>
      <c r="H510" s="1" t="s">
        <v>25</v>
      </c>
      <c r="I510" s="1" t="s">
        <v>56</v>
      </c>
      <c r="J510" s="1">
        <v>700</v>
      </c>
      <c r="K510" s="1">
        <v>665</v>
      </c>
      <c r="L510" s="3">
        <v>0.05</v>
      </c>
      <c r="N510" t="s">
        <v>3234</v>
      </c>
      <c r="P510">
        <v>11</v>
      </c>
      <c r="Q510">
        <v>16</v>
      </c>
      <c r="R510">
        <v>2017</v>
      </c>
      <c r="S510" s="4">
        <f t="shared" si="30"/>
        <v>43055</v>
      </c>
      <c r="T510" s="4">
        <f t="shared" si="28"/>
        <v>43055</v>
      </c>
      <c r="U510" s="4">
        <v>43055</v>
      </c>
    </row>
    <row r="511" spans="1:21" x14ac:dyDescent="0.3">
      <c r="A511" t="s">
        <v>932</v>
      </c>
      <c r="B511" s="1" t="s">
        <v>241</v>
      </c>
      <c r="C511" s="1" t="s">
        <v>242</v>
      </c>
      <c r="D511" s="1" t="s">
        <v>13</v>
      </c>
      <c r="E511" s="2" t="s">
        <v>3235</v>
      </c>
      <c r="F511" s="2" t="b">
        <f t="shared" si="31"/>
        <v>0</v>
      </c>
      <c r="G511" s="2">
        <f t="shared" si="29"/>
        <v>42754</v>
      </c>
      <c r="H511" s="1" t="s">
        <v>46</v>
      </c>
      <c r="I511" s="1" t="s">
        <v>426</v>
      </c>
      <c r="J511" s="1">
        <v>500</v>
      </c>
      <c r="K511" s="1">
        <v>480</v>
      </c>
      <c r="L511" s="3">
        <v>0.04</v>
      </c>
      <c r="N511" t="s">
        <v>3235</v>
      </c>
      <c r="P511">
        <v>1</v>
      </c>
      <c r="Q511">
        <v>19</v>
      </c>
      <c r="R511">
        <v>2017</v>
      </c>
      <c r="S511" s="4">
        <f t="shared" si="30"/>
        <v>42754</v>
      </c>
      <c r="T511" s="4">
        <f t="shared" si="28"/>
        <v>42754</v>
      </c>
      <c r="U511" s="4">
        <v>42754</v>
      </c>
    </row>
    <row r="512" spans="1:21" x14ac:dyDescent="0.3">
      <c r="A512" t="s">
        <v>933</v>
      </c>
      <c r="B512" s="1" t="s">
        <v>77</v>
      </c>
      <c r="C512" s="1" t="s">
        <v>78</v>
      </c>
      <c r="D512" s="1" t="s">
        <v>35</v>
      </c>
      <c r="E512" s="2" t="s">
        <v>3236</v>
      </c>
      <c r="F512" s="2" t="b">
        <f t="shared" si="31"/>
        <v>0</v>
      </c>
      <c r="G512" s="2">
        <f t="shared" si="29"/>
        <v>42489</v>
      </c>
      <c r="H512" s="1" t="s">
        <v>55</v>
      </c>
      <c r="I512" s="1" t="s">
        <v>317</v>
      </c>
      <c r="J512" s="1">
        <v>800</v>
      </c>
      <c r="K512" s="1">
        <v>528</v>
      </c>
      <c r="L512" s="3">
        <v>0.34</v>
      </c>
      <c r="N512" t="s">
        <v>3236</v>
      </c>
      <c r="P512">
        <v>4</v>
      </c>
      <c r="Q512">
        <v>29</v>
      </c>
      <c r="R512">
        <v>2016</v>
      </c>
      <c r="S512" s="4">
        <f t="shared" si="30"/>
        <v>42489</v>
      </c>
      <c r="T512" s="4">
        <f t="shared" si="28"/>
        <v>42489</v>
      </c>
      <c r="U512" s="4">
        <v>42489</v>
      </c>
    </row>
    <row r="513" spans="1:21" x14ac:dyDescent="0.3">
      <c r="A513" t="s">
        <v>934</v>
      </c>
      <c r="B513" s="1" t="s">
        <v>124</v>
      </c>
      <c r="C513" s="1" t="s">
        <v>40</v>
      </c>
      <c r="D513" s="1" t="s">
        <v>35</v>
      </c>
      <c r="E513" s="2">
        <v>43316</v>
      </c>
      <c r="F513" s="2" t="b">
        <f t="shared" si="31"/>
        <v>1</v>
      </c>
      <c r="G513" s="2">
        <f t="shared" si="29"/>
        <v>43316</v>
      </c>
      <c r="H513" s="1" t="s">
        <v>115</v>
      </c>
      <c r="I513" s="1" t="s">
        <v>575</v>
      </c>
      <c r="J513" s="1">
        <v>250</v>
      </c>
      <c r="K513" s="1">
        <v>225</v>
      </c>
      <c r="L513" s="3">
        <v>0.1</v>
      </c>
      <c r="N513" t="s">
        <v>3763</v>
      </c>
      <c r="S513" s="4" t="e">
        <f t="shared" si="30"/>
        <v>#NUM!</v>
      </c>
      <c r="T513" s="4" t="str">
        <f t="shared" si="28"/>
        <v/>
      </c>
      <c r="U513" s="4" t="s">
        <v>3763</v>
      </c>
    </row>
    <row r="514" spans="1:21" x14ac:dyDescent="0.3">
      <c r="A514" t="s">
        <v>935</v>
      </c>
      <c r="B514" s="1" t="s">
        <v>182</v>
      </c>
      <c r="C514" s="1" t="s">
        <v>108</v>
      </c>
      <c r="D514" s="1" t="s">
        <v>19</v>
      </c>
      <c r="E514" s="2" t="s">
        <v>3237</v>
      </c>
      <c r="F514" s="2" t="b">
        <f t="shared" si="31"/>
        <v>0</v>
      </c>
      <c r="G514" s="2">
        <f t="shared" si="29"/>
        <v>42207</v>
      </c>
      <c r="H514" s="1" t="s">
        <v>30</v>
      </c>
      <c r="I514" s="1" t="s">
        <v>502</v>
      </c>
      <c r="J514" s="1">
        <v>150</v>
      </c>
      <c r="K514" s="1">
        <v>113</v>
      </c>
      <c r="L514" s="3">
        <v>0.2467</v>
      </c>
      <c r="N514" t="s">
        <v>3237</v>
      </c>
      <c r="P514">
        <v>7</v>
      </c>
      <c r="Q514">
        <v>22</v>
      </c>
      <c r="R514">
        <v>2015</v>
      </c>
      <c r="S514" s="4">
        <f t="shared" si="30"/>
        <v>42207</v>
      </c>
      <c r="T514" s="4">
        <f t="shared" si="28"/>
        <v>42207</v>
      </c>
      <c r="U514" s="4">
        <v>42207</v>
      </c>
    </row>
    <row r="515" spans="1:21" x14ac:dyDescent="0.3">
      <c r="A515" t="s">
        <v>936</v>
      </c>
      <c r="B515" s="1" t="s">
        <v>227</v>
      </c>
      <c r="C515" s="1" t="s">
        <v>228</v>
      </c>
      <c r="D515" s="1" t="s">
        <v>24</v>
      </c>
      <c r="E515" s="2">
        <v>42523</v>
      </c>
      <c r="F515" s="2" t="b">
        <f t="shared" si="31"/>
        <v>1</v>
      </c>
      <c r="G515" s="2">
        <f t="shared" si="29"/>
        <v>42523</v>
      </c>
      <c r="H515" s="1" t="s">
        <v>46</v>
      </c>
      <c r="I515" s="1" t="s">
        <v>937</v>
      </c>
      <c r="J515" s="1">
        <v>500</v>
      </c>
      <c r="K515" s="1">
        <v>440</v>
      </c>
      <c r="L515" s="3">
        <v>0.12</v>
      </c>
      <c r="N515" t="s">
        <v>3763</v>
      </c>
      <c r="S515" s="4" t="e">
        <f t="shared" si="30"/>
        <v>#NUM!</v>
      </c>
      <c r="T515" s="4" t="str">
        <f t="shared" ref="T515:T578" si="32">IF(AND(P515&lt;&gt;"",Q515&lt;&gt;"",R515&lt;&gt;""),IFERROR(DATE(R515,P515,Q515),""),"")</f>
        <v/>
      </c>
      <c r="U515" s="4" t="s">
        <v>3763</v>
      </c>
    </row>
    <row r="516" spans="1:21" x14ac:dyDescent="0.3">
      <c r="A516" t="s">
        <v>938</v>
      </c>
      <c r="B516" s="1" t="s">
        <v>91</v>
      </c>
      <c r="C516" s="1" t="s">
        <v>92</v>
      </c>
      <c r="D516" s="1" t="s">
        <v>35</v>
      </c>
      <c r="E516" s="2">
        <v>42096</v>
      </c>
      <c r="F516" s="2" t="b">
        <f t="shared" si="31"/>
        <v>1</v>
      </c>
      <c r="G516" s="2">
        <f t="shared" ref="G516:G579" si="33">IF(F516=TRUE,E516,U516)</f>
        <v>42096</v>
      </c>
      <c r="H516" s="1" t="s">
        <v>104</v>
      </c>
      <c r="I516" s="1" t="s">
        <v>939</v>
      </c>
      <c r="J516" s="1">
        <v>70</v>
      </c>
      <c r="K516" s="1">
        <v>44</v>
      </c>
      <c r="L516" s="3">
        <v>0.37140000000000001</v>
      </c>
      <c r="N516" t="s">
        <v>3763</v>
      </c>
      <c r="S516" s="4" t="e">
        <f t="shared" ref="S516:S579" si="34">DATE(R516,P516,Q516)</f>
        <v>#NUM!</v>
      </c>
      <c r="T516" s="4" t="str">
        <f t="shared" si="32"/>
        <v/>
      </c>
      <c r="U516" s="4" t="s">
        <v>3763</v>
      </c>
    </row>
    <row r="517" spans="1:21" x14ac:dyDescent="0.3">
      <c r="A517" t="s">
        <v>940</v>
      </c>
      <c r="B517" s="1" t="s">
        <v>170</v>
      </c>
      <c r="C517" s="1" t="s">
        <v>171</v>
      </c>
      <c r="D517" s="1" t="s">
        <v>13</v>
      </c>
      <c r="E517" s="2" t="s">
        <v>3238</v>
      </c>
      <c r="F517" s="2" t="b">
        <f t="shared" ref="F517:F580" si="35">ISNUMBER(E517)</f>
        <v>0</v>
      </c>
      <c r="G517" s="2">
        <f t="shared" si="33"/>
        <v>41928</v>
      </c>
      <c r="H517" s="1" t="s">
        <v>115</v>
      </c>
      <c r="I517" s="1" t="s">
        <v>941</v>
      </c>
      <c r="J517" s="1">
        <v>250</v>
      </c>
      <c r="K517" s="1">
        <v>73</v>
      </c>
      <c r="L517" s="3">
        <v>0.70799999999999996</v>
      </c>
      <c r="N517" t="s">
        <v>3238</v>
      </c>
      <c r="P517">
        <v>10</v>
      </c>
      <c r="Q517">
        <v>16</v>
      </c>
      <c r="R517">
        <v>2014</v>
      </c>
      <c r="S517" s="4">
        <f t="shared" si="34"/>
        <v>41928</v>
      </c>
      <c r="T517" s="4">
        <f t="shared" si="32"/>
        <v>41928</v>
      </c>
      <c r="U517" s="4">
        <v>41928</v>
      </c>
    </row>
    <row r="518" spans="1:21" x14ac:dyDescent="0.3">
      <c r="A518" t="s">
        <v>942</v>
      </c>
      <c r="B518" s="1" t="s">
        <v>124</v>
      </c>
      <c r="C518" s="1" t="s">
        <v>40</v>
      </c>
      <c r="D518" s="1" t="s">
        <v>35</v>
      </c>
      <c r="E518" s="2" t="s">
        <v>3239</v>
      </c>
      <c r="F518" s="2" t="b">
        <f t="shared" si="35"/>
        <v>0</v>
      </c>
      <c r="G518" s="2">
        <f t="shared" si="33"/>
        <v>42202</v>
      </c>
      <c r="H518" s="1" t="s">
        <v>36</v>
      </c>
      <c r="I518" s="1" t="s">
        <v>916</v>
      </c>
      <c r="J518" s="1">
        <v>50</v>
      </c>
      <c r="K518" s="1">
        <v>34</v>
      </c>
      <c r="L518" s="3">
        <v>0.32</v>
      </c>
      <c r="N518" t="s">
        <v>3239</v>
      </c>
      <c r="P518">
        <v>7</v>
      </c>
      <c r="Q518">
        <v>17</v>
      </c>
      <c r="R518">
        <v>2015</v>
      </c>
      <c r="S518" s="4">
        <f t="shared" si="34"/>
        <v>42202</v>
      </c>
      <c r="T518" s="4">
        <f t="shared" si="32"/>
        <v>42202</v>
      </c>
      <c r="U518" s="4">
        <v>42202</v>
      </c>
    </row>
    <row r="519" spans="1:21" x14ac:dyDescent="0.3">
      <c r="A519" t="s">
        <v>943</v>
      </c>
      <c r="B519" s="1" t="s">
        <v>400</v>
      </c>
      <c r="C519" s="1" t="s">
        <v>401</v>
      </c>
      <c r="D519" s="1" t="s">
        <v>13</v>
      </c>
      <c r="E519" s="2" t="s">
        <v>3022</v>
      </c>
      <c r="F519" s="2" t="b">
        <f t="shared" si="35"/>
        <v>0</v>
      </c>
      <c r="G519" s="2">
        <f t="shared" si="33"/>
        <v>43066</v>
      </c>
      <c r="H519" s="1" t="s">
        <v>14</v>
      </c>
      <c r="I519" s="1" t="s">
        <v>618</v>
      </c>
      <c r="J519" s="1">
        <v>80</v>
      </c>
      <c r="K519" s="1">
        <v>78</v>
      </c>
      <c r="L519" s="3">
        <v>2.5000000000000001E-2</v>
      </c>
      <c r="N519" t="s">
        <v>3022</v>
      </c>
      <c r="P519">
        <v>11</v>
      </c>
      <c r="Q519">
        <v>27</v>
      </c>
      <c r="R519">
        <v>2017</v>
      </c>
      <c r="S519" s="4">
        <f t="shared" si="34"/>
        <v>43066</v>
      </c>
      <c r="T519" s="4">
        <f t="shared" si="32"/>
        <v>43066</v>
      </c>
      <c r="U519" s="4">
        <v>43066</v>
      </c>
    </row>
    <row r="520" spans="1:21" x14ac:dyDescent="0.3">
      <c r="A520" t="s">
        <v>944</v>
      </c>
      <c r="B520" s="1" t="s">
        <v>64</v>
      </c>
      <c r="C520" s="1" t="s">
        <v>65</v>
      </c>
      <c r="D520" s="1" t="s">
        <v>35</v>
      </c>
      <c r="E520" s="2" t="s">
        <v>3240</v>
      </c>
      <c r="F520" s="2" t="b">
        <f t="shared" si="35"/>
        <v>0</v>
      </c>
      <c r="G520" s="2">
        <f t="shared" si="33"/>
        <v>42905</v>
      </c>
      <c r="H520" s="1" t="s">
        <v>30</v>
      </c>
      <c r="I520" s="1" t="s">
        <v>299</v>
      </c>
      <c r="J520" s="1">
        <v>150</v>
      </c>
      <c r="K520" s="1">
        <v>149</v>
      </c>
      <c r="L520" s="3">
        <v>6.7000000000000002E-3</v>
      </c>
      <c r="N520" t="s">
        <v>3240</v>
      </c>
      <c r="P520">
        <v>6</v>
      </c>
      <c r="Q520">
        <v>19</v>
      </c>
      <c r="R520">
        <v>2017</v>
      </c>
      <c r="S520" s="4">
        <f t="shared" si="34"/>
        <v>42905</v>
      </c>
      <c r="T520" s="4">
        <f t="shared" si="32"/>
        <v>42905</v>
      </c>
      <c r="U520" s="4">
        <v>42905</v>
      </c>
    </row>
    <row r="521" spans="1:21" x14ac:dyDescent="0.3">
      <c r="A521" t="s">
        <v>945</v>
      </c>
      <c r="B521" s="1" t="s">
        <v>107</v>
      </c>
      <c r="C521" s="1" t="s">
        <v>108</v>
      </c>
      <c r="D521" s="1" t="s">
        <v>19</v>
      </c>
      <c r="E521" s="2" t="s">
        <v>3241</v>
      </c>
      <c r="F521" s="2" t="b">
        <f t="shared" si="35"/>
        <v>0</v>
      </c>
      <c r="G521" s="2">
        <f t="shared" si="33"/>
        <v>42999</v>
      </c>
      <c r="H521" s="1" t="s">
        <v>115</v>
      </c>
      <c r="I521" s="1" t="s">
        <v>946</v>
      </c>
      <c r="J521" s="1">
        <v>250</v>
      </c>
      <c r="K521" s="1">
        <v>250</v>
      </c>
      <c r="L521" s="3">
        <v>0</v>
      </c>
      <c r="N521" t="s">
        <v>3241</v>
      </c>
      <c r="P521">
        <v>9</v>
      </c>
      <c r="Q521">
        <v>21</v>
      </c>
      <c r="R521">
        <v>2017</v>
      </c>
      <c r="S521" s="4">
        <f t="shared" si="34"/>
        <v>42999</v>
      </c>
      <c r="T521" s="4">
        <f t="shared" si="32"/>
        <v>42999</v>
      </c>
      <c r="U521" s="4">
        <v>42999</v>
      </c>
    </row>
    <row r="522" spans="1:21" x14ac:dyDescent="0.3">
      <c r="A522" t="s">
        <v>947</v>
      </c>
      <c r="B522" s="1" t="s">
        <v>99</v>
      </c>
      <c r="C522" s="1" t="s">
        <v>100</v>
      </c>
      <c r="D522" s="1" t="s">
        <v>13</v>
      </c>
      <c r="E522" s="2">
        <v>42890</v>
      </c>
      <c r="F522" s="2" t="b">
        <f t="shared" si="35"/>
        <v>1</v>
      </c>
      <c r="G522" s="2">
        <f t="shared" si="33"/>
        <v>42890</v>
      </c>
      <c r="H522" s="1" t="s">
        <v>25</v>
      </c>
      <c r="I522" s="1" t="s">
        <v>948</v>
      </c>
      <c r="J522" s="1">
        <v>700</v>
      </c>
      <c r="K522" s="1">
        <v>665</v>
      </c>
      <c r="L522" s="3">
        <v>0.05</v>
      </c>
      <c r="N522" t="s">
        <v>3763</v>
      </c>
      <c r="S522" s="4" t="e">
        <f t="shared" si="34"/>
        <v>#NUM!</v>
      </c>
      <c r="T522" s="4" t="str">
        <f t="shared" si="32"/>
        <v/>
      </c>
      <c r="U522" s="4" t="s">
        <v>3763</v>
      </c>
    </row>
    <row r="523" spans="1:21" x14ac:dyDescent="0.3">
      <c r="A523" t="s">
        <v>949</v>
      </c>
      <c r="B523" s="1" t="s">
        <v>205</v>
      </c>
      <c r="C523" s="1" t="s">
        <v>206</v>
      </c>
      <c r="D523" s="1" t="s">
        <v>24</v>
      </c>
      <c r="E523" s="2" t="s">
        <v>3242</v>
      </c>
      <c r="F523" s="2" t="b">
        <f t="shared" si="35"/>
        <v>0</v>
      </c>
      <c r="G523" s="2">
        <f t="shared" si="33"/>
        <v>42033</v>
      </c>
      <c r="H523" s="1" t="s">
        <v>30</v>
      </c>
      <c r="I523" s="1" t="s">
        <v>759</v>
      </c>
      <c r="J523" s="1">
        <v>150</v>
      </c>
      <c r="K523" s="1">
        <v>140</v>
      </c>
      <c r="L523" s="3">
        <v>6.6699999999999995E-2</v>
      </c>
      <c r="N523" t="s">
        <v>3242</v>
      </c>
      <c r="P523">
        <v>1</v>
      </c>
      <c r="Q523">
        <v>29</v>
      </c>
      <c r="R523">
        <v>2015</v>
      </c>
      <c r="S523" s="4">
        <f t="shared" si="34"/>
        <v>42033</v>
      </c>
      <c r="T523" s="4">
        <f t="shared" si="32"/>
        <v>42033</v>
      </c>
      <c r="U523" s="4">
        <v>42033</v>
      </c>
    </row>
    <row r="524" spans="1:21" x14ac:dyDescent="0.3">
      <c r="A524" t="s">
        <v>950</v>
      </c>
      <c r="B524" s="1" t="s">
        <v>241</v>
      </c>
      <c r="C524" s="1" t="s">
        <v>242</v>
      </c>
      <c r="D524" s="1" t="s">
        <v>13</v>
      </c>
      <c r="E524" s="2">
        <v>43009</v>
      </c>
      <c r="F524" s="2" t="b">
        <f t="shared" si="35"/>
        <v>1</v>
      </c>
      <c r="G524" s="2">
        <f t="shared" si="33"/>
        <v>43009</v>
      </c>
      <c r="H524" s="1" t="s">
        <v>55</v>
      </c>
      <c r="I524" s="1" t="s">
        <v>779</v>
      </c>
      <c r="J524" s="1">
        <v>800</v>
      </c>
      <c r="K524" s="1">
        <v>792</v>
      </c>
      <c r="L524" s="3">
        <v>0.01</v>
      </c>
      <c r="N524" t="s">
        <v>3763</v>
      </c>
      <c r="S524" s="4" t="e">
        <f t="shared" si="34"/>
        <v>#NUM!</v>
      </c>
      <c r="T524" s="4" t="str">
        <f t="shared" si="32"/>
        <v/>
      </c>
      <c r="U524" s="4" t="s">
        <v>3763</v>
      </c>
    </row>
    <row r="525" spans="1:21" x14ac:dyDescent="0.3">
      <c r="A525" t="s">
        <v>951</v>
      </c>
      <c r="B525" s="1" t="s">
        <v>91</v>
      </c>
      <c r="C525" s="1" t="s">
        <v>92</v>
      </c>
      <c r="D525" s="1" t="s">
        <v>35</v>
      </c>
      <c r="E525" s="2" t="s">
        <v>3243</v>
      </c>
      <c r="F525" s="2" t="b">
        <f t="shared" si="35"/>
        <v>0</v>
      </c>
      <c r="G525" s="2">
        <f t="shared" si="33"/>
        <v>43086</v>
      </c>
      <c r="H525" s="1" t="s">
        <v>30</v>
      </c>
      <c r="I525" s="1" t="s">
        <v>900</v>
      </c>
      <c r="J525" s="1">
        <v>150</v>
      </c>
      <c r="K525" s="1">
        <v>138</v>
      </c>
      <c r="L525" s="3">
        <v>0.08</v>
      </c>
      <c r="N525" t="s">
        <v>3243</v>
      </c>
      <c r="P525">
        <v>12</v>
      </c>
      <c r="Q525">
        <v>17</v>
      </c>
      <c r="R525">
        <v>2017</v>
      </c>
      <c r="S525" s="4">
        <f t="shared" si="34"/>
        <v>43086</v>
      </c>
      <c r="T525" s="4">
        <f t="shared" si="32"/>
        <v>43086</v>
      </c>
      <c r="U525" s="4">
        <v>43086</v>
      </c>
    </row>
    <row r="526" spans="1:21" x14ac:dyDescent="0.3">
      <c r="A526" t="s">
        <v>952</v>
      </c>
      <c r="B526" s="1" t="s">
        <v>81</v>
      </c>
      <c r="C526" s="1" t="s">
        <v>82</v>
      </c>
      <c r="D526" s="1" t="s">
        <v>13</v>
      </c>
      <c r="E526" s="2">
        <v>42074</v>
      </c>
      <c r="F526" s="2" t="b">
        <f t="shared" si="35"/>
        <v>1</v>
      </c>
      <c r="G526" s="2">
        <f t="shared" si="33"/>
        <v>42074</v>
      </c>
      <c r="H526" s="1" t="s">
        <v>41</v>
      </c>
      <c r="I526" s="1" t="s">
        <v>953</v>
      </c>
      <c r="J526" s="1">
        <v>30</v>
      </c>
      <c r="K526" s="1">
        <v>23</v>
      </c>
      <c r="L526" s="3">
        <v>0.23330000000000001</v>
      </c>
      <c r="N526" t="s">
        <v>3763</v>
      </c>
      <c r="S526" s="4" t="e">
        <f t="shared" si="34"/>
        <v>#NUM!</v>
      </c>
      <c r="T526" s="4" t="str">
        <f t="shared" si="32"/>
        <v/>
      </c>
      <c r="U526" s="4" t="s">
        <v>3763</v>
      </c>
    </row>
    <row r="527" spans="1:21" x14ac:dyDescent="0.3">
      <c r="A527" t="s">
        <v>954</v>
      </c>
      <c r="B527" s="1" t="s">
        <v>49</v>
      </c>
      <c r="C527" s="1" t="s">
        <v>50</v>
      </c>
      <c r="D527" s="1" t="s">
        <v>24</v>
      </c>
      <c r="E527" s="2" t="s">
        <v>3244</v>
      </c>
      <c r="F527" s="2" t="b">
        <f t="shared" si="35"/>
        <v>0</v>
      </c>
      <c r="G527" s="2">
        <f t="shared" si="33"/>
        <v>42731</v>
      </c>
      <c r="H527" s="1" t="s">
        <v>14</v>
      </c>
      <c r="I527" s="1" t="s">
        <v>729</v>
      </c>
      <c r="J527" s="1">
        <v>80</v>
      </c>
      <c r="K527" s="1">
        <v>78</v>
      </c>
      <c r="L527" s="3">
        <v>2.5000000000000001E-2</v>
      </c>
      <c r="N527" t="s">
        <v>3244</v>
      </c>
      <c r="P527">
        <v>12</v>
      </c>
      <c r="Q527">
        <v>27</v>
      </c>
      <c r="R527">
        <v>2016</v>
      </c>
      <c r="S527" s="4">
        <f t="shared" si="34"/>
        <v>42731</v>
      </c>
      <c r="T527" s="4">
        <f t="shared" si="32"/>
        <v>42731</v>
      </c>
      <c r="U527" s="4">
        <v>42731</v>
      </c>
    </row>
    <row r="528" spans="1:21" x14ac:dyDescent="0.3">
      <c r="A528" t="s">
        <v>955</v>
      </c>
      <c r="B528" s="1" t="s">
        <v>17</v>
      </c>
      <c r="C528" s="1" t="s">
        <v>18</v>
      </c>
      <c r="D528" s="1" t="s">
        <v>19</v>
      </c>
      <c r="E528" s="2" t="s">
        <v>3245</v>
      </c>
      <c r="F528" s="2" t="b">
        <f t="shared" si="35"/>
        <v>0</v>
      </c>
      <c r="G528" s="2">
        <f t="shared" si="33"/>
        <v>42481</v>
      </c>
      <c r="H528" s="1" t="s">
        <v>36</v>
      </c>
      <c r="I528" s="1" t="s">
        <v>853</v>
      </c>
      <c r="J528" s="1">
        <v>50</v>
      </c>
      <c r="K528" s="1">
        <v>49</v>
      </c>
      <c r="L528" s="3">
        <v>0.02</v>
      </c>
      <c r="N528" t="s">
        <v>3245</v>
      </c>
      <c r="P528">
        <v>4</v>
      </c>
      <c r="Q528">
        <v>21</v>
      </c>
      <c r="R528">
        <v>2016</v>
      </c>
      <c r="S528" s="4">
        <f t="shared" si="34"/>
        <v>42481</v>
      </c>
      <c r="T528" s="4">
        <f t="shared" si="32"/>
        <v>42481</v>
      </c>
      <c r="U528" s="4">
        <v>42481</v>
      </c>
    </row>
    <row r="529" spans="1:21" x14ac:dyDescent="0.3">
      <c r="A529" t="s">
        <v>956</v>
      </c>
      <c r="B529" s="1" t="s">
        <v>187</v>
      </c>
      <c r="C529" s="1" t="s">
        <v>188</v>
      </c>
      <c r="D529" s="1" t="s">
        <v>13</v>
      </c>
      <c r="E529" s="2" t="s">
        <v>3246</v>
      </c>
      <c r="F529" s="2" t="b">
        <f t="shared" si="35"/>
        <v>0</v>
      </c>
      <c r="G529" s="2">
        <f t="shared" si="33"/>
        <v>43026</v>
      </c>
      <c r="H529" s="1" t="s">
        <v>115</v>
      </c>
      <c r="I529" s="1" t="s">
        <v>791</v>
      </c>
      <c r="J529" s="1">
        <v>250</v>
      </c>
      <c r="K529" s="1">
        <v>235</v>
      </c>
      <c r="L529" s="3">
        <v>0.06</v>
      </c>
      <c r="N529" t="s">
        <v>3246</v>
      </c>
      <c r="P529">
        <v>10</v>
      </c>
      <c r="Q529">
        <v>18</v>
      </c>
      <c r="R529">
        <v>2017</v>
      </c>
      <c r="S529" s="4">
        <f t="shared" si="34"/>
        <v>43026</v>
      </c>
      <c r="T529" s="4">
        <f t="shared" si="32"/>
        <v>43026</v>
      </c>
      <c r="U529" s="4">
        <v>43026</v>
      </c>
    </row>
    <row r="530" spans="1:21" x14ac:dyDescent="0.3">
      <c r="A530" t="s">
        <v>957</v>
      </c>
      <c r="B530" s="1" t="s">
        <v>182</v>
      </c>
      <c r="C530" s="1" t="s">
        <v>108</v>
      </c>
      <c r="D530" s="1" t="s">
        <v>19</v>
      </c>
      <c r="E530" s="2">
        <v>42011</v>
      </c>
      <c r="F530" s="2" t="b">
        <f t="shared" si="35"/>
        <v>1</v>
      </c>
      <c r="G530" s="2">
        <f t="shared" si="33"/>
        <v>42011</v>
      </c>
      <c r="H530" s="1" t="s">
        <v>72</v>
      </c>
      <c r="I530" s="1" t="s">
        <v>958</v>
      </c>
      <c r="J530" s="1">
        <v>500</v>
      </c>
      <c r="K530" s="1">
        <v>490</v>
      </c>
      <c r="L530" s="3">
        <v>0.02</v>
      </c>
      <c r="N530" t="s">
        <v>3763</v>
      </c>
      <c r="S530" s="4" t="e">
        <f t="shared" si="34"/>
        <v>#NUM!</v>
      </c>
      <c r="T530" s="4" t="str">
        <f t="shared" si="32"/>
        <v/>
      </c>
      <c r="U530" s="4" t="s">
        <v>3763</v>
      </c>
    </row>
    <row r="531" spans="1:21" x14ac:dyDescent="0.3">
      <c r="A531" t="s">
        <v>959</v>
      </c>
      <c r="B531" s="1" t="s">
        <v>400</v>
      </c>
      <c r="C531" s="1" t="s">
        <v>401</v>
      </c>
      <c r="D531" s="1" t="s">
        <v>13</v>
      </c>
      <c r="E531" s="2">
        <v>41678</v>
      </c>
      <c r="F531" s="2" t="b">
        <f t="shared" si="35"/>
        <v>1</v>
      </c>
      <c r="G531" s="2">
        <f t="shared" si="33"/>
        <v>41678</v>
      </c>
      <c r="H531" s="1" t="s">
        <v>25</v>
      </c>
      <c r="I531" s="1" t="s">
        <v>711</v>
      </c>
      <c r="J531" s="1">
        <v>700</v>
      </c>
      <c r="K531" s="1">
        <v>525</v>
      </c>
      <c r="L531" s="3">
        <v>0.25</v>
      </c>
      <c r="N531" t="s">
        <v>3763</v>
      </c>
      <c r="S531" s="4" t="e">
        <f t="shared" si="34"/>
        <v>#NUM!</v>
      </c>
      <c r="T531" s="4" t="str">
        <f t="shared" si="32"/>
        <v/>
      </c>
      <c r="U531" s="4" t="s">
        <v>3763</v>
      </c>
    </row>
    <row r="532" spans="1:21" x14ac:dyDescent="0.3">
      <c r="A532" t="s">
        <v>960</v>
      </c>
      <c r="B532" s="1" t="s">
        <v>241</v>
      </c>
      <c r="C532" s="1" t="s">
        <v>242</v>
      </c>
      <c r="D532" s="1" t="s">
        <v>13</v>
      </c>
      <c r="E532" s="2" t="s">
        <v>2978</v>
      </c>
      <c r="F532" s="2" t="b">
        <f t="shared" si="35"/>
        <v>0</v>
      </c>
      <c r="G532" s="2">
        <f t="shared" si="33"/>
        <v>42290</v>
      </c>
      <c r="H532" s="1" t="s">
        <v>14</v>
      </c>
      <c r="I532" s="1" t="s">
        <v>287</v>
      </c>
      <c r="J532" s="1">
        <v>80</v>
      </c>
      <c r="K532" s="1">
        <v>74</v>
      </c>
      <c r="L532" s="3">
        <v>7.4999999999999997E-2</v>
      </c>
      <c r="N532" t="s">
        <v>2978</v>
      </c>
      <c r="P532">
        <v>10</v>
      </c>
      <c r="Q532">
        <v>13</v>
      </c>
      <c r="R532">
        <v>2015</v>
      </c>
      <c r="S532" s="4">
        <f t="shared" si="34"/>
        <v>42290</v>
      </c>
      <c r="T532" s="4">
        <f t="shared" si="32"/>
        <v>42290</v>
      </c>
      <c r="U532" s="4">
        <v>42290</v>
      </c>
    </row>
    <row r="533" spans="1:21" x14ac:dyDescent="0.3">
      <c r="A533" t="s">
        <v>961</v>
      </c>
      <c r="B533" s="1" t="s">
        <v>70</v>
      </c>
      <c r="C533" s="1" t="s">
        <v>71</v>
      </c>
      <c r="D533" s="1" t="s">
        <v>35</v>
      </c>
      <c r="E533" s="2">
        <v>41890</v>
      </c>
      <c r="F533" s="2" t="b">
        <f t="shared" si="35"/>
        <v>1</v>
      </c>
      <c r="G533" s="2">
        <f t="shared" si="33"/>
        <v>41890</v>
      </c>
      <c r="H533" s="1" t="s">
        <v>55</v>
      </c>
      <c r="I533" s="1" t="s">
        <v>962</v>
      </c>
      <c r="J533" s="1">
        <v>800</v>
      </c>
      <c r="K533" s="1">
        <v>696</v>
      </c>
      <c r="L533" s="3">
        <v>0.13</v>
      </c>
      <c r="N533" t="s">
        <v>3763</v>
      </c>
      <c r="S533" s="4" t="e">
        <f t="shared" si="34"/>
        <v>#NUM!</v>
      </c>
      <c r="T533" s="4" t="str">
        <f t="shared" si="32"/>
        <v/>
      </c>
      <c r="U533" s="4" t="s">
        <v>3763</v>
      </c>
    </row>
    <row r="534" spans="1:21" x14ac:dyDescent="0.3">
      <c r="A534" t="s">
        <v>963</v>
      </c>
      <c r="B534" s="1" t="s">
        <v>324</v>
      </c>
      <c r="C534" s="1" t="s">
        <v>325</v>
      </c>
      <c r="D534" s="1" t="s">
        <v>13</v>
      </c>
      <c r="E534" s="2" t="s">
        <v>3247</v>
      </c>
      <c r="F534" s="2" t="b">
        <f t="shared" si="35"/>
        <v>0</v>
      </c>
      <c r="G534" s="2">
        <f t="shared" si="33"/>
        <v>42781</v>
      </c>
      <c r="H534" s="1" t="s">
        <v>122</v>
      </c>
      <c r="I534" s="1" t="s">
        <v>326</v>
      </c>
      <c r="J534" s="1">
        <v>50</v>
      </c>
      <c r="K534" s="1">
        <v>50</v>
      </c>
      <c r="L534" s="3">
        <v>0</v>
      </c>
      <c r="N534" t="s">
        <v>3247</v>
      </c>
      <c r="P534">
        <v>2</v>
      </c>
      <c r="Q534">
        <v>15</v>
      </c>
      <c r="R534">
        <v>2017</v>
      </c>
      <c r="S534" s="4">
        <f t="shared" si="34"/>
        <v>42781</v>
      </c>
      <c r="T534" s="4">
        <f t="shared" si="32"/>
        <v>42781</v>
      </c>
      <c r="U534" s="4">
        <v>42781</v>
      </c>
    </row>
    <row r="535" spans="1:21" x14ac:dyDescent="0.3">
      <c r="A535" t="s">
        <v>964</v>
      </c>
      <c r="B535" s="1" t="s">
        <v>264</v>
      </c>
      <c r="C535" s="1" t="s">
        <v>265</v>
      </c>
      <c r="D535" s="1" t="s">
        <v>13</v>
      </c>
      <c r="E535" s="2" t="s">
        <v>3184</v>
      </c>
      <c r="F535" s="2" t="b">
        <f t="shared" si="35"/>
        <v>0</v>
      </c>
      <c r="G535" s="2">
        <f t="shared" si="33"/>
        <v>42845</v>
      </c>
      <c r="H535" s="1" t="s">
        <v>36</v>
      </c>
      <c r="I535" s="1" t="s">
        <v>599</v>
      </c>
      <c r="J535" s="1">
        <v>50</v>
      </c>
      <c r="K535" s="1">
        <v>50</v>
      </c>
      <c r="L535" s="3">
        <v>0</v>
      </c>
      <c r="N535" t="s">
        <v>3184</v>
      </c>
      <c r="P535">
        <v>4</v>
      </c>
      <c r="Q535">
        <v>20</v>
      </c>
      <c r="R535">
        <v>2017</v>
      </c>
      <c r="S535" s="4">
        <f t="shared" si="34"/>
        <v>42845</v>
      </c>
      <c r="T535" s="4">
        <f t="shared" si="32"/>
        <v>42845</v>
      </c>
      <c r="U535" s="4">
        <v>42845</v>
      </c>
    </row>
    <row r="536" spans="1:21" x14ac:dyDescent="0.3">
      <c r="A536" t="s">
        <v>965</v>
      </c>
      <c r="B536" s="1" t="s">
        <v>127</v>
      </c>
      <c r="C536" s="1" t="s">
        <v>128</v>
      </c>
      <c r="D536" s="1" t="s">
        <v>13</v>
      </c>
      <c r="E536" s="2" t="s">
        <v>3248</v>
      </c>
      <c r="F536" s="2" t="b">
        <f t="shared" si="35"/>
        <v>0</v>
      </c>
      <c r="G536" s="2">
        <f t="shared" si="33"/>
        <v>42548</v>
      </c>
      <c r="H536" s="1" t="s">
        <v>115</v>
      </c>
      <c r="I536" s="1" t="s">
        <v>233</v>
      </c>
      <c r="J536" s="1">
        <v>250</v>
      </c>
      <c r="K536" s="1">
        <v>225</v>
      </c>
      <c r="L536" s="3">
        <v>0.1</v>
      </c>
      <c r="N536" t="s">
        <v>3248</v>
      </c>
      <c r="P536">
        <v>6</v>
      </c>
      <c r="Q536">
        <v>27</v>
      </c>
      <c r="R536">
        <v>2016</v>
      </c>
      <c r="S536" s="4">
        <f t="shared" si="34"/>
        <v>42548</v>
      </c>
      <c r="T536" s="4">
        <f t="shared" si="32"/>
        <v>42548</v>
      </c>
      <c r="U536" s="4">
        <v>42548</v>
      </c>
    </row>
    <row r="537" spans="1:21" x14ac:dyDescent="0.3">
      <c r="A537" t="s">
        <v>966</v>
      </c>
      <c r="B537" s="1" t="s">
        <v>95</v>
      </c>
      <c r="C537" s="1" t="s">
        <v>96</v>
      </c>
      <c r="D537" s="1" t="s">
        <v>13</v>
      </c>
      <c r="E537" s="2" t="s">
        <v>3015</v>
      </c>
      <c r="F537" s="2" t="b">
        <f t="shared" si="35"/>
        <v>0</v>
      </c>
      <c r="G537" s="2">
        <f t="shared" si="33"/>
        <v>41968</v>
      </c>
      <c r="H537" s="1" t="s">
        <v>55</v>
      </c>
      <c r="I537" s="1" t="s">
        <v>216</v>
      </c>
      <c r="J537" s="1">
        <v>800</v>
      </c>
      <c r="K537" s="1">
        <v>760</v>
      </c>
      <c r="L537" s="3">
        <v>0.05</v>
      </c>
      <c r="N537" t="s">
        <v>3015</v>
      </c>
      <c r="P537">
        <v>11</v>
      </c>
      <c r="Q537">
        <v>25</v>
      </c>
      <c r="R537">
        <v>2014</v>
      </c>
      <c r="S537" s="4">
        <f t="shared" si="34"/>
        <v>41968</v>
      </c>
      <c r="T537" s="4">
        <f t="shared" si="32"/>
        <v>41968</v>
      </c>
      <c r="U537" s="4">
        <v>41968</v>
      </c>
    </row>
    <row r="538" spans="1:21" x14ac:dyDescent="0.3">
      <c r="A538" t="s">
        <v>967</v>
      </c>
      <c r="B538" s="1" t="s">
        <v>91</v>
      </c>
      <c r="C538" s="1" t="s">
        <v>92</v>
      </c>
      <c r="D538" s="1" t="s">
        <v>35</v>
      </c>
      <c r="E538" s="2" t="s">
        <v>3249</v>
      </c>
      <c r="F538" s="2" t="b">
        <f t="shared" si="35"/>
        <v>0</v>
      </c>
      <c r="G538" s="2">
        <f t="shared" si="33"/>
        <v>42551</v>
      </c>
      <c r="H538" s="1" t="s">
        <v>122</v>
      </c>
      <c r="I538" s="1" t="s">
        <v>495</v>
      </c>
      <c r="J538" s="1">
        <v>50</v>
      </c>
      <c r="K538" s="1">
        <v>49</v>
      </c>
      <c r="L538" s="3">
        <v>0.02</v>
      </c>
      <c r="N538" t="s">
        <v>3249</v>
      </c>
      <c r="P538">
        <v>6</v>
      </c>
      <c r="Q538">
        <v>30</v>
      </c>
      <c r="R538">
        <v>2016</v>
      </c>
      <c r="S538" s="4">
        <f t="shared" si="34"/>
        <v>42551</v>
      </c>
      <c r="T538" s="4">
        <f t="shared" si="32"/>
        <v>42551</v>
      </c>
      <c r="U538" s="4">
        <v>42551</v>
      </c>
    </row>
    <row r="539" spans="1:21" x14ac:dyDescent="0.3">
      <c r="A539" t="s">
        <v>968</v>
      </c>
      <c r="B539" s="1" t="s">
        <v>146</v>
      </c>
      <c r="C539" s="1" t="s">
        <v>147</v>
      </c>
      <c r="D539" s="1" t="s">
        <v>13</v>
      </c>
      <c r="E539" s="2" t="s">
        <v>3250</v>
      </c>
      <c r="F539" s="2" t="b">
        <f t="shared" si="35"/>
        <v>0</v>
      </c>
      <c r="G539" s="2">
        <f t="shared" si="33"/>
        <v>42757</v>
      </c>
      <c r="H539" s="1" t="s">
        <v>72</v>
      </c>
      <c r="I539" s="1" t="s">
        <v>725</v>
      </c>
      <c r="J539" s="1">
        <v>500</v>
      </c>
      <c r="K539" s="1">
        <v>495</v>
      </c>
      <c r="L539" s="3">
        <v>0.01</v>
      </c>
      <c r="N539" t="s">
        <v>3250</v>
      </c>
      <c r="P539">
        <v>1</v>
      </c>
      <c r="Q539">
        <v>22</v>
      </c>
      <c r="R539">
        <v>2017</v>
      </c>
      <c r="S539" s="4">
        <f t="shared" si="34"/>
        <v>42757</v>
      </c>
      <c r="T539" s="4">
        <f t="shared" si="32"/>
        <v>42757</v>
      </c>
      <c r="U539" s="4">
        <v>42757</v>
      </c>
    </row>
    <row r="540" spans="1:21" x14ac:dyDescent="0.3">
      <c r="A540" t="s">
        <v>969</v>
      </c>
      <c r="B540" s="1" t="s">
        <v>124</v>
      </c>
      <c r="C540" s="1" t="s">
        <v>40</v>
      </c>
      <c r="D540" s="1" t="s">
        <v>35</v>
      </c>
      <c r="E540" s="2" t="s">
        <v>3073</v>
      </c>
      <c r="F540" s="2" t="b">
        <f t="shared" si="35"/>
        <v>0</v>
      </c>
      <c r="G540" s="2">
        <f t="shared" si="33"/>
        <v>42637</v>
      </c>
      <c r="H540" s="1" t="s">
        <v>115</v>
      </c>
      <c r="I540" s="1" t="s">
        <v>970</v>
      </c>
      <c r="J540" s="1">
        <v>250</v>
      </c>
      <c r="K540" s="1">
        <v>213</v>
      </c>
      <c r="L540" s="3">
        <v>0.14799999999999999</v>
      </c>
      <c r="N540" t="s">
        <v>3073</v>
      </c>
      <c r="P540">
        <v>9</v>
      </c>
      <c r="Q540">
        <v>24</v>
      </c>
      <c r="R540">
        <v>2016</v>
      </c>
      <c r="S540" s="4">
        <f t="shared" si="34"/>
        <v>42637</v>
      </c>
      <c r="T540" s="4">
        <f t="shared" si="32"/>
        <v>42637</v>
      </c>
      <c r="U540" s="4">
        <v>42637</v>
      </c>
    </row>
    <row r="541" spans="1:21" x14ac:dyDescent="0.3">
      <c r="A541" t="s">
        <v>971</v>
      </c>
      <c r="B541" s="1" t="s">
        <v>289</v>
      </c>
      <c r="C541" s="1" t="s">
        <v>108</v>
      </c>
      <c r="D541" s="1" t="s">
        <v>19</v>
      </c>
      <c r="E541" s="2" t="s">
        <v>3251</v>
      </c>
      <c r="F541" s="2" t="b">
        <f t="shared" si="35"/>
        <v>0</v>
      </c>
      <c r="G541" s="2">
        <f t="shared" si="33"/>
        <v>42662</v>
      </c>
      <c r="H541" s="1" t="s">
        <v>25</v>
      </c>
      <c r="I541" s="1" t="s">
        <v>972</v>
      </c>
      <c r="J541" s="1">
        <v>700</v>
      </c>
      <c r="K541" s="1">
        <v>693</v>
      </c>
      <c r="L541" s="3">
        <v>0.01</v>
      </c>
      <c r="N541" t="s">
        <v>3251</v>
      </c>
      <c r="P541">
        <v>10</v>
      </c>
      <c r="Q541">
        <v>19</v>
      </c>
      <c r="R541">
        <v>2016</v>
      </c>
      <c r="S541" s="4">
        <f t="shared" si="34"/>
        <v>42662</v>
      </c>
      <c r="T541" s="4">
        <f t="shared" si="32"/>
        <v>42662</v>
      </c>
      <c r="U541" s="4">
        <v>42662</v>
      </c>
    </row>
    <row r="542" spans="1:21" x14ac:dyDescent="0.3">
      <c r="A542" t="s">
        <v>973</v>
      </c>
      <c r="B542" s="1" t="s">
        <v>81</v>
      </c>
      <c r="C542" s="1" t="s">
        <v>82</v>
      </c>
      <c r="D542" s="1" t="s">
        <v>13</v>
      </c>
      <c r="E542" s="2">
        <v>42654</v>
      </c>
      <c r="F542" s="2" t="b">
        <f t="shared" si="35"/>
        <v>1</v>
      </c>
      <c r="G542" s="2">
        <f t="shared" si="33"/>
        <v>42654</v>
      </c>
      <c r="H542" s="1" t="s">
        <v>41</v>
      </c>
      <c r="I542" s="1" t="s">
        <v>83</v>
      </c>
      <c r="J542" s="1">
        <v>30</v>
      </c>
      <c r="K542" s="1">
        <v>28</v>
      </c>
      <c r="L542" s="3">
        <v>6.6699999999999995E-2</v>
      </c>
      <c r="N542" t="s">
        <v>3763</v>
      </c>
      <c r="S542" s="4" t="e">
        <f t="shared" si="34"/>
        <v>#NUM!</v>
      </c>
      <c r="T542" s="4" t="str">
        <f t="shared" si="32"/>
        <v/>
      </c>
      <c r="U542" s="4" t="s">
        <v>3763</v>
      </c>
    </row>
    <row r="543" spans="1:21" x14ac:dyDescent="0.3">
      <c r="A543" t="s">
        <v>974</v>
      </c>
      <c r="B543" s="1" t="s">
        <v>255</v>
      </c>
      <c r="C543" s="1" t="s">
        <v>256</v>
      </c>
      <c r="D543" s="1" t="s">
        <v>13</v>
      </c>
      <c r="E543" s="2">
        <v>42282</v>
      </c>
      <c r="F543" s="2" t="b">
        <f t="shared" si="35"/>
        <v>1</v>
      </c>
      <c r="G543" s="2">
        <f t="shared" si="33"/>
        <v>42282</v>
      </c>
      <c r="H543" s="1" t="s">
        <v>25</v>
      </c>
      <c r="I543" s="1" t="s">
        <v>257</v>
      </c>
      <c r="J543" s="1">
        <v>700</v>
      </c>
      <c r="K543" s="1">
        <v>518</v>
      </c>
      <c r="L543" s="3">
        <v>0.26</v>
      </c>
      <c r="N543" t="s">
        <v>3763</v>
      </c>
      <c r="S543" s="4" t="e">
        <f t="shared" si="34"/>
        <v>#NUM!</v>
      </c>
      <c r="T543" s="4" t="str">
        <f t="shared" si="32"/>
        <v/>
      </c>
      <c r="U543" s="4" t="s">
        <v>3763</v>
      </c>
    </row>
    <row r="544" spans="1:21" x14ac:dyDescent="0.3">
      <c r="A544" t="s">
        <v>975</v>
      </c>
      <c r="B544" s="1" t="s">
        <v>44</v>
      </c>
      <c r="C544" s="1" t="s">
        <v>45</v>
      </c>
      <c r="D544" s="1" t="s">
        <v>24</v>
      </c>
      <c r="E544" s="2">
        <v>43106</v>
      </c>
      <c r="F544" s="2" t="b">
        <f t="shared" si="35"/>
        <v>1</v>
      </c>
      <c r="G544" s="2">
        <f t="shared" si="33"/>
        <v>43106</v>
      </c>
      <c r="H544" s="1" t="s">
        <v>72</v>
      </c>
      <c r="I544" s="1" t="s">
        <v>431</v>
      </c>
      <c r="J544" s="1">
        <v>500</v>
      </c>
      <c r="K544" s="1">
        <v>495</v>
      </c>
      <c r="L544" s="3">
        <v>0.01</v>
      </c>
      <c r="N544" t="s">
        <v>3763</v>
      </c>
      <c r="S544" s="4" t="e">
        <f t="shared" si="34"/>
        <v>#NUM!</v>
      </c>
      <c r="T544" s="4" t="str">
        <f t="shared" si="32"/>
        <v/>
      </c>
      <c r="U544" s="4" t="s">
        <v>3763</v>
      </c>
    </row>
    <row r="545" spans="1:21" x14ac:dyDescent="0.3">
      <c r="A545" t="s">
        <v>976</v>
      </c>
      <c r="B545" s="1" t="s">
        <v>224</v>
      </c>
      <c r="C545" s="1" t="s">
        <v>50</v>
      </c>
      <c r="D545" s="1" t="s">
        <v>24</v>
      </c>
      <c r="E545" s="2" t="s">
        <v>3252</v>
      </c>
      <c r="F545" s="2" t="b">
        <f t="shared" si="35"/>
        <v>0</v>
      </c>
      <c r="G545" s="2">
        <f t="shared" si="33"/>
        <v>42138</v>
      </c>
      <c r="H545" s="1" t="s">
        <v>41</v>
      </c>
      <c r="I545" s="1" t="s">
        <v>225</v>
      </c>
      <c r="J545" s="1">
        <v>30</v>
      </c>
      <c r="K545" s="1">
        <v>21</v>
      </c>
      <c r="L545" s="3">
        <v>0.3</v>
      </c>
      <c r="N545" t="s">
        <v>3252</v>
      </c>
      <c r="P545">
        <v>5</v>
      </c>
      <c r="Q545">
        <v>14</v>
      </c>
      <c r="R545">
        <v>2015</v>
      </c>
      <c r="S545" s="4">
        <f t="shared" si="34"/>
        <v>42138</v>
      </c>
      <c r="T545" s="4">
        <f t="shared" si="32"/>
        <v>42138</v>
      </c>
      <c r="U545" s="4">
        <v>42138</v>
      </c>
    </row>
    <row r="546" spans="1:21" x14ac:dyDescent="0.3">
      <c r="A546" t="s">
        <v>977</v>
      </c>
      <c r="B546" s="1" t="s">
        <v>131</v>
      </c>
      <c r="C546" s="1" t="s">
        <v>108</v>
      </c>
      <c r="D546" s="1" t="s">
        <v>19</v>
      </c>
      <c r="E546" s="2" t="s">
        <v>2983</v>
      </c>
      <c r="F546" s="2" t="b">
        <f t="shared" si="35"/>
        <v>0</v>
      </c>
      <c r="G546" s="2">
        <f t="shared" si="33"/>
        <v>42993</v>
      </c>
      <c r="H546" s="1" t="s">
        <v>61</v>
      </c>
      <c r="I546" s="1" t="s">
        <v>132</v>
      </c>
      <c r="J546" s="1">
        <v>1000</v>
      </c>
      <c r="K546" s="1">
        <v>700</v>
      </c>
      <c r="L546" s="3">
        <v>0.3</v>
      </c>
      <c r="N546" t="s">
        <v>2983</v>
      </c>
      <c r="P546">
        <v>9</v>
      </c>
      <c r="Q546">
        <v>15</v>
      </c>
      <c r="R546">
        <v>2017</v>
      </c>
      <c r="S546" s="4">
        <f t="shared" si="34"/>
        <v>42993</v>
      </c>
      <c r="T546" s="4">
        <f t="shared" si="32"/>
        <v>42993</v>
      </c>
      <c r="U546" s="4">
        <v>42993</v>
      </c>
    </row>
    <row r="547" spans="1:21" x14ac:dyDescent="0.3">
      <c r="A547" t="s">
        <v>978</v>
      </c>
      <c r="B547" s="1" t="s">
        <v>270</v>
      </c>
      <c r="C547" s="1" t="s">
        <v>271</v>
      </c>
      <c r="D547" s="1" t="s">
        <v>35</v>
      </c>
      <c r="E547" s="2" t="s">
        <v>3253</v>
      </c>
      <c r="F547" s="2" t="b">
        <f t="shared" si="35"/>
        <v>0</v>
      </c>
      <c r="G547" s="2">
        <f t="shared" si="33"/>
        <v>42115</v>
      </c>
      <c r="H547" s="1" t="s">
        <v>36</v>
      </c>
      <c r="I547" s="1" t="s">
        <v>566</v>
      </c>
      <c r="J547" s="1">
        <v>50</v>
      </c>
      <c r="K547" s="1">
        <v>32</v>
      </c>
      <c r="L547" s="3">
        <v>0.36</v>
      </c>
      <c r="N547" t="s">
        <v>3253</v>
      </c>
      <c r="P547">
        <v>4</v>
      </c>
      <c r="Q547">
        <v>21</v>
      </c>
      <c r="R547">
        <v>2015</v>
      </c>
      <c r="S547" s="4">
        <f t="shared" si="34"/>
        <v>42115</v>
      </c>
      <c r="T547" s="4">
        <f t="shared" si="32"/>
        <v>42115</v>
      </c>
      <c r="U547" s="4">
        <v>42115</v>
      </c>
    </row>
    <row r="548" spans="1:21" x14ac:dyDescent="0.3">
      <c r="A548" t="s">
        <v>979</v>
      </c>
      <c r="B548" s="1" t="s">
        <v>85</v>
      </c>
      <c r="C548" s="1" t="s">
        <v>86</v>
      </c>
      <c r="D548" s="1" t="s">
        <v>13</v>
      </c>
      <c r="E548" s="2">
        <v>42195</v>
      </c>
      <c r="F548" s="2" t="b">
        <f t="shared" si="35"/>
        <v>1</v>
      </c>
      <c r="G548" s="2">
        <f t="shared" si="33"/>
        <v>42195</v>
      </c>
      <c r="H548" s="1" t="s">
        <v>55</v>
      </c>
      <c r="I548" s="1" t="s">
        <v>516</v>
      </c>
      <c r="J548" s="1">
        <v>800</v>
      </c>
      <c r="K548" s="1">
        <v>632</v>
      </c>
      <c r="L548" s="3">
        <v>0.21</v>
      </c>
      <c r="N548" t="s">
        <v>3763</v>
      </c>
      <c r="S548" s="4" t="e">
        <f t="shared" si="34"/>
        <v>#NUM!</v>
      </c>
      <c r="T548" s="4" t="str">
        <f t="shared" si="32"/>
        <v/>
      </c>
      <c r="U548" s="4" t="s">
        <v>3763</v>
      </c>
    </row>
    <row r="549" spans="1:21" x14ac:dyDescent="0.3">
      <c r="A549" t="s">
        <v>980</v>
      </c>
      <c r="B549" s="1" t="s">
        <v>157</v>
      </c>
      <c r="C549" s="1" t="s">
        <v>108</v>
      </c>
      <c r="D549" s="1" t="s">
        <v>19</v>
      </c>
      <c r="E549" s="2" t="s">
        <v>3254</v>
      </c>
      <c r="F549" s="2" t="b">
        <f t="shared" si="35"/>
        <v>0</v>
      </c>
      <c r="G549" s="2">
        <f t="shared" si="33"/>
        <v>43453</v>
      </c>
      <c r="H549" s="1" t="s">
        <v>46</v>
      </c>
      <c r="I549" s="1" t="s">
        <v>981</v>
      </c>
      <c r="J549" s="1">
        <v>500</v>
      </c>
      <c r="K549" s="1">
        <v>450</v>
      </c>
      <c r="L549" s="3">
        <v>0.1</v>
      </c>
      <c r="N549" t="s">
        <v>3254</v>
      </c>
      <c r="P549">
        <v>12</v>
      </c>
      <c r="Q549">
        <v>19</v>
      </c>
      <c r="R549">
        <v>2018</v>
      </c>
      <c r="S549" s="4">
        <f t="shared" si="34"/>
        <v>43453</v>
      </c>
      <c r="T549" s="4">
        <f t="shared" si="32"/>
        <v>43453</v>
      </c>
      <c r="U549" s="4">
        <v>43453</v>
      </c>
    </row>
    <row r="550" spans="1:21" x14ac:dyDescent="0.3">
      <c r="A550" t="s">
        <v>982</v>
      </c>
      <c r="B550" s="1" t="s">
        <v>22</v>
      </c>
      <c r="C550" s="1" t="s">
        <v>23</v>
      </c>
      <c r="D550" s="1" t="s">
        <v>24</v>
      </c>
      <c r="E550" s="2" t="s">
        <v>3255</v>
      </c>
      <c r="F550" s="2" t="b">
        <f t="shared" si="35"/>
        <v>0</v>
      </c>
      <c r="G550" s="2">
        <f t="shared" si="33"/>
        <v>42599</v>
      </c>
      <c r="H550" s="1" t="s">
        <v>36</v>
      </c>
      <c r="I550" s="1" t="s">
        <v>483</v>
      </c>
      <c r="J550" s="1">
        <v>50</v>
      </c>
      <c r="K550" s="1">
        <v>49</v>
      </c>
      <c r="L550" s="3">
        <v>0.02</v>
      </c>
      <c r="N550" t="s">
        <v>3255</v>
      </c>
      <c r="P550">
        <v>8</v>
      </c>
      <c r="Q550">
        <v>17</v>
      </c>
      <c r="R550">
        <v>2016</v>
      </c>
      <c r="S550" s="4">
        <f t="shared" si="34"/>
        <v>42599</v>
      </c>
      <c r="T550" s="4">
        <f t="shared" si="32"/>
        <v>42599</v>
      </c>
      <c r="U550" s="4">
        <v>42599</v>
      </c>
    </row>
    <row r="551" spans="1:21" x14ac:dyDescent="0.3">
      <c r="A551" t="s">
        <v>983</v>
      </c>
      <c r="B551" s="1" t="s">
        <v>227</v>
      </c>
      <c r="C551" s="1" t="s">
        <v>228</v>
      </c>
      <c r="D551" s="1" t="s">
        <v>24</v>
      </c>
      <c r="E551" s="2" t="s">
        <v>3143</v>
      </c>
      <c r="F551" s="2" t="b">
        <f t="shared" si="35"/>
        <v>0</v>
      </c>
      <c r="G551" s="2">
        <f t="shared" si="33"/>
        <v>42179</v>
      </c>
      <c r="H551" s="1" t="s">
        <v>55</v>
      </c>
      <c r="I551" s="1" t="s">
        <v>984</v>
      </c>
      <c r="J551" s="1">
        <v>800</v>
      </c>
      <c r="K551" s="1">
        <v>456</v>
      </c>
      <c r="L551" s="3">
        <v>0.43</v>
      </c>
      <c r="N551" t="s">
        <v>3143</v>
      </c>
      <c r="P551">
        <v>6</v>
      </c>
      <c r="Q551">
        <v>24</v>
      </c>
      <c r="R551">
        <v>2015</v>
      </c>
      <c r="S551" s="4">
        <f t="shared" si="34"/>
        <v>42179</v>
      </c>
      <c r="T551" s="4">
        <f t="shared" si="32"/>
        <v>42179</v>
      </c>
      <c r="U551" s="4">
        <v>42179</v>
      </c>
    </row>
    <row r="552" spans="1:21" x14ac:dyDescent="0.3">
      <c r="A552" t="s">
        <v>985</v>
      </c>
      <c r="B552" s="1" t="s">
        <v>264</v>
      </c>
      <c r="C552" s="1" t="s">
        <v>265</v>
      </c>
      <c r="D552" s="1" t="s">
        <v>13</v>
      </c>
      <c r="E552" s="2">
        <v>42005</v>
      </c>
      <c r="F552" s="2" t="b">
        <f t="shared" si="35"/>
        <v>1</v>
      </c>
      <c r="G552" s="2">
        <f t="shared" si="33"/>
        <v>42005</v>
      </c>
      <c r="H552" s="1" t="s">
        <v>122</v>
      </c>
      <c r="I552" s="1" t="s">
        <v>314</v>
      </c>
      <c r="J552" s="1">
        <v>50</v>
      </c>
      <c r="K552" s="1">
        <v>31</v>
      </c>
      <c r="L552" s="3">
        <v>0.38</v>
      </c>
      <c r="N552" t="s">
        <v>3763</v>
      </c>
      <c r="S552" s="4" t="e">
        <f t="shared" si="34"/>
        <v>#NUM!</v>
      </c>
      <c r="T552" s="4" t="str">
        <f t="shared" si="32"/>
        <v/>
      </c>
      <c r="U552" s="4" t="s">
        <v>3763</v>
      </c>
    </row>
    <row r="553" spans="1:21" x14ac:dyDescent="0.3">
      <c r="A553" t="s">
        <v>986</v>
      </c>
      <c r="B553" s="1" t="s">
        <v>107</v>
      </c>
      <c r="C553" s="1" t="s">
        <v>108</v>
      </c>
      <c r="D553" s="1" t="s">
        <v>19</v>
      </c>
      <c r="E553" s="2" t="s">
        <v>3256</v>
      </c>
      <c r="F553" s="2" t="b">
        <f t="shared" si="35"/>
        <v>0</v>
      </c>
      <c r="G553" s="2">
        <f t="shared" si="33"/>
        <v>42002</v>
      </c>
      <c r="H553" s="1" t="s">
        <v>14</v>
      </c>
      <c r="I553" s="1" t="s">
        <v>109</v>
      </c>
      <c r="J553" s="1">
        <v>80</v>
      </c>
      <c r="K553" s="1">
        <v>69</v>
      </c>
      <c r="L553" s="3">
        <v>0.13750000000000001</v>
      </c>
      <c r="N553" t="s">
        <v>3256</v>
      </c>
      <c r="P553">
        <v>12</v>
      </c>
      <c r="Q553">
        <v>29</v>
      </c>
      <c r="R553">
        <v>2014</v>
      </c>
      <c r="S553" s="4">
        <f t="shared" si="34"/>
        <v>42002</v>
      </c>
      <c r="T553" s="4">
        <f t="shared" si="32"/>
        <v>42002</v>
      </c>
      <c r="U553" s="4">
        <v>42002</v>
      </c>
    </row>
    <row r="554" spans="1:21" x14ac:dyDescent="0.3">
      <c r="A554" t="s">
        <v>987</v>
      </c>
      <c r="B554" s="1" t="s">
        <v>174</v>
      </c>
      <c r="C554" s="1" t="s">
        <v>175</v>
      </c>
      <c r="D554" s="1" t="s">
        <v>13</v>
      </c>
      <c r="E554" s="2" t="s">
        <v>3257</v>
      </c>
      <c r="F554" s="2" t="b">
        <f t="shared" si="35"/>
        <v>0</v>
      </c>
      <c r="G554" s="2">
        <f t="shared" si="33"/>
        <v>42691</v>
      </c>
      <c r="H554" s="1" t="s">
        <v>14</v>
      </c>
      <c r="I554" s="1" t="s">
        <v>219</v>
      </c>
      <c r="J554" s="1">
        <v>80</v>
      </c>
      <c r="K554" s="1">
        <v>70</v>
      </c>
      <c r="L554" s="3">
        <v>0.125</v>
      </c>
      <c r="N554" t="s">
        <v>3257</v>
      </c>
      <c r="P554">
        <v>11</v>
      </c>
      <c r="Q554">
        <v>17</v>
      </c>
      <c r="R554">
        <v>2016</v>
      </c>
      <c r="S554" s="4">
        <f t="shared" si="34"/>
        <v>42691</v>
      </c>
      <c r="T554" s="4">
        <f t="shared" si="32"/>
        <v>42691</v>
      </c>
      <c r="U554" s="4">
        <v>42691</v>
      </c>
    </row>
    <row r="555" spans="1:21" x14ac:dyDescent="0.3">
      <c r="A555" t="s">
        <v>988</v>
      </c>
      <c r="B555" s="1" t="s">
        <v>28</v>
      </c>
      <c r="C555" s="1" t="s">
        <v>29</v>
      </c>
      <c r="D555" s="1" t="s">
        <v>13</v>
      </c>
      <c r="E555" s="2" t="s">
        <v>3258</v>
      </c>
      <c r="F555" s="2" t="b">
        <f t="shared" si="35"/>
        <v>0</v>
      </c>
      <c r="G555" s="2">
        <f t="shared" si="33"/>
        <v>42752</v>
      </c>
      <c r="H555" s="1" t="s">
        <v>115</v>
      </c>
      <c r="I555" s="1" t="s">
        <v>445</v>
      </c>
      <c r="J555" s="1">
        <v>250</v>
      </c>
      <c r="K555" s="1">
        <v>240</v>
      </c>
      <c r="L555" s="3">
        <v>0.04</v>
      </c>
      <c r="N555" t="s">
        <v>3258</v>
      </c>
      <c r="P555">
        <v>1</v>
      </c>
      <c r="Q555">
        <v>17</v>
      </c>
      <c r="R555">
        <v>2017</v>
      </c>
      <c r="S555" s="4">
        <f t="shared" si="34"/>
        <v>42752</v>
      </c>
      <c r="T555" s="4">
        <f t="shared" si="32"/>
        <v>42752</v>
      </c>
      <c r="U555" s="4">
        <v>42752</v>
      </c>
    </row>
    <row r="556" spans="1:21" x14ac:dyDescent="0.3">
      <c r="A556" t="s">
        <v>989</v>
      </c>
      <c r="B556" s="1" t="s">
        <v>107</v>
      </c>
      <c r="C556" s="1" t="s">
        <v>108</v>
      </c>
      <c r="D556" s="1" t="s">
        <v>19</v>
      </c>
      <c r="E556" s="2" t="s">
        <v>3259</v>
      </c>
      <c r="F556" s="2" t="b">
        <f t="shared" si="35"/>
        <v>0</v>
      </c>
      <c r="G556" s="2">
        <f t="shared" si="33"/>
        <v>42544</v>
      </c>
      <c r="H556" s="1" t="s">
        <v>30</v>
      </c>
      <c r="I556" s="1" t="s">
        <v>946</v>
      </c>
      <c r="J556" s="1">
        <v>150</v>
      </c>
      <c r="K556" s="1">
        <v>132</v>
      </c>
      <c r="L556" s="3">
        <v>0.12</v>
      </c>
      <c r="N556" t="s">
        <v>3259</v>
      </c>
      <c r="P556">
        <v>6</v>
      </c>
      <c r="Q556">
        <v>23</v>
      </c>
      <c r="R556">
        <v>2016</v>
      </c>
      <c r="S556" s="4">
        <f t="shared" si="34"/>
        <v>42544</v>
      </c>
      <c r="T556" s="4">
        <f t="shared" si="32"/>
        <v>42544</v>
      </c>
      <c r="U556" s="4">
        <v>42544</v>
      </c>
    </row>
    <row r="557" spans="1:21" x14ac:dyDescent="0.3">
      <c r="A557" t="s">
        <v>990</v>
      </c>
      <c r="B557" s="1" t="s">
        <v>99</v>
      </c>
      <c r="C557" s="1" t="s">
        <v>100</v>
      </c>
      <c r="D557" s="1" t="s">
        <v>13</v>
      </c>
      <c r="E557" s="2">
        <v>42500</v>
      </c>
      <c r="F557" s="2" t="b">
        <f t="shared" si="35"/>
        <v>1</v>
      </c>
      <c r="G557" s="2">
        <f t="shared" si="33"/>
        <v>42500</v>
      </c>
      <c r="H557" s="1" t="s">
        <v>41</v>
      </c>
      <c r="I557" s="1" t="s">
        <v>101</v>
      </c>
      <c r="J557" s="1">
        <v>30</v>
      </c>
      <c r="K557" s="1">
        <v>27</v>
      </c>
      <c r="L557" s="3">
        <v>0.1</v>
      </c>
      <c r="N557" t="s">
        <v>3763</v>
      </c>
      <c r="S557" s="4" t="e">
        <f t="shared" si="34"/>
        <v>#NUM!</v>
      </c>
      <c r="T557" s="4" t="str">
        <f t="shared" si="32"/>
        <v/>
      </c>
      <c r="U557" s="4" t="s">
        <v>3763</v>
      </c>
    </row>
    <row r="558" spans="1:21" x14ac:dyDescent="0.3">
      <c r="A558" t="s">
        <v>991</v>
      </c>
      <c r="B558" s="1" t="s">
        <v>187</v>
      </c>
      <c r="C558" s="1" t="s">
        <v>188</v>
      </c>
      <c r="D558" s="1" t="s">
        <v>13</v>
      </c>
      <c r="E558" s="2">
        <v>42284</v>
      </c>
      <c r="F558" s="2" t="b">
        <f t="shared" si="35"/>
        <v>1</v>
      </c>
      <c r="G558" s="2">
        <f t="shared" si="33"/>
        <v>42284</v>
      </c>
      <c r="H558" s="1" t="s">
        <v>55</v>
      </c>
      <c r="I558" s="1" t="s">
        <v>741</v>
      </c>
      <c r="J558" s="1">
        <v>800</v>
      </c>
      <c r="K558" s="1">
        <v>624</v>
      </c>
      <c r="L558" s="3">
        <v>0.22</v>
      </c>
      <c r="N558" t="s">
        <v>3763</v>
      </c>
      <c r="S558" s="4" t="e">
        <f t="shared" si="34"/>
        <v>#NUM!</v>
      </c>
      <c r="T558" s="4" t="str">
        <f t="shared" si="32"/>
        <v/>
      </c>
      <c r="U558" s="4" t="s">
        <v>3763</v>
      </c>
    </row>
    <row r="559" spans="1:21" x14ac:dyDescent="0.3">
      <c r="A559" t="s">
        <v>992</v>
      </c>
      <c r="B559" s="1" t="s">
        <v>154</v>
      </c>
      <c r="C559" s="1" t="s">
        <v>108</v>
      </c>
      <c r="D559" s="1" t="s">
        <v>19</v>
      </c>
      <c r="E559" s="2" t="s">
        <v>3109</v>
      </c>
      <c r="F559" s="2" t="b">
        <f t="shared" si="35"/>
        <v>0</v>
      </c>
      <c r="G559" s="2">
        <f t="shared" si="33"/>
        <v>41839</v>
      </c>
      <c r="H559" s="1" t="s">
        <v>104</v>
      </c>
      <c r="I559" s="1" t="s">
        <v>993</v>
      </c>
      <c r="J559" s="1">
        <v>70</v>
      </c>
      <c r="K559" s="1">
        <v>52</v>
      </c>
      <c r="L559" s="3">
        <v>0.2571</v>
      </c>
      <c r="N559" t="s">
        <v>3109</v>
      </c>
      <c r="P559">
        <v>7</v>
      </c>
      <c r="Q559">
        <v>19</v>
      </c>
      <c r="R559">
        <v>2014</v>
      </c>
      <c r="S559" s="4">
        <f t="shared" si="34"/>
        <v>41839</v>
      </c>
      <c r="T559" s="4">
        <f t="shared" si="32"/>
        <v>41839</v>
      </c>
      <c r="U559" s="4">
        <v>41839</v>
      </c>
    </row>
    <row r="560" spans="1:21" x14ac:dyDescent="0.3">
      <c r="A560" t="s">
        <v>994</v>
      </c>
      <c r="B560" s="1" t="s">
        <v>118</v>
      </c>
      <c r="C560" s="1" t="s">
        <v>119</v>
      </c>
      <c r="D560" s="1" t="s">
        <v>35</v>
      </c>
      <c r="E560" s="2" t="s">
        <v>3108</v>
      </c>
      <c r="F560" s="2" t="b">
        <f t="shared" si="35"/>
        <v>0</v>
      </c>
      <c r="G560" s="2">
        <f t="shared" si="33"/>
        <v>43061</v>
      </c>
      <c r="H560" s="1" t="s">
        <v>14</v>
      </c>
      <c r="I560" s="1" t="s">
        <v>120</v>
      </c>
      <c r="J560" s="1">
        <v>80</v>
      </c>
      <c r="K560" s="1">
        <v>77</v>
      </c>
      <c r="L560" s="3">
        <v>3.7499999999999999E-2</v>
      </c>
      <c r="N560" t="s">
        <v>3108</v>
      </c>
      <c r="P560">
        <v>11</v>
      </c>
      <c r="Q560">
        <v>22</v>
      </c>
      <c r="R560">
        <v>2017</v>
      </c>
      <c r="S560" s="4">
        <f t="shared" si="34"/>
        <v>43061</v>
      </c>
      <c r="T560" s="4">
        <f t="shared" si="32"/>
        <v>43061</v>
      </c>
      <c r="U560" s="4">
        <v>43061</v>
      </c>
    </row>
    <row r="561" spans="1:21" x14ac:dyDescent="0.3">
      <c r="A561" t="s">
        <v>995</v>
      </c>
      <c r="B561" s="1" t="s">
        <v>44</v>
      </c>
      <c r="C561" s="1" t="s">
        <v>45</v>
      </c>
      <c r="D561" s="1" t="s">
        <v>24</v>
      </c>
      <c r="E561" s="2" t="s">
        <v>3260</v>
      </c>
      <c r="F561" s="2" t="b">
        <f t="shared" si="35"/>
        <v>0</v>
      </c>
      <c r="G561" s="2">
        <f t="shared" si="33"/>
        <v>43003</v>
      </c>
      <c r="H561" s="1" t="s">
        <v>41</v>
      </c>
      <c r="I561" s="1" t="s">
        <v>253</v>
      </c>
      <c r="J561" s="1">
        <v>30</v>
      </c>
      <c r="K561" s="1">
        <v>27</v>
      </c>
      <c r="L561" s="3">
        <v>0.1</v>
      </c>
      <c r="N561" t="s">
        <v>3260</v>
      </c>
      <c r="P561">
        <v>9</v>
      </c>
      <c r="Q561">
        <v>25</v>
      </c>
      <c r="R561">
        <v>2017</v>
      </c>
      <c r="S561" s="4">
        <f t="shared" si="34"/>
        <v>43003</v>
      </c>
      <c r="T561" s="4">
        <f t="shared" si="32"/>
        <v>43003</v>
      </c>
      <c r="U561" s="4">
        <v>43003</v>
      </c>
    </row>
    <row r="562" spans="1:21" x14ac:dyDescent="0.3">
      <c r="A562" t="s">
        <v>996</v>
      </c>
      <c r="B562" s="1" t="s">
        <v>150</v>
      </c>
      <c r="C562" s="1" t="s">
        <v>151</v>
      </c>
      <c r="D562" s="1" t="s">
        <v>13</v>
      </c>
      <c r="E562" s="2">
        <v>42746</v>
      </c>
      <c r="F562" s="2" t="b">
        <f t="shared" si="35"/>
        <v>1</v>
      </c>
      <c r="G562" s="2">
        <f t="shared" si="33"/>
        <v>42746</v>
      </c>
      <c r="H562" s="1" t="s">
        <v>36</v>
      </c>
      <c r="I562" s="1" t="s">
        <v>771</v>
      </c>
      <c r="J562" s="1">
        <v>50</v>
      </c>
      <c r="K562" s="1">
        <v>47</v>
      </c>
      <c r="L562" s="3">
        <v>0.06</v>
      </c>
      <c r="N562" t="s">
        <v>3763</v>
      </c>
      <c r="S562" s="4" t="e">
        <f t="shared" si="34"/>
        <v>#NUM!</v>
      </c>
      <c r="T562" s="4" t="str">
        <f t="shared" si="32"/>
        <v/>
      </c>
      <c r="U562" s="4" t="s">
        <v>3763</v>
      </c>
    </row>
    <row r="563" spans="1:21" x14ac:dyDescent="0.3">
      <c r="A563" t="s">
        <v>997</v>
      </c>
      <c r="B563" s="1" t="s">
        <v>400</v>
      </c>
      <c r="C563" s="1" t="s">
        <v>401</v>
      </c>
      <c r="D563" s="1" t="s">
        <v>13</v>
      </c>
      <c r="E563" s="2">
        <v>42922</v>
      </c>
      <c r="F563" s="2" t="b">
        <f t="shared" si="35"/>
        <v>1</v>
      </c>
      <c r="G563" s="2">
        <f t="shared" si="33"/>
        <v>42922</v>
      </c>
      <c r="H563" s="1" t="s">
        <v>46</v>
      </c>
      <c r="I563" s="1" t="s">
        <v>402</v>
      </c>
      <c r="J563" s="1">
        <v>500</v>
      </c>
      <c r="K563" s="1">
        <v>265</v>
      </c>
      <c r="L563" s="3">
        <v>0.47</v>
      </c>
      <c r="N563" t="s">
        <v>3763</v>
      </c>
      <c r="S563" s="4" t="e">
        <f t="shared" si="34"/>
        <v>#NUM!</v>
      </c>
      <c r="T563" s="4" t="str">
        <f t="shared" si="32"/>
        <v/>
      </c>
      <c r="U563" s="4" t="s">
        <v>3763</v>
      </c>
    </row>
    <row r="564" spans="1:21" x14ac:dyDescent="0.3">
      <c r="A564" t="s">
        <v>998</v>
      </c>
      <c r="B564" s="1" t="s">
        <v>270</v>
      </c>
      <c r="C564" s="1" t="s">
        <v>271</v>
      </c>
      <c r="D564" s="1" t="s">
        <v>35</v>
      </c>
      <c r="E564" s="2" t="s">
        <v>3261</v>
      </c>
      <c r="F564" s="2" t="b">
        <f t="shared" si="35"/>
        <v>0</v>
      </c>
      <c r="G564" s="2">
        <f t="shared" si="33"/>
        <v>42659</v>
      </c>
      <c r="H564" s="1" t="s">
        <v>41</v>
      </c>
      <c r="I564" s="1" t="s">
        <v>713</v>
      </c>
      <c r="J564" s="1">
        <v>30</v>
      </c>
      <c r="K564" s="1">
        <v>28</v>
      </c>
      <c r="L564" s="3">
        <v>6.6699999999999995E-2</v>
      </c>
      <c r="N564" t="s">
        <v>3261</v>
      </c>
      <c r="P564">
        <v>10</v>
      </c>
      <c r="Q564">
        <v>16</v>
      </c>
      <c r="R564">
        <v>2016</v>
      </c>
      <c r="S564" s="4">
        <f t="shared" si="34"/>
        <v>42659</v>
      </c>
      <c r="T564" s="4">
        <f t="shared" si="32"/>
        <v>42659</v>
      </c>
      <c r="U564" s="4">
        <v>42659</v>
      </c>
    </row>
    <row r="565" spans="1:21" x14ac:dyDescent="0.3">
      <c r="A565" t="s">
        <v>999</v>
      </c>
      <c r="B565" s="1" t="s">
        <v>49</v>
      </c>
      <c r="C565" s="1" t="s">
        <v>50</v>
      </c>
      <c r="D565" s="1" t="s">
        <v>24</v>
      </c>
      <c r="E565" s="2" t="s">
        <v>3262</v>
      </c>
      <c r="F565" s="2" t="b">
        <f t="shared" si="35"/>
        <v>0</v>
      </c>
      <c r="G565" s="2">
        <f t="shared" si="33"/>
        <v>41836</v>
      </c>
      <c r="H565" s="1" t="s">
        <v>115</v>
      </c>
      <c r="I565" s="1" t="s">
        <v>1000</v>
      </c>
      <c r="J565" s="1">
        <v>250</v>
      </c>
      <c r="K565" s="1">
        <v>240</v>
      </c>
      <c r="L565" s="3">
        <v>0.04</v>
      </c>
      <c r="N565" t="s">
        <v>3262</v>
      </c>
      <c r="P565">
        <v>7</v>
      </c>
      <c r="Q565">
        <v>16</v>
      </c>
      <c r="R565">
        <v>2014</v>
      </c>
      <c r="S565" s="4">
        <f t="shared" si="34"/>
        <v>41836</v>
      </c>
      <c r="T565" s="4">
        <f t="shared" si="32"/>
        <v>41836</v>
      </c>
      <c r="U565" s="4">
        <v>41836</v>
      </c>
    </row>
    <row r="566" spans="1:21" x14ac:dyDescent="0.3">
      <c r="A566" t="s">
        <v>1001</v>
      </c>
      <c r="B566" s="1" t="s">
        <v>227</v>
      </c>
      <c r="C566" s="1" t="s">
        <v>228</v>
      </c>
      <c r="D566" s="1" t="s">
        <v>24</v>
      </c>
      <c r="E566" s="2">
        <v>43416</v>
      </c>
      <c r="F566" s="2" t="b">
        <f t="shared" si="35"/>
        <v>1</v>
      </c>
      <c r="G566" s="2">
        <f t="shared" si="33"/>
        <v>43416</v>
      </c>
      <c r="H566" s="1" t="s">
        <v>36</v>
      </c>
      <c r="I566" s="1" t="s">
        <v>836</v>
      </c>
      <c r="J566" s="1">
        <v>50</v>
      </c>
      <c r="K566" s="1">
        <v>45</v>
      </c>
      <c r="L566" s="3">
        <v>0.1</v>
      </c>
      <c r="N566" t="s">
        <v>3763</v>
      </c>
      <c r="S566" s="4" t="e">
        <f t="shared" si="34"/>
        <v>#NUM!</v>
      </c>
      <c r="T566" s="4" t="str">
        <f t="shared" si="32"/>
        <v/>
      </c>
      <c r="U566" s="4" t="s">
        <v>3763</v>
      </c>
    </row>
    <row r="567" spans="1:21" x14ac:dyDescent="0.3">
      <c r="A567" t="s">
        <v>1002</v>
      </c>
      <c r="B567" s="1" t="s">
        <v>49</v>
      </c>
      <c r="C567" s="1" t="s">
        <v>50</v>
      </c>
      <c r="D567" s="1" t="s">
        <v>24</v>
      </c>
      <c r="E567" s="2">
        <v>42013</v>
      </c>
      <c r="F567" s="2" t="b">
        <f t="shared" si="35"/>
        <v>1</v>
      </c>
      <c r="G567" s="2">
        <f t="shared" si="33"/>
        <v>42013</v>
      </c>
      <c r="H567" s="1" t="s">
        <v>72</v>
      </c>
      <c r="I567" s="1" t="s">
        <v>1000</v>
      </c>
      <c r="J567" s="1">
        <v>500</v>
      </c>
      <c r="K567" s="1">
        <v>490</v>
      </c>
      <c r="L567" s="3">
        <v>0.02</v>
      </c>
      <c r="N567" t="s">
        <v>3763</v>
      </c>
      <c r="S567" s="4" t="e">
        <f t="shared" si="34"/>
        <v>#NUM!</v>
      </c>
      <c r="T567" s="4" t="str">
        <f t="shared" si="32"/>
        <v/>
      </c>
      <c r="U567" s="4" t="s">
        <v>3763</v>
      </c>
    </row>
    <row r="568" spans="1:21" x14ac:dyDescent="0.3">
      <c r="A568" t="s">
        <v>1003</v>
      </c>
      <c r="B568" s="1" t="s">
        <v>154</v>
      </c>
      <c r="C568" s="1" t="s">
        <v>108</v>
      </c>
      <c r="D568" s="1" t="s">
        <v>19</v>
      </c>
      <c r="E568" s="2" t="s">
        <v>3263</v>
      </c>
      <c r="F568" s="2" t="b">
        <f t="shared" si="35"/>
        <v>0</v>
      </c>
      <c r="G568" s="2">
        <f t="shared" si="33"/>
        <v>42886</v>
      </c>
      <c r="H568" s="1" t="s">
        <v>41</v>
      </c>
      <c r="I568" s="1" t="s">
        <v>1004</v>
      </c>
      <c r="J568" s="1">
        <v>30</v>
      </c>
      <c r="K568" s="1">
        <v>29</v>
      </c>
      <c r="L568" s="3">
        <v>3.3300000000000003E-2</v>
      </c>
      <c r="N568" t="s">
        <v>3263</v>
      </c>
      <c r="P568">
        <v>5</v>
      </c>
      <c r="Q568">
        <v>31</v>
      </c>
      <c r="R568">
        <v>2017</v>
      </c>
      <c r="S568" s="4">
        <f t="shared" si="34"/>
        <v>42886</v>
      </c>
      <c r="T568" s="4">
        <f t="shared" si="32"/>
        <v>42886</v>
      </c>
      <c r="U568" s="4">
        <v>42886</v>
      </c>
    </row>
    <row r="569" spans="1:21" x14ac:dyDescent="0.3">
      <c r="A569" t="s">
        <v>1005</v>
      </c>
      <c r="B569" s="1" t="s">
        <v>146</v>
      </c>
      <c r="C569" s="1" t="s">
        <v>147</v>
      </c>
      <c r="D569" s="1" t="s">
        <v>13</v>
      </c>
      <c r="E569" s="2" t="s">
        <v>3264</v>
      </c>
      <c r="F569" s="2" t="b">
        <f t="shared" si="35"/>
        <v>0</v>
      </c>
      <c r="G569" s="2">
        <f t="shared" si="33"/>
        <v>42902</v>
      </c>
      <c r="H569" s="1" t="s">
        <v>122</v>
      </c>
      <c r="I569" s="1" t="s">
        <v>1006</v>
      </c>
      <c r="J569" s="1">
        <v>50</v>
      </c>
      <c r="K569" s="1">
        <v>49</v>
      </c>
      <c r="L569" s="3">
        <v>0.02</v>
      </c>
      <c r="N569" t="s">
        <v>3264</v>
      </c>
      <c r="P569">
        <v>6</v>
      </c>
      <c r="Q569">
        <v>16</v>
      </c>
      <c r="R569">
        <v>2017</v>
      </c>
      <c r="S569" s="4">
        <f t="shared" si="34"/>
        <v>42902</v>
      </c>
      <c r="T569" s="4">
        <f t="shared" si="32"/>
        <v>42902</v>
      </c>
      <c r="U569" s="4">
        <v>42902</v>
      </c>
    </row>
    <row r="570" spans="1:21" x14ac:dyDescent="0.3">
      <c r="A570" t="s">
        <v>1007</v>
      </c>
      <c r="B570" s="1" t="s">
        <v>11</v>
      </c>
      <c r="C570" s="1" t="s">
        <v>12</v>
      </c>
      <c r="D570" s="1" t="s">
        <v>13</v>
      </c>
      <c r="E570" s="2" t="s">
        <v>3027</v>
      </c>
      <c r="F570" s="2" t="b">
        <f t="shared" si="35"/>
        <v>0</v>
      </c>
      <c r="G570" s="2">
        <f t="shared" si="33"/>
        <v>41833</v>
      </c>
      <c r="H570" s="1" t="s">
        <v>25</v>
      </c>
      <c r="I570" s="1" t="s">
        <v>293</v>
      </c>
      <c r="J570" s="1">
        <v>700</v>
      </c>
      <c r="K570" s="1">
        <v>665</v>
      </c>
      <c r="L570" s="3">
        <v>0.05</v>
      </c>
      <c r="N570" t="s">
        <v>3027</v>
      </c>
      <c r="P570">
        <v>7</v>
      </c>
      <c r="Q570">
        <v>13</v>
      </c>
      <c r="R570">
        <v>2014</v>
      </c>
      <c r="S570" s="4">
        <f t="shared" si="34"/>
        <v>41833</v>
      </c>
      <c r="T570" s="4">
        <f t="shared" si="32"/>
        <v>41833</v>
      </c>
      <c r="U570" s="4">
        <v>41833</v>
      </c>
    </row>
    <row r="571" spans="1:21" x14ac:dyDescent="0.3">
      <c r="A571" t="s">
        <v>1008</v>
      </c>
      <c r="B571" s="1" t="s">
        <v>324</v>
      </c>
      <c r="C571" s="1" t="s">
        <v>325</v>
      </c>
      <c r="D571" s="1" t="s">
        <v>13</v>
      </c>
      <c r="E571" s="2" t="s">
        <v>3265</v>
      </c>
      <c r="F571" s="2" t="b">
        <f t="shared" si="35"/>
        <v>0</v>
      </c>
      <c r="G571" s="2">
        <f t="shared" si="33"/>
        <v>41864</v>
      </c>
      <c r="H571" s="1" t="s">
        <v>55</v>
      </c>
      <c r="I571" s="1" t="s">
        <v>1009</v>
      </c>
      <c r="J571" s="1">
        <v>800</v>
      </c>
      <c r="K571" s="1">
        <v>720</v>
      </c>
      <c r="L571" s="3">
        <v>0.1</v>
      </c>
      <c r="N571" t="s">
        <v>3265</v>
      </c>
      <c r="P571">
        <v>8</v>
      </c>
      <c r="Q571">
        <v>13</v>
      </c>
      <c r="R571">
        <v>2014</v>
      </c>
      <c r="S571" s="4">
        <f t="shared" si="34"/>
        <v>41864</v>
      </c>
      <c r="T571" s="4">
        <f t="shared" si="32"/>
        <v>41864</v>
      </c>
      <c r="U571" s="4">
        <v>41864</v>
      </c>
    </row>
    <row r="572" spans="1:21" x14ac:dyDescent="0.3">
      <c r="A572" t="s">
        <v>1010</v>
      </c>
      <c r="B572" s="1" t="s">
        <v>241</v>
      </c>
      <c r="C572" s="1" t="s">
        <v>242</v>
      </c>
      <c r="D572" s="1" t="s">
        <v>13</v>
      </c>
      <c r="E572" s="2" t="s">
        <v>3266</v>
      </c>
      <c r="F572" s="2" t="b">
        <f t="shared" si="35"/>
        <v>0</v>
      </c>
      <c r="G572" s="2">
        <f t="shared" si="33"/>
        <v>42460</v>
      </c>
      <c r="H572" s="1" t="s">
        <v>72</v>
      </c>
      <c r="I572" s="1" t="s">
        <v>243</v>
      </c>
      <c r="J572" s="1">
        <v>500</v>
      </c>
      <c r="K572" s="1">
        <v>500</v>
      </c>
      <c r="L572" s="3">
        <v>0</v>
      </c>
      <c r="N572" t="s">
        <v>3266</v>
      </c>
      <c r="P572">
        <v>3</v>
      </c>
      <c r="Q572">
        <v>31</v>
      </c>
      <c r="R572">
        <v>2016</v>
      </c>
      <c r="S572" s="4">
        <f t="shared" si="34"/>
        <v>42460</v>
      </c>
      <c r="T572" s="4">
        <f t="shared" si="32"/>
        <v>42460</v>
      </c>
      <c r="U572" s="4">
        <v>42460</v>
      </c>
    </row>
    <row r="573" spans="1:21" x14ac:dyDescent="0.3">
      <c r="A573" t="s">
        <v>1011</v>
      </c>
      <c r="B573" s="1" t="s">
        <v>107</v>
      </c>
      <c r="C573" s="1" t="s">
        <v>108</v>
      </c>
      <c r="D573" s="1" t="s">
        <v>19</v>
      </c>
      <c r="E573" s="2" t="s">
        <v>3087</v>
      </c>
      <c r="F573" s="2" t="b">
        <f t="shared" si="35"/>
        <v>0</v>
      </c>
      <c r="G573" s="2">
        <f t="shared" si="33"/>
        <v>43338</v>
      </c>
      <c r="H573" s="1" t="s">
        <v>55</v>
      </c>
      <c r="I573" s="1" t="s">
        <v>531</v>
      </c>
      <c r="J573" s="1">
        <v>800</v>
      </c>
      <c r="K573" s="1">
        <v>680</v>
      </c>
      <c r="L573" s="3">
        <v>0.15</v>
      </c>
      <c r="N573" t="s">
        <v>3087</v>
      </c>
      <c r="P573">
        <v>8</v>
      </c>
      <c r="Q573">
        <v>26</v>
      </c>
      <c r="R573">
        <v>2018</v>
      </c>
      <c r="S573" s="4">
        <f t="shared" si="34"/>
        <v>43338</v>
      </c>
      <c r="T573" s="4">
        <f t="shared" si="32"/>
        <v>43338</v>
      </c>
      <c r="U573" s="4">
        <v>43338</v>
      </c>
    </row>
    <row r="574" spans="1:21" x14ac:dyDescent="0.3">
      <c r="A574" t="s">
        <v>1012</v>
      </c>
      <c r="B574" s="1" t="s">
        <v>103</v>
      </c>
      <c r="C574" s="1" t="s">
        <v>71</v>
      </c>
      <c r="D574" s="1" t="s">
        <v>35</v>
      </c>
      <c r="E574" s="2">
        <v>42070</v>
      </c>
      <c r="F574" s="2" t="b">
        <f t="shared" si="35"/>
        <v>1</v>
      </c>
      <c r="G574" s="2">
        <f t="shared" si="33"/>
        <v>42070</v>
      </c>
      <c r="H574" s="1" t="s">
        <v>55</v>
      </c>
      <c r="I574" s="1" t="s">
        <v>105</v>
      </c>
      <c r="J574" s="1">
        <v>800</v>
      </c>
      <c r="K574" s="1">
        <v>480</v>
      </c>
      <c r="L574" s="3">
        <v>0.4</v>
      </c>
      <c r="N574" t="s">
        <v>3763</v>
      </c>
      <c r="S574" s="4" t="e">
        <f t="shared" si="34"/>
        <v>#NUM!</v>
      </c>
      <c r="T574" s="4" t="str">
        <f t="shared" si="32"/>
        <v/>
      </c>
      <c r="U574" s="4" t="s">
        <v>3763</v>
      </c>
    </row>
    <row r="575" spans="1:21" x14ac:dyDescent="0.3">
      <c r="A575" t="s">
        <v>1013</v>
      </c>
      <c r="B575" s="1" t="s">
        <v>59</v>
      </c>
      <c r="C575" s="1" t="s">
        <v>60</v>
      </c>
      <c r="D575" s="1" t="s">
        <v>13</v>
      </c>
      <c r="E575" s="2">
        <v>41737</v>
      </c>
      <c r="F575" s="2" t="b">
        <f t="shared" si="35"/>
        <v>1</v>
      </c>
      <c r="G575" s="2">
        <f t="shared" si="33"/>
        <v>41737</v>
      </c>
      <c r="H575" s="1" t="s">
        <v>25</v>
      </c>
      <c r="I575" s="1" t="s">
        <v>1014</v>
      </c>
      <c r="J575" s="1">
        <v>700</v>
      </c>
      <c r="K575" s="1">
        <v>602</v>
      </c>
      <c r="L575" s="3">
        <v>0.14000000000000001</v>
      </c>
      <c r="N575" t="s">
        <v>3763</v>
      </c>
      <c r="S575" s="4" t="e">
        <f t="shared" si="34"/>
        <v>#NUM!</v>
      </c>
      <c r="T575" s="4" t="str">
        <f t="shared" si="32"/>
        <v/>
      </c>
      <c r="U575" s="4" t="s">
        <v>3763</v>
      </c>
    </row>
    <row r="576" spans="1:21" x14ac:dyDescent="0.3">
      <c r="A576" t="s">
        <v>1015</v>
      </c>
      <c r="B576" s="1" t="s">
        <v>150</v>
      </c>
      <c r="C576" s="1" t="s">
        <v>151</v>
      </c>
      <c r="D576" s="1" t="s">
        <v>13</v>
      </c>
      <c r="E576" s="2" t="s">
        <v>3267</v>
      </c>
      <c r="F576" s="2" t="b">
        <f t="shared" si="35"/>
        <v>0</v>
      </c>
      <c r="G576" s="2">
        <f t="shared" si="33"/>
        <v>43113</v>
      </c>
      <c r="H576" s="1" t="s">
        <v>115</v>
      </c>
      <c r="I576" s="1" t="s">
        <v>409</v>
      </c>
      <c r="J576" s="1">
        <v>250</v>
      </c>
      <c r="K576" s="1">
        <v>220</v>
      </c>
      <c r="L576" s="3">
        <v>0.12</v>
      </c>
      <c r="N576" t="s">
        <v>3267</v>
      </c>
      <c r="P576">
        <v>1</v>
      </c>
      <c r="Q576">
        <v>13</v>
      </c>
      <c r="R576">
        <v>2018</v>
      </c>
      <c r="S576" s="4">
        <f t="shared" si="34"/>
        <v>43113</v>
      </c>
      <c r="T576" s="4">
        <f t="shared" si="32"/>
        <v>43113</v>
      </c>
      <c r="U576" s="4">
        <v>43113</v>
      </c>
    </row>
    <row r="577" spans="1:21" x14ac:dyDescent="0.3">
      <c r="A577" t="s">
        <v>1016</v>
      </c>
      <c r="B577" s="1" t="s">
        <v>124</v>
      </c>
      <c r="C577" s="1" t="s">
        <v>40</v>
      </c>
      <c r="D577" s="1" t="s">
        <v>35</v>
      </c>
      <c r="E577" s="2" t="s">
        <v>3268</v>
      </c>
      <c r="F577" s="2" t="b">
        <f t="shared" si="35"/>
        <v>0</v>
      </c>
      <c r="G577" s="2">
        <f t="shared" si="33"/>
        <v>42361</v>
      </c>
      <c r="H577" s="1" t="s">
        <v>72</v>
      </c>
      <c r="I577" s="1" t="s">
        <v>1017</v>
      </c>
      <c r="J577" s="1">
        <v>500</v>
      </c>
      <c r="K577" s="1">
        <v>495</v>
      </c>
      <c r="L577" s="3">
        <v>0.01</v>
      </c>
      <c r="N577" t="s">
        <v>3268</v>
      </c>
      <c r="P577">
        <v>12</v>
      </c>
      <c r="Q577">
        <v>23</v>
      </c>
      <c r="R577">
        <v>2015</v>
      </c>
      <c r="S577" s="4">
        <f t="shared" si="34"/>
        <v>42361</v>
      </c>
      <c r="T577" s="4">
        <f t="shared" si="32"/>
        <v>42361</v>
      </c>
      <c r="U577" s="4">
        <v>42361</v>
      </c>
    </row>
    <row r="578" spans="1:21" x14ac:dyDescent="0.3">
      <c r="A578" t="s">
        <v>1018</v>
      </c>
      <c r="B578" s="1" t="s">
        <v>134</v>
      </c>
      <c r="C578" s="1" t="s">
        <v>92</v>
      </c>
      <c r="D578" s="1" t="s">
        <v>35</v>
      </c>
      <c r="E578" s="2">
        <v>42411</v>
      </c>
      <c r="F578" s="2" t="b">
        <f t="shared" si="35"/>
        <v>1</v>
      </c>
      <c r="G578" s="2">
        <f t="shared" si="33"/>
        <v>42411</v>
      </c>
      <c r="H578" s="1" t="s">
        <v>14</v>
      </c>
      <c r="I578" s="1" t="s">
        <v>1019</v>
      </c>
      <c r="J578" s="1">
        <v>80</v>
      </c>
      <c r="K578" s="1">
        <v>71</v>
      </c>
      <c r="L578" s="3">
        <v>0.1125</v>
      </c>
      <c r="N578" t="s">
        <v>3763</v>
      </c>
      <c r="S578" s="4" t="e">
        <f t="shared" si="34"/>
        <v>#NUM!</v>
      </c>
      <c r="T578" s="4" t="str">
        <f t="shared" si="32"/>
        <v/>
      </c>
      <c r="U578" s="4" t="s">
        <v>3763</v>
      </c>
    </row>
    <row r="579" spans="1:21" x14ac:dyDescent="0.3">
      <c r="A579" t="s">
        <v>1020</v>
      </c>
      <c r="B579" s="1" t="s">
        <v>118</v>
      </c>
      <c r="C579" s="1" t="s">
        <v>119</v>
      </c>
      <c r="D579" s="1" t="s">
        <v>35</v>
      </c>
      <c r="E579" s="2" t="s">
        <v>2996</v>
      </c>
      <c r="F579" s="2" t="b">
        <f t="shared" si="35"/>
        <v>0</v>
      </c>
      <c r="G579" s="2">
        <f t="shared" si="33"/>
        <v>43185</v>
      </c>
      <c r="H579" s="1" t="s">
        <v>61</v>
      </c>
      <c r="I579" s="1" t="s">
        <v>540</v>
      </c>
      <c r="J579" s="1">
        <v>1000</v>
      </c>
      <c r="K579" s="1">
        <v>530</v>
      </c>
      <c r="L579" s="3">
        <v>0.47</v>
      </c>
      <c r="N579" t="s">
        <v>2996</v>
      </c>
      <c r="P579">
        <v>3</v>
      </c>
      <c r="Q579">
        <v>26</v>
      </c>
      <c r="R579">
        <v>2018</v>
      </c>
      <c r="S579" s="4">
        <f t="shared" si="34"/>
        <v>43185</v>
      </c>
      <c r="T579" s="4">
        <f t="shared" ref="T579:T642" si="36">IF(AND(P579&lt;&gt;"",Q579&lt;&gt;"",R579&lt;&gt;""),IFERROR(DATE(R579,P579,Q579),""),"")</f>
        <v>43185</v>
      </c>
      <c r="U579" s="4">
        <v>43185</v>
      </c>
    </row>
    <row r="580" spans="1:21" x14ac:dyDescent="0.3">
      <c r="A580" t="s">
        <v>1021</v>
      </c>
      <c r="B580" s="1" t="s">
        <v>157</v>
      </c>
      <c r="C580" s="1" t="s">
        <v>108</v>
      </c>
      <c r="D580" s="1" t="s">
        <v>19</v>
      </c>
      <c r="E580" s="2">
        <v>41951</v>
      </c>
      <c r="F580" s="2" t="b">
        <f t="shared" si="35"/>
        <v>1</v>
      </c>
      <c r="G580" s="2">
        <f t="shared" ref="G580:G643" si="37">IF(F580=TRUE,E580,U580)</f>
        <v>41951</v>
      </c>
      <c r="H580" s="1" t="s">
        <v>104</v>
      </c>
      <c r="I580" s="1" t="s">
        <v>1022</v>
      </c>
      <c r="J580" s="1">
        <v>70</v>
      </c>
      <c r="K580" s="1">
        <v>65</v>
      </c>
      <c r="L580" s="3">
        <v>7.1400000000000005E-2</v>
      </c>
      <c r="N580" t="s">
        <v>3763</v>
      </c>
      <c r="S580" s="4" t="e">
        <f t="shared" ref="S580:S643" si="38">DATE(R580,P580,Q580)</f>
        <v>#NUM!</v>
      </c>
      <c r="T580" s="4" t="str">
        <f t="shared" si="36"/>
        <v/>
      </c>
      <c r="U580" s="4" t="s">
        <v>3763</v>
      </c>
    </row>
    <row r="581" spans="1:21" x14ac:dyDescent="0.3">
      <c r="A581" t="s">
        <v>1023</v>
      </c>
      <c r="B581" s="1" t="s">
        <v>227</v>
      </c>
      <c r="C581" s="1" t="s">
        <v>228</v>
      </c>
      <c r="D581" s="1" t="s">
        <v>24</v>
      </c>
      <c r="E581" s="2" t="s">
        <v>3269</v>
      </c>
      <c r="F581" s="2" t="b">
        <f t="shared" ref="F581:F644" si="39">ISNUMBER(E581)</f>
        <v>0</v>
      </c>
      <c r="G581" s="2">
        <f t="shared" si="37"/>
        <v>42751</v>
      </c>
      <c r="H581" s="1" t="s">
        <v>36</v>
      </c>
      <c r="I581" s="1" t="s">
        <v>1024</v>
      </c>
      <c r="J581" s="1">
        <v>50</v>
      </c>
      <c r="K581" s="1">
        <v>49</v>
      </c>
      <c r="L581" s="3">
        <v>0.02</v>
      </c>
      <c r="N581" t="s">
        <v>3269</v>
      </c>
      <c r="P581">
        <v>1</v>
      </c>
      <c r="Q581">
        <v>16</v>
      </c>
      <c r="R581">
        <v>2017</v>
      </c>
      <c r="S581" s="4">
        <f t="shared" si="38"/>
        <v>42751</v>
      </c>
      <c r="T581" s="4">
        <f t="shared" si="36"/>
        <v>42751</v>
      </c>
      <c r="U581" s="4">
        <v>42751</v>
      </c>
    </row>
    <row r="582" spans="1:21" x14ac:dyDescent="0.3">
      <c r="A582" t="s">
        <v>1025</v>
      </c>
      <c r="B582" s="1" t="s">
        <v>53</v>
      </c>
      <c r="C582" s="1" t="s">
        <v>54</v>
      </c>
      <c r="D582" s="1" t="s">
        <v>13</v>
      </c>
      <c r="E582" s="2">
        <v>43076</v>
      </c>
      <c r="F582" s="2" t="b">
        <f t="shared" si="39"/>
        <v>1</v>
      </c>
      <c r="G582" s="2">
        <f t="shared" si="37"/>
        <v>43076</v>
      </c>
      <c r="H582" s="1" t="s">
        <v>41</v>
      </c>
      <c r="I582" s="1" t="s">
        <v>795</v>
      </c>
      <c r="J582" s="1">
        <v>30</v>
      </c>
      <c r="K582" s="1">
        <v>30</v>
      </c>
      <c r="L582" s="3">
        <v>0</v>
      </c>
      <c r="N582" t="s">
        <v>3763</v>
      </c>
      <c r="S582" s="4" t="e">
        <f t="shared" si="38"/>
        <v>#NUM!</v>
      </c>
      <c r="T582" s="4" t="str">
        <f t="shared" si="36"/>
        <v/>
      </c>
      <c r="U582" s="4" t="s">
        <v>3763</v>
      </c>
    </row>
    <row r="583" spans="1:21" x14ac:dyDescent="0.3">
      <c r="A583" t="s">
        <v>1026</v>
      </c>
      <c r="B583" s="1" t="s">
        <v>99</v>
      </c>
      <c r="C583" s="1" t="s">
        <v>100</v>
      </c>
      <c r="D583" s="1" t="s">
        <v>13</v>
      </c>
      <c r="E583" s="2">
        <v>43259</v>
      </c>
      <c r="F583" s="2" t="b">
        <f t="shared" si="39"/>
        <v>1</v>
      </c>
      <c r="G583" s="2">
        <f t="shared" si="37"/>
        <v>43259</v>
      </c>
      <c r="H583" s="1" t="s">
        <v>14</v>
      </c>
      <c r="I583" s="1" t="s">
        <v>911</v>
      </c>
      <c r="J583" s="1">
        <v>80</v>
      </c>
      <c r="K583" s="1">
        <v>69</v>
      </c>
      <c r="L583" s="3">
        <v>0.13750000000000001</v>
      </c>
      <c r="N583" t="s">
        <v>3763</v>
      </c>
      <c r="S583" s="4" t="e">
        <f t="shared" si="38"/>
        <v>#NUM!</v>
      </c>
      <c r="T583" s="4" t="str">
        <f t="shared" si="36"/>
        <v/>
      </c>
      <c r="U583" s="4" t="s">
        <v>3763</v>
      </c>
    </row>
    <row r="584" spans="1:21" x14ac:dyDescent="0.3">
      <c r="A584" t="s">
        <v>1027</v>
      </c>
      <c r="B584" s="1" t="s">
        <v>64</v>
      </c>
      <c r="C584" s="1" t="s">
        <v>65</v>
      </c>
      <c r="D584" s="1" t="s">
        <v>35</v>
      </c>
      <c r="E584" s="2" t="s">
        <v>3270</v>
      </c>
      <c r="F584" s="2" t="b">
        <f t="shared" si="39"/>
        <v>0</v>
      </c>
      <c r="G584" s="2">
        <f t="shared" si="37"/>
        <v>42852</v>
      </c>
      <c r="H584" s="1" t="s">
        <v>41</v>
      </c>
      <c r="I584" s="1" t="s">
        <v>140</v>
      </c>
      <c r="J584" s="1">
        <v>30</v>
      </c>
      <c r="K584" s="1">
        <v>29</v>
      </c>
      <c r="L584" s="3">
        <v>3.3300000000000003E-2</v>
      </c>
      <c r="N584" t="s">
        <v>3270</v>
      </c>
      <c r="P584">
        <v>4</v>
      </c>
      <c r="Q584">
        <v>27</v>
      </c>
      <c r="R584">
        <v>2017</v>
      </c>
      <c r="S584" s="4">
        <f t="shared" si="38"/>
        <v>42852</v>
      </c>
      <c r="T584" s="4">
        <f t="shared" si="36"/>
        <v>42852</v>
      </c>
      <c r="U584" s="4">
        <v>42852</v>
      </c>
    </row>
    <row r="585" spans="1:21" x14ac:dyDescent="0.3">
      <c r="A585" t="s">
        <v>1028</v>
      </c>
      <c r="B585" s="1" t="s">
        <v>107</v>
      </c>
      <c r="C585" s="1" t="s">
        <v>108</v>
      </c>
      <c r="D585" s="1" t="s">
        <v>19</v>
      </c>
      <c r="E585" s="2" t="s">
        <v>3271</v>
      </c>
      <c r="F585" s="2" t="b">
        <f t="shared" si="39"/>
        <v>0</v>
      </c>
      <c r="G585" s="2">
        <f t="shared" si="37"/>
        <v>42633</v>
      </c>
      <c r="H585" s="1" t="s">
        <v>122</v>
      </c>
      <c r="I585" s="1" t="s">
        <v>1029</v>
      </c>
      <c r="J585" s="1">
        <v>50</v>
      </c>
      <c r="K585" s="1">
        <v>43</v>
      </c>
      <c r="L585" s="3">
        <v>0.14000000000000001</v>
      </c>
      <c r="N585" t="s">
        <v>3271</v>
      </c>
      <c r="P585">
        <v>9</v>
      </c>
      <c r="Q585">
        <v>20</v>
      </c>
      <c r="R585">
        <v>2016</v>
      </c>
      <c r="S585" s="4">
        <f t="shared" si="38"/>
        <v>42633</v>
      </c>
      <c r="T585" s="4">
        <f t="shared" si="36"/>
        <v>42633</v>
      </c>
      <c r="U585" s="4">
        <v>42633</v>
      </c>
    </row>
    <row r="586" spans="1:21" x14ac:dyDescent="0.3">
      <c r="A586" t="s">
        <v>1030</v>
      </c>
      <c r="B586" s="1" t="s">
        <v>187</v>
      </c>
      <c r="C586" s="1" t="s">
        <v>188</v>
      </c>
      <c r="D586" s="1" t="s">
        <v>13</v>
      </c>
      <c r="E586" s="2">
        <v>42985</v>
      </c>
      <c r="F586" s="2" t="b">
        <f t="shared" si="39"/>
        <v>1</v>
      </c>
      <c r="G586" s="2">
        <f t="shared" si="37"/>
        <v>42985</v>
      </c>
      <c r="H586" s="1" t="s">
        <v>30</v>
      </c>
      <c r="I586" s="1" t="s">
        <v>797</v>
      </c>
      <c r="J586" s="1">
        <v>150</v>
      </c>
      <c r="K586" s="1">
        <v>149</v>
      </c>
      <c r="L586" s="3">
        <v>6.7000000000000002E-3</v>
      </c>
      <c r="N586" t="s">
        <v>3763</v>
      </c>
      <c r="S586" s="4" t="e">
        <f t="shared" si="38"/>
        <v>#NUM!</v>
      </c>
      <c r="T586" s="4" t="str">
        <f t="shared" si="36"/>
        <v/>
      </c>
      <c r="U586" s="4" t="s">
        <v>3763</v>
      </c>
    </row>
    <row r="587" spans="1:21" x14ac:dyDescent="0.3">
      <c r="A587" t="s">
        <v>1031</v>
      </c>
      <c r="B587" s="1" t="s">
        <v>224</v>
      </c>
      <c r="C587" s="1" t="s">
        <v>50</v>
      </c>
      <c r="D587" s="1" t="s">
        <v>24</v>
      </c>
      <c r="E587" s="2">
        <v>42008</v>
      </c>
      <c r="F587" s="2" t="b">
        <f t="shared" si="39"/>
        <v>1</v>
      </c>
      <c r="G587" s="2">
        <f t="shared" si="37"/>
        <v>42008</v>
      </c>
      <c r="H587" s="1" t="s">
        <v>25</v>
      </c>
      <c r="I587" s="1" t="s">
        <v>509</v>
      </c>
      <c r="J587" s="1">
        <v>700</v>
      </c>
      <c r="K587" s="1">
        <v>574</v>
      </c>
      <c r="L587" s="3">
        <v>0.18</v>
      </c>
      <c r="N587" t="s">
        <v>3763</v>
      </c>
      <c r="S587" s="4" t="e">
        <f t="shared" si="38"/>
        <v>#NUM!</v>
      </c>
      <c r="T587" s="4" t="str">
        <f t="shared" si="36"/>
        <v/>
      </c>
      <c r="U587" s="4" t="s">
        <v>3763</v>
      </c>
    </row>
    <row r="588" spans="1:21" x14ac:dyDescent="0.3">
      <c r="A588" t="s">
        <v>1032</v>
      </c>
      <c r="B588" s="1" t="s">
        <v>146</v>
      </c>
      <c r="C588" s="1" t="s">
        <v>147</v>
      </c>
      <c r="D588" s="1" t="s">
        <v>13</v>
      </c>
      <c r="E588" s="2" t="s">
        <v>3272</v>
      </c>
      <c r="F588" s="2" t="b">
        <f t="shared" si="39"/>
        <v>0</v>
      </c>
      <c r="G588" s="2">
        <f t="shared" si="37"/>
        <v>41751</v>
      </c>
      <c r="H588" s="1" t="s">
        <v>25</v>
      </c>
      <c r="I588" s="1" t="s">
        <v>1033</v>
      </c>
      <c r="J588" s="1">
        <v>700</v>
      </c>
      <c r="K588" s="1">
        <v>581</v>
      </c>
      <c r="L588" s="3">
        <v>0.17</v>
      </c>
      <c r="N588" t="s">
        <v>3272</v>
      </c>
      <c r="P588">
        <v>4</v>
      </c>
      <c r="Q588">
        <v>22</v>
      </c>
      <c r="R588">
        <v>2014</v>
      </c>
      <c r="S588" s="4">
        <f t="shared" si="38"/>
        <v>41751</v>
      </c>
      <c r="T588" s="4">
        <f t="shared" si="36"/>
        <v>41751</v>
      </c>
      <c r="U588" s="4">
        <v>41751</v>
      </c>
    </row>
    <row r="589" spans="1:21" x14ac:dyDescent="0.3">
      <c r="A589" t="s">
        <v>1034</v>
      </c>
      <c r="B589" s="1" t="s">
        <v>44</v>
      </c>
      <c r="C589" s="1" t="s">
        <v>45</v>
      </c>
      <c r="D589" s="1" t="s">
        <v>24</v>
      </c>
      <c r="E589" s="2">
        <v>41707</v>
      </c>
      <c r="F589" s="2" t="b">
        <f t="shared" si="39"/>
        <v>1</v>
      </c>
      <c r="G589" s="2">
        <f t="shared" si="37"/>
        <v>41707</v>
      </c>
      <c r="H589" s="1" t="s">
        <v>36</v>
      </c>
      <c r="I589" s="1" t="s">
        <v>1035</v>
      </c>
      <c r="J589" s="1">
        <v>50</v>
      </c>
      <c r="K589" s="1">
        <v>46</v>
      </c>
      <c r="L589" s="3">
        <v>0.08</v>
      </c>
      <c r="N589" t="s">
        <v>3763</v>
      </c>
      <c r="S589" s="4" t="e">
        <f t="shared" si="38"/>
        <v>#NUM!</v>
      </c>
      <c r="T589" s="4" t="str">
        <f t="shared" si="36"/>
        <v/>
      </c>
      <c r="U589" s="4" t="s">
        <v>3763</v>
      </c>
    </row>
    <row r="590" spans="1:21" x14ac:dyDescent="0.3">
      <c r="A590" t="s">
        <v>1036</v>
      </c>
      <c r="B590" s="1" t="s">
        <v>170</v>
      </c>
      <c r="C590" s="1" t="s">
        <v>171</v>
      </c>
      <c r="D590" s="1" t="s">
        <v>13</v>
      </c>
      <c r="E590" s="2" t="s">
        <v>3196</v>
      </c>
      <c r="F590" s="2" t="b">
        <f t="shared" si="39"/>
        <v>0</v>
      </c>
      <c r="G590" s="2">
        <f t="shared" si="37"/>
        <v>41790</v>
      </c>
      <c r="H590" s="1" t="s">
        <v>61</v>
      </c>
      <c r="I590" s="1" t="s">
        <v>941</v>
      </c>
      <c r="J590" s="1">
        <v>1000</v>
      </c>
      <c r="K590" s="1">
        <v>610</v>
      </c>
      <c r="L590" s="3">
        <v>0.39</v>
      </c>
      <c r="N590" t="s">
        <v>3196</v>
      </c>
      <c r="P590">
        <v>5</v>
      </c>
      <c r="Q590">
        <v>31</v>
      </c>
      <c r="R590">
        <v>2014</v>
      </c>
      <c r="S590" s="4">
        <f t="shared" si="38"/>
        <v>41790</v>
      </c>
      <c r="T590" s="4">
        <f t="shared" si="36"/>
        <v>41790</v>
      </c>
      <c r="U590" s="4">
        <v>41790</v>
      </c>
    </row>
    <row r="591" spans="1:21" x14ac:dyDescent="0.3">
      <c r="A591" t="s">
        <v>1037</v>
      </c>
      <c r="B591" s="1" t="s">
        <v>224</v>
      </c>
      <c r="C591" s="1" t="s">
        <v>50</v>
      </c>
      <c r="D591" s="1" t="s">
        <v>24</v>
      </c>
      <c r="E591" s="2" t="s">
        <v>3273</v>
      </c>
      <c r="F591" s="2" t="b">
        <f t="shared" si="39"/>
        <v>0</v>
      </c>
      <c r="G591" s="2">
        <f t="shared" si="37"/>
        <v>42869</v>
      </c>
      <c r="H591" s="1" t="s">
        <v>30</v>
      </c>
      <c r="I591" s="1" t="s">
        <v>1038</v>
      </c>
      <c r="J591" s="1">
        <v>150</v>
      </c>
      <c r="K591" s="1">
        <v>147</v>
      </c>
      <c r="L591" s="3">
        <v>0.02</v>
      </c>
      <c r="N591" t="s">
        <v>3273</v>
      </c>
      <c r="P591">
        <v>5</v>
      </c>
      <c r="Q591">
        <v>14</v>
      </c>
      <c r="R591">
        <v>2017</v>
      </c>
      <c r="S591" s="4">
        <f t="shared" si="38"/>
        <v>42869</v>
      </c>
      <c r="T591" s="4">
        <f t="shared" si="36"/>
        <v>42869</v>
      </c>
      <c r="U591" s="4">
        <v>42869</v>
      </c>
    </row>
    <row r="592" spans="1:21" x14ac:dyDescent="0.3">
      <c r="A592" t="s">
        <v>1039</v>
      </c>
      <c r="B592" s="1" t="s">
        <v>205</v>
      </c>
      <c r="C592" s="1" t="s">
        <v>206</v>
      </c>
      <c r="D592" s="1" t="s">
        <v>24</v>
      </c>
      <c r="E592" s="2">
        <v>42408</v>
      </c>
      <c r="F592" s="2" t="b">
        <f t="shared" si="39"/>
        <v>1</v>
      </c>
      <c r="G592" s="2">
        <f t="shared" si="37"/>
        <v>42408</v>
      </c>
      <c r="H592" s="1" t="s">
        <v>25</v>
      </c>
      <c r="I592" s="1" t="s">
        <v>681</v>
      </c>
      <c r="J592" s="1">
        <v>700</v>
      </c>
      <c r="K592" s="1">
        <v>602</v>
      </c>
      <c r="L592" s="3">
        <v>0.14000000000000001</v>
      </c>
      <c r="N592" t="s">
        <v>3763</v>
      </c>
      <c r="S592" s="4" t="e">
        <f t="shared" si="38"/>
        <v>#NUM!</v>
      </c>
      <c r="T592" s="4" t="str">
        <f t="shared" si="36"/>
        <v/>
      </c>
      <c r="U592" s="4" t="s">
        <v>3763</v>
      </c>
    </row>
    <row r="593" spans="1:21" x14ac:dyDescent="0.3">
      <c r="A593" t="s">
        <v>1040</v>
      </c>
      <c r="B593" s="1" t="s">
        <v>289</v>
      </c>
      <c r="C593" s="1" t="s">
        <v>108</v>
      </c>
      <c r="D593" s="1" t="s">
        <v>19</v>
      </c>
      <c r="E593" s="2" t="s">
        <v>3274</v>
      </c>
      <c r="F593" s="2" t="b">
        <f t="shared" si="39"/>
        <v>0</v>
      </c>
      <c r="G593" s="2">
        <f t="shared" si="37"/>
        <v>42321</v>
      </c>
      <c r="H593" s="1" t="s">
        <v>46</v>
      </c>
      <c r="I593" s="1" t="s">
        <v>1041</v>
      </c>
      <c r="J593" s="1">
        <v>500</v>
      </c>
      <c r="K593" s="1">
        <v>495</v>
      </c>
      <c r="L593" s="3">
        <v>0.01</v>
      </c>
      <c r="N593" t="s">
        <v>3274</v>
      </c>
      <c r="P593">
        <v>11</v>
      </c>
      <c r="Q593">
        <v>13</v>
      </c>
      <c r="R593">
        <v>2015</v>
      </c>
      <c r="S593" s="4">
        <f t="shared" si="38"/>
        <v>42321</v>
      </c>
      <c r="T593" s="4">
        <f t="shared" si="36"/>
        <v>42321</v>
      </c>
      <c r="U593" s="4">
        <v>42321</v>
      </c>
    </row>
    <row r="594" spans="1:21" x14ac:dyDescent="0.3">
      <c r="A594" t="s">
        <v>1042</v>
      </c>
      <c r="B594" s="1" t="s">
        <v>182</v>
      </c>
      <c r="C594" s="1" t="s">
        <v>108</v>
      </c>
      <c r="D594" s="1" t="s">
        <v>19</v>
      </c>
      <c r="E594" s="2" t="s">
        <v>3275</v>
      </c>
      <c r="F594" s="2" t="b">
        <f t="shared" si="39"/>
        <v>0</v>
      </c>
      <c r="G594" s="2">
        <f t="shared" si="37"/>
        <v>42844</v>
      </c>
      <c r="H594" s="1" t="s">
        <v>25</v>
      </c>
      <c r="I594" s="1" t="s">
        <v>1043</v>
      </c>
      <c r="J594" s="1">
        <v>700</v>
      </c>
      <c r="K594" s="1">
        <v>665</v>
      </c>
      <c r="L594" s="3">
        <v>0.05</v>
      </c>
      <c r="N594" t="s">
        <v>3275</v>
      </c>
      <c r="P594">
        <v>4</v>
      </c>
      <c r="Q594">
        <v>19</v>
      </c>
      <c r="R594">
        <v>2017</v>
      </c>
      <c r="S594" s="4">
        <f t="shared" si="38"/>
        <v>42844</v>
      </c>
      <c r="T594" s="4">
        <f t="shared" si="36"/>
        <v>42844</v>
      </c>
      <c r="U594" s="4">
        <v>42844</v>
      </c>
    </row>
    <row r="595" spans="1:21" x14ac:dyDescent="0.3">
      <c r="A595" t="s">
        <v>1044</v>
      </c>
      <c r="B595" s="1" t="s">
        <v>174</v>
      </c>
      <c r="C595" s="1" t="s">
        <v>175</v>
      </c>
      <c r="D595" s="1" t="s">
        <v>13</v>
      </c>
      <c r="E595" s="2" t="s">
        <v>3276</v>
      </c>
      <c r="F595" s="2" t="b">
        <f t="shared" si="39"/>
        <v>0</v>
      </c>
      <c r="G595" s="2">
        <f t="shared" si="37"/>
        <v>42961</v>
      </c>
      <c r="H595" s="1" t="s">
        <v>46</v>
      </c>
      <c r="I595" s="1" t="s">
        <v>219</v>
      </c>
      <c r="J595" s="1">
        <v>500</v>
      </c>
      <c r="K595" s="1">
        <v>485</v>
      </c>
      <c r="L595" s="3">
        <v>0.03</v>
      </c>
      <c r="N595" t="s">
        <v>3276</v>
      </c>
      <c r="P595">
        <v>8</v>
      </c>
      <c r="Q595">
        <v>14</v>
      </c>
      <c r="R595">
        <v>2017</v>
      </c>
      <c r="S595" s="4">
        <f t="shared" si="38"/>
        <v>42961</v>
      </c>
      <c r="T595" s="4">
        <f t="shared" si="36"/>
        <v>42961</v>
      </c>
      <c r="U595" s="4">
        <v>42961</v>
      </c>
    </row>
    <row r="596" spans="1:21" x14ac:dyDescent="0.3">
      <c r="A596" t="s">
        <v>1045</v>
      </c>
      <c r="B596" s="1" t="s">
        <v>11</v>
      </c>
      <c r="C596" s="1" t="s">
        <v>12</v>
      </c>
      <c r="D596" s="1" t="s">
        <v>13</v>
      </c>
      <c r="E596" s="2">
        <v>43438</v>
      </c>
      <c r="F596" s="2" t="b">
        <f t="shared" si="39"/>
        <v>1</v>
      </c>
      <c r="G596" s="2">
        <f t="shared" si="37"/>
        <v>43438</v>
      </c>
      <c r="H596" s="1" t="s">
        <v>14</v>
      </c>
      <c r="I596" s="1" t="s">
        <v>348</v>
      </c>
      <c r="J596" s="1">
        <v>80</v>
      </c>
      <c r="K596" s="1">
        <v>79</v>
      </c>
      <c r="L596" s="3">
        <v>1.2500000000000001E-2</v>
      </c>
      <c r="N596" t="s">
        <v>3763</v>
      </c>
      <c r="S596" s="4" t="e">
        <f t="shared" si="38"/>
        <v>#NUM!</v>
      </c>
      <c r="T596" s="4" t="str">
        <f t="shared" si="36"/>
        <v/>
      </c>
      <c r="U596" s="4" t="s">
        <v>3763</v>
      </c>
    </row>
    <row r="597" spans="1:21" x14ac:dyDescent="0.3">
      <c r="A597" t="s">
        <v>1046</v>
      </c>
      <c r="B597" s="1" t="s">
        <v>81</v>
      </c>
      <c r="C597" s="1" t="s">
        <v>82</v>
      </c>
      <c r="D597" s="1" t="s">
        <v>13</v>
      </c>
      <c r="E597" s="2" t="s">
        <v>3277</v>
      </c>
      <c r="F597" s="2" t="b">
        <f t="shared" si="39"/>
        <v>0</v>
      </c>
      <c r="G597" s="2">
        <f t="shared" si="37"/>
        <v>43426</v>
      </c>
      <c r="H597" s="1" t="s">
        <v>61</v>
      </c>
      <c r="I597" s="1" t="s">
        <v>1047</v>
      </c>
      <c r="J597" s="1">
        <v>1000</v>
      </c>
      <c r="K597" s="1">
        <v>540</v>
      </c>
      <c r="L597" s="3">
        <v>0.46</v>
      </c>
      <c r="N597" t="s">
        <v>3277</v>
      </c>
      <c r="P597">
        <v>11</v>
      </c>
      <c r="Q597">
        <v>22</v>
      </c>
      <c r="R597">
        <v>2018</v>
      </c>
      <c r="S597" s="4">
        <f t="shared" si="38"/>
        <v>43426</v>
      </c>
      <c r="T597" s="4">
        <f t="shared" si="36"/>
        <v>43426</v>
      </c>
      <c r="U597" s="4">
        <v>43426</v>
      </c>
    </row>
    <row r="598" spans="1:21" x14ac:dyDescent="0.3">
      <c r="A598" t="s">
        <v>1048</v>
      </c>
      <c r="B598" s="1" t="s">
        <v>81</v>
      </c>
      <c r="C598" s="1" t="s">
        <v>82</v>
      </c>
      <c r="D598" s="1" t="s">
        <v>13</v>
      </c>
      <c r="E598" s="2">
        <v>42289</v>
      </c>
      <c r="F598" s="2" t="b">
        <f t="shared" si="39"/>
        <v>1</v>
      </c>
      <c r="G598" s="2">
        <f t="shared" si="37"/>
        <v>42289</v>
      </c>
      <c r="H598" s="1" t="s">
        <v>14</v>
      </c>
      <c r="I598" s="1" t="s">
        <v>861</v>
      </c>
      <c r="J598" s="1">
        <v>80</v>
      </c>
      <c r="K598" s="1">
        <v>70</v>
      </c>
      <c r="L598" s="3">
        <v>0.125</v>
      </c>
      <c r="N598" t="s">
        <v>3763</v>
      </c>
      <c r="S598" s="4" t="e">
        <f t="shared" si="38"/>
        <v>#NUM!</v>
      </c>
      <c r="T598" s="4" t="str">
        <f t="shared" si="36"/>
        <v/>
      </c>
      <c r="U598" s="4" t="s">
        <v>3763</v>
      </c>
    </row>
    <row r="599" spans="1:21" x14ac:dyDescent="0.3">
      <c r="A599" t="s">
        <v>1049</v>
      </c>
      <c r="B599" s="1" t="s">
        <v>118</v>
      </c>
      <c r="C599" s="1" t="s">
        <v>119</v>
      </c>
      <c r="D599" s="1" t="s">
        <v>35</v>
      </c>
      <c r="E599" s="2">
        <v>43141</v>
      </c>
      <c r="F599" s="2" t="b">
        <f t="shared" si="39"/>
        <v>1</v>
      </c>
      <c r="G599" s="2">
        <f t="shared" si="37"/>
        <v>43141</v>
      </c>
      <c r="H599" s="1" t="s">
        <v>122</v>
      </c>
      <c r="I599" s="1" t="s">
        <v>847</v>
      </c>
      <c r="J599" s="1">
        <v>50</v>
      </c>
      <c r="K599" s="1">
        <v>49</v>
      </c>
      <c r="L599" s="3">
        <v>0.02</v>
      </c>
      <c r="N599" t="s">
        <v>3763</v>
      </c>
      <c r="S599" s="4" t="e">
        <f t="shared" si="38"/>
        <v>#NUM!</v>
      </c>
      <c r="T599" s="4" t="str">
        <f t="shared" si="36"/>
        <v/>
      </c>
      <c r="U599" s="4" t="s">
        <v>3763</v>
      </c>
    </row>
    <row r="600" spans="1:21" x14ac:dyDescent="0.3">
      <c r="A600" t="s">
        <v>1050</v>
      </c>
      <c r="B600" s="1" t="s">
        <v>241</v>
      </c>
      <c r="C600" s="1" t="s">
        <v>242</v>
      </c>
      <c r="D600" s="1" t="s">
        <v>13</v>
      </c>
      <c r="E600" s="2">
        <v>42015</v>
      </c>
      <c r="F600" s="2" t="b">
        <f t="shared" si="39"/>
        <v>1</v>
      </c>
      <c r="G600" s="2">
        <f t="shared" si="37"/>
        <v>42015</v>
      </c>
      <c r="H600" s="1" t="s">
        <v>14</v>
      </c>
      <c r="I600" s="1" t="s">
        <v>350</v>
      </c>
      <c r="J600" s="1">
        <v>80</v>
      </c>
      <c r="K600" s="1">
        <v>62</v>
      </c>
      <c r="L600" s="3">
        <v>0.22500000000000001</v>
      </c>
      <c r="N600" t="s">
        <v>3763</v>
      </c>
      <c r="S600" s="4" t="e">
        <f t="shared" si="38"/>
        <v>#NUM!</v>
      </c>
      <c r="T600" s="4" t="str">
        <f t="shared" si="36"/>
        <v/>
      </c>
      <c r="U600" s="4" t="s">
        <v>3763</v>
      </c>
    </row>
    <row r="601" spans="1:21" x14ac:dyDescent="0.3">
      <c r="A601" t="s">
        <v>1051</v>
      </c>
      <c r="B601" s="1" t="s">
        <v>39</v>
      </c>
      <c r="C601" s="1" t="s">
        <v>40</v>
      </c>
      <c r="D601" s="1" t="s">
        <v>35</v>
      </c>
      <c r="E601" s="2" t="s">
        <v>3278</v>
      </c>
      <c r="F601" s="2" t="b">
        <f t="shared" si="39"/>
        <v>0</v>
      </c>
      <c r="G601" s="2">
        <f t="shared" si="37"/>
        <v>42748</v>
      </c>
      <c r="H601" s="1" t="s">
        <v>30</v>
      </c>
      <c r="I601" s="1" t="s">
        <v>844</v>
      </c>
      <c r="J601" s="1">
        <v>150</v>
      </c>
      <c r="K601" s="1">
        <v>143</v>
      </c>
      <c r="L601" s="3">
        <v>4.6699999999999998E-2</v>
      </c>
      <c r="N601" t="s">
        <v>3278</v>
      </c>
      <c r="P601">
        <v>1</v>
      </c>
      <c r="Q601">
        <v>13</v>
      </c>
      <c r="R601">
        <v>2017</v>
      </c>
      <c r="S601" s="4">
        <f t="shared" si="38"/>
        <v>42748</v>
      </c>
      <c r="T601" s="4">
        <f t="shared" si="36"/>
        <v>42748</v>
      </c>
      <c r="U601" s="4">
        <v>42748</v>
      </c>
    </row>
    <row r="602" spans="1:21" x14ac:dyDescent="0.3">
      <c r="A602" t="s">
        <v>1052</v>
      </c>
      <c r="B602" s="1" t="s">
        <v>264</v>
      </c>
      <c r="C602" s="1" t="s">
        <v>265</v>
      </c>
      <c r="D602" s="1" t="s">
        <v>13</v>
      </c>
      <c r="E602" s="2" t="s">
        <v>3279</v>
      </c>
      <c r="F602" s="2" t="b">
        <f t="shared" si="39"/>
        <v>0</v>
      </c>
      <c r="G602" s="2">
        <f t="shared" si="37"/>
        <v>43208</v>
      </c>
      <c r="H602" s="1" t="s">
        <v>41</v>
      </c>
      <c r="I602" s="1" t="s">
        <v>266</v>
      </c>
      <c r="J602" s="1">
        <v>30</v>
      </c>
      <c r="K602" s="1">
        <v>26</v>
      </c>
      <c r="L602" s="3">
        <v>0.1333</v>
      </c>
      <c r="N602" t="s">
        <v>3279</v>
      </c>
      <c r="P602">
        <v>4</v>
      </c>
      <c r="Q602">
        <v>18</v>
      </c>
      <c r="R602">
        <v>2018</v>
      </c>
      <c r="S602" s="4">
        <f t="shared" si="38"/>
        <v>43208</v>
      </c>
      <c r="T602" s="4">
        <f t="shared" si="36"/>
        <v>43208</v>
      </c>
      <c r="U602" s="4">
        <v>43208</v>
      </c>
    </row>
    <row r="603" spans="1:21" x14ac:dyDescent="0.3">
      <c r="A603" t="s">
        <v>1053</v>
      </c>
      <c r="B603" s="1" t="s">
        <v>434</v>
      </c>
      <c r="C603" s="1" t="s">
        <v>435</v>
      </c>
      <c r="D603" s="1" t="s">
        <v>24</v>
      </c>
      <c r="E603" s="2" t="s">
        <v>3215</v>
      </c>
      <c r="F603" s="2" t="b">
        <f t="shared" si="39"/>
        <v>0</v>
      </c>
      <c r="G603" s="2">
        <f t="shared" si="37"/>
        <v>42939</v>
      </c>
      <c r="H603" s="1" t="s">
        <v>115</v>
      </c>
      <c r="I603" s="1" t="s">
        <v>828</v>
      </c>
      <c r="J603" s="1">
        <v>250</v>
      </c>
      <c r="K603" s="1">
        <v>248</v>
      </c>
      <c r="L603" s="3">
        <v>8.0000000000000002E-3</v>
      </c>
      <c r="N603" t="s">
        <v>3215</v>
      </c>
      <c r="P603">
        <v>7</v>
      </c>
      <c r="Q603">
        <v>23</v>
      </c>
      <c r="R603">
        <v>2017</v>
      </c>
      <c r="S603" s="4">
        <f t="shared" si="38"/>
        <v>42939</v>
      </c>
      <c r="T603" s="4">
        <f t="shared" si="36"/>
        <v>42939</v>
      </c>
      <c r="U603" s="4">
        <v>42939</v>
      </c>
    </row>
    <row r="604" spans="1:21" x14ac:dyDescent="0.3">
      <c r="A604" t="s">
        <v>1054</v>
      </c>
      <c r="B604" s="1" t="s">
        <v>174</v>
      </c>
      <c r="C604" s="1" t="s">
        <v>175</v>
      </c>
      <c r="D604" s="1" t="s">
        <v>13</v>
      </c>
      <c r="E604" s="2" t="s">
        <v>2982</v>
      </c>
      <c r="F604" s="2" t="b">
        <f t="shared" si="39"/>
        <v>0</v>
      </c>
      <c r="G604" s="2">
        <f t="shared" si="37"/>
        <v>43327</v>
      </c>
      <c r="H604" s="1" t="s">
        <v>36</v>
      </c>
      <c r="I604" s="1" t="s">
        <v>176</v>
      </c>
      <c r="J604" s="1">
        <v>50</v>
      </c>
      <c r="K604" s="1">
        <v>44</v>
      </c>
      <c r="L604" s="3">
        <v>0.12</v>
      </c>
      <c r="N604" t="s">
        <v>2982</v>
      </c>
      <c r="P604">
        <v>8</v>
      </c>
      <c r="Q604">
        <v>15</v>
      </c>
      <c r="R604">
        <v>2018</v>
      </c>
      <c r="S604" s="4">
        <f t="shared" si="38"/>
        <v>43327</v>
      </c>
      <c r="T604" s="4">
        <f t="shared" si="36"/>
        <v>43327</v>
      </c>
      <c r="U604" s="4">
        <v>43327</v>
      </c>
    </row>
    <row r="605" spans="1:21" x14ac:dyDescent="0.3">
      <c r="A605" t="s">
        <v>1055</v>
      </c>
      <c r="B605" s="1" t="s">
        <v>85</v>
      </c>
      <c r="C605" s="1" t="s">
        <v>86</v>
      </c>
      <c r="D605" s="1" t="s">
        <v>13</v>
      </c>
      <c r="E605" s="2" t="s">
        <v>3280</v>
      </c>
      <c r="F605" s="2" t="b">
        <f t="shared" si="39"/>
        <v>0</v>
      </c>
      <c r="G605" s="2">
        <f t="shared" si="37"/>
        <v>42238</v>
      </c>
      <c r="H605" s="1" t="s">
        <v>115</v>
      </c>
      <c r="I605" s="1" t="s">
        <v>628</v>
      </c>
      <c r="J605" s="1">
        <v>250</v>
      </c>
      <c r="K605" s="1">
        <v>173</v>
      </c>
      <c r="L605" s="3">
        <v>0.308</v>
      </c>
      <c r="N605" t="s">
        <v>3280</v>
      </c>
      <c r="P605">
        <v>8</v>
      </c>
      <c r="Q605">
        <v>22</v>
      </c>
      <c r="R605">
        <v>2015</v>
      </c>
      <c r="S605" s="4">
        <f t="shared" si="38"/>
        <v>42238</v>
      </c>
      <c r="T605" s="4">
        <f t="shared" si="36"/>
        <v>42238</v>
      </c>
      <c r="U605" s="4">
        <v>42238</v>
      </c>
    </row>
    <row r="606" spans="1:21" x14ac:dyDescent="0.3">
      <c r="A606" t="s">
        <v>1056</v>
      </c>
      <c r="B606" s="1" t="s">
        <v>64</v>
      </c>
      <c r="C606" s="1" t="s">
        <v>65</v>
      </c>
      <c r="D606" s="1" t="s">
        <v>35</v>
      </c>
      <c r="E606" s="2" t="s">
        <v>3281</v>
      </c>
      <c r="F606" s="2" t="b">
        <f t="shared" si="39"/>
        <v>0</v>
      </c>
      <c r="G606" s="2">
        <f t="shared" si="37"/>
        <v>42490</v>
      </c>
      <c r="H606" s="1" t="s">
        <v>61</v>
      </c>
      <c r="I606" s="1" t="s">
        <v>1057</v>
      </c>
      <c r="J606" s="1">
        <v>1000</v>
      </c>
      <c r="K606" s="1">
        <v>850</v>
      </c>
      <c r="L606" s="3">
        <v>0.15</v>
      </c>
      <c r="N606" t="s">
        <v>3281</v>
      </c>
      <c r="P606">
        <v>4</v>
      </c>
      <c r="Q606">
        <v>30</v>
      </c>
      <c r="R606">
        <v>2016</v>
      </c>
      <c r="S606" s="4">
        <f t="shared" si="38"/>
        <v>42490</v>
      </c>
      <c r="T606" s="4">
        <f t="shared" si="36"/>
        <v>42490</v>
      </c>
      <c r="U606" s="4">
        <v>42490</v>
      </c>
    </row>
    <row r="607" spans="1:21" x14ac:dyDescent="0.3">
      <c r="A607" t="s">
        <v>1058</v>
      </c>
      <c r="B607" s="1" t="s">
        <v>221</v>
      </c>
      <c r="C607" s="1" t="s">
        <v>40</v>
      </c>
      <c r="D607" s="1" t="s">
        <v>35</v>
      </c>
      <c r="E607" s="2" t="s">
        <v>3282</v>
      </c>
      <c r="F607" s="2" t="b">
        <f t="shared" si="39"/>
        <v>0</v>
      </c>
      <c r="G607" s="2">
        <f t="shared" si="37"/>
        <v>41774</v>
      </c>
      <c r="H607" s="1" t="s">
        <v>36</v>
      </c>
      <c r="I607" s="1" t="s">
        <v>1059</v>
      </c>
      <c r="J607" s="1">
        <v>50</v>
      </c>
      <c r="K607" s="1">
        <v>40</v>
      </c>
      <c r="L607" s="3">
        <v>0.2</v>
      </c>
      <c r="N607" t="s">
        <v>3282</v>
      </c>
      <c r="P607">
        <v>5</v>
      </c>
      <c r="Q607">
        <v>15</v>
      </c>
      <c r="R607">
        <v>2014</v>
      </c>
      <c r="S607" s="4">
        <f t="shared" si="38"/>
        <v>41774</v>
      </c>
      <c r="T607" s="4">
        <f t="shared" si="36"/>
        <v>41774</v>
      </c>
      <c r="U607" s="4">
        <v>41774</v>
      </c>
    </row>
    <row r="608" spans="1:21" x14ac:dyDescent="0.3">
      <c r="A608" t="s">
        <v>1060</v>
      </c>
      <c r="B608" s="1" t="s">
        <v>400</v>
      </c>
      <c r="C608" s="1" t="s">
        <v>401</v>
      </c>
      <c r="D608" s="1" t="s">
        <v>13</v>
      </c>
      <c r="E608" s="2" t="s">
        <v>3283</v>
      </c>
      <c r="F608" s="2" t="b">
        <f t="shared" si="39"/>
        <v>0</v>
      </c>
      <c r="G608" s="2">
        <f t="shared" si="37"/>
        <v>42384</v>
      </c>
      <c r="H608" s="1" t="s">
        <v>115</v>
      </c>
      <c r="I608" s="1" t="s">
        <v>693</v>
      </c>
      <c r="J608" s="1">
        <v>250</v>
      </c>
      <c r="K608" s="1">
        <v>218</v>
      </c>
      <c r="L608" s="3">
        <v>0.128</v>
      </c>
      <c r="N608" t="s">
        <v>3283</v>
      </c>
      <c r="P608">
        <v>1</v>
      </c>
      <c r="Q608">
        <v>15</v>
      </c>
      <c r="R608">
        <v>2016</v>
      </c>
      <c r="S608" s="4">
        <f t="shared" si="38"/>
        <v>42384</v>
      </c>
      <c r="T608" s="4">
        <f t="shared" si="36"/>
        <v>42384</v>
      </c>
      <c r="U608" s="4">
        <v>42384</v>
      </c>
    </row>
    <row r="609" spans="1:21" x14ac:dyDescent="0.3">
      <c r="A609" t="s">
        <v>1061</v>
      </c>
      <c r="B609" s="1" t="s">
        <v>134</v>
      </c>
      <c r="C609" s="1" t="s">
        <v>92</v>
      </c>
      <c r="D609" s="1" t="s">
        <v>35</v>
      </c>
      <c r="E609" s="2" t="s">
        <v>3284</v>
      </c>
      <c r="F609" s="2" t="b">
        <f t="shared" si="39"/>
        <v>0</v>
      </c>
      <c r="G609" s="2">
        <f t="shared" si="37"/>
        <v>42597</v>
      </c>
      <c r="H609" s="1" t="s">
        <v>14</v>
      </c>
      <c r="I609" s="1" t="s">
        <v>1062</v>
      </c>
      <c r="J609" s="1">
        <v>80</v>
      </c>
      <c r="K609" s="1">
        <v>79</v>
      </c>
      <c r="L609" s="3">
        <v>1.2500000000000001E-2</v>
      </c>
      <c r="N609" t="s">
        <v>3284</v>
      </c>
      <c r="P609">
        <v>8</v>
      </c>
      <c r="Q609">
        <v>15</v>
      </c>
      <c r="R609">
        <v>2016</v>
      </c>
      <c r="S609" s="4">
        <f t="shared" si="38"/>
        <v>42597</v>
      </c>
      <c r="T609" s="4">
        <f t="shared" si="36"/>
        <v>42597</v>
      </c>
      <c r="U609" s="4">
        <v>42597</v>
      </c>
    </row>
    <row r="610" spans="1:21" x14ac:dyDescent="0.3">
      <c r="A610" t="s">
        <v>1063</v>
      </c>
      <c r="B610" s="1" t="s">
        <v>157</v>
      </c>
      <c r="C610" s="1" t="s">
        <v>108</v>
      </c>
      <c r="D610" s="1" t="s">
        <v>19</v>
      </c>
      <c r="E610" s="2" t="s">
        <v>3285</v>
      </c>
      <c r="F610" s="2" t="b">
        <f t="shared" si="39"/>
        <v>0</v>
      </c>
      <c r="G610" s="2">
        <f t="shared" si="37"/>
        <v>41755</v>
      </c>
      <c r="H610" s="1" t="s">
        <v>122</v>
      </c>
      <c r="I610" s="1" t="s">
        <v>571</v>
      </c>
      <c r="J610" s="1">
        <v>50</v>
      </c>
      <c r="K610" s="1">
        <v>40</v>
      </c>
      <c r="L610" s="3">
        <v>0.2</v>
      </c>
      <c r="N610" t="s">
        <v>3285</v>
      </c>
      <c r="P610">
        <v>4</v>
      </c>
      <c r="Q610">
        <v>26</v>
      </c>
      <c r="R610">
        <v>2014</v>
      </c>
      <c r="S610" s="4">
        <f t="shared" si="38"/>
        <v>41755</v>
      </c>
      <c r="T610" s="4">
        <f t="shared" si="36"/>
        <v>41755</v>
      </c>
      <c r="U610" s="4">
        <v>41755</v>
      </c>
    </row>
    <row r="611" spans="1:21" x14ac:dyDescent="0.3">
      <c r="A611" t="s">
        <v>1064</v>
      </c>
      <c r="B611" s="1" t="s">
        <v>91</v>
      </c>
      <c r="C611" s="1" t="s">
        <v>92</v>
      </c>
      <c r="D611" s="1" t="s">
        <v>35</v>
      </c>
      <c r="E611" s="2">
        <v>43202</v>
      </c>
      <c r="F611" s="2" t="b">
        <f t="shared" si="39"/>
        <v>1</v>
      </c>
      <c r="G611" s="2">
        <f t="shared" si="37"/>
        <v>43202</v>
      </c>
      <c r="H611" s="1" t="s">
        <v>122</v>
      </c>
      <c r="I611" s="1" t="s">
        <v>199</v>
      </c>
      <c r="J611" s="1">
        <v>50</v>
      </c>
      <c r="K611" s="1">
        <v>44</v>
      </c>
      <c r="L611" s="3">
        <v>0.12</v>
      </c>
      <c r="N611" t="s">
        <v>3763</v>
      </c>
      <c r="S611" s="4" t="e">
        <f t="shared" si="38"/>
        <v>#NUM!</v>
      </c>
      <c r="T611" s="4" t="str">
        <f t="shared" si="36"/>
        <v/>
      </c>
      <c r="U611" s="4" t="s">
        <v>3763</v>
      </c>
    </row>
    <row r="612" spans="1:21" x14ac:dyDescent="0.3">
      <c r="A612" t="s">
        <v>1065</v>
      </c>
      <c r="B612" s="1" t="s">
        <v>114</v>
      </c>
      <c r="C612" s="1" t="s">
        <v>54</v>
      </c>
      <c r="D612" s="1" t="s">
        <v>13</v>
      </c>
      <c r="E612" s="2" t="s">
        <v>3286</v>
      </c>
      <c r="F612" s="2" t="b">
        <f t="shared" si="39"/>
        <v>0</v>
      </c>
      <c r="G612" s="2">
        <f t="shared" si="37"/>
        <v>41932</v>
      </c>
      <c r="H612" s="1" t="s">
        <v>25</v>
      </c>
      <c r="I612" s="1" t="s">
        <v>235</v>
      </c>
      <c r="J612" s="1">
        <v>700</v>
      </c>
      <c r="K612" s="1">
        <v>553</v>
      </c>
      <c r="L612" s="3">
        <v>0.21</v>
      </c>
      <c r="N612" t="s">
        <v>3286</v>
      </c>
      <c r="P612">
        <v>10</v>
      </c>
      <c r="Q612">
        <v>20</v>
      </c>
      <c r="R612">
        <v>2014</v>
      </c>
      <c r="S612" s="4">
        <f t="shared" si="38"/>
        <v>41932</v>
      </c>
      <c r="T612" s="4">
        <f t="shared" si="36"/>
        <v>41932</v>
      </c>
      <c r="U612" s="4">
        <v>41932</v>
      </c>
    </row>
    <row r="613" spans="1:21" x14ac:dyDescent="0.3">
      <c r="A613" t="s">
        <v>1066</v>
      </c>
      <c r="B613" s="1" t="s">
        <v>59</v>
      </c>
      <c r="C613" s="1" t="s">
        <v>60</v>
      </c>
      <c r="D613" s="1" t="s">
        <v>13</v>
      </c>
      <c r="E613" s="2">
        <v>42923</v>
      </c>
      <c r="F613" s="2" t="b">
        <f t="shared" si="39"/>
        <v>1</v>
      </c>
      <c r="G613" s="2">
        <f t="shared" si="37"/>
        <v>42923</v>
      </c>
      <c r="H613" s="1" t="s">
        <v>104</v>
      </c>
      <c r="I613" s="1" t="s">
        <v>781</v>
      </c>
      <c r="J613" s="1">
        <v>70</v>
      </c>
      <c r="K613" s="1">
        <v>66</v>
      </c>
      <c r="L613" s="3">
        <v>5.7099999999999998E-2</v>
      </c>
      <c r="N613" t="s">
        <v>3763</v>
      </c>
      <c r="S613" s="4" t="e">
        <f t="shared" si="38"/>
        <v>#NUM!</v>
      </c>
      <c r="T613" s="4" t="str">
        <f t="shared" si="36"/>
        <v/>
      </c>
      <c r="U613" s="4" t="s">
        <v>3763</v>
      </c>
    </row>
    <row r="614" spans="1:21" x14ac:dyDescent="0.3">
      <c r="A614" t="s">
        <v>1067</v>
      </c>
      <c r="B614" s="1" t="s">
        <v>114</v>
      </c>
      <c r="C614" s="1" t="s">
        <v>54</v>
      </c>
      <c r="D614" s="1" t="s">
        <v>13</v>
      </c>
      <c r="E614" s="2">
        <v>42926</v>
      </c>
      <c r="F614" s="2" t="b">
        <f t="shared" si="39"/>
        <v>1</v>
      </c>
      <c r="G614" s="2">
        <f t="shared" si="37"/>
        <v>42926</v>
      </c>
      <c r="H614" s="1" t="s">
        <v>61</v>
      </c>
      <c r="I614" s="1" t="s">
        <v>1068</v>
      </c>
      <c r="J614" s="1">
        <v>1000</v>
      </c>
      <c r="K614" s="1">
        <v>920</v>
      </c>
      <c r="L614" s="3">
        <v>0.08</v>
      </c>
      <c r="N614" t="s">
        <v>3763</v>
      </c>
      <c r="S614" s="4" t="e">
        <f t="shared" si="38"/>
        <v>#NUM!</v>
      </c>
      <c r="T614" s="4" t="str">
        <f t="shared" si="36"/>
        <v/>
      </c>
      <c r="U614" s="4" t="s">
        <v>3763</v>
      </c>
    </row>
    <row r="615" spans="1:21" x14ac:dyDescent="0.3">
      <c r="A615" t="s">
        <v>1069</v>
      </c>
      <c r="B615" s="1" t="s">
        <v>44</v>
      </c>
      <c r="C615" s="1" t="s">
        <v>45</v>
      </c>
      <c r="D615" s="1" t="s">
        <v>24</v>
      </c>
      <c r="E615" s="2">
        <v>43229</v>
      </c>
      <c r="F615" s="2" t="b">
        <f t="shared" si="39"/>
        <v>1</v>
      </c>
      <c r="G615" s="2">
        <f t="shared" si="37"/>
        <v>43229</v>
      </c>
      <c r="H615" s="1" t="s">
        <v>36</v>
      </c>
      <c r="I615" s="1" t="s">
        <v>1070</v>
      </c>
      <c r="J615" s="1">
        <v>50</v>
      </c>
      <c r="K615" s="1">
        <v>50</v>
      </c>
      <c r="L615" s="3">
        <v>0</v>
      </c>
      <c r="N615" t="s">
        <v>3763</v>
      </c>
      <c r="S615" s="4" t="e">
        <f t="shared" si="38"/>
        <v>#NUM!</v>
      </c>
      <c r="T615" s="4" t="str">
        <f t="shared" si="36"/>
        <v/>
      </c>
      <c r="U615" s="4" t="s">
        <v>3763</v>
      </c>
    </row>
    <row r="616" spans="1:21" x14ac:dyDescent="0.3">
      <c r="A616" t="s">
        <v>1071</v>
      </c>
      <c r="B616" s="1" t="s">
        <v>77</v>
      </c>
      <c r="C616" s="1" t="s">
        <v>78</v>
      </c>
      <c r="D616" s="1" t="s">
        <v>35</v>
      </c>
      <c r="E616" s="2" t="s">
        <v>3043</v>
      </c>
      <c r="F616" s="2" t="b">
        <f t="shared" si="39"/>
        <v>0</v>
      </c>
      <c r="G616" s="2">
        <f t="shared" si="37"/>
        <v>42244</v>
      </c>
      <c r="H616" s="1" t="s">
        <v>104</v>
      </c>
      <c r="I616" s="1" t="s">
        <v>1072</v>
      </c>
      <c r="J616" s="1">
        <v>70</v>
      </c>
      <c r="K616" s="1">
        <v>53</v>
      </c>
      <c r="L616" s="3">
        <v>0.2429</v>
      </c>
      <c r="N616" t="s">
        <v>3043</v>
      </c>
      <c r="P616">
        <v>8</v>
      </c>
      <c r="Q616">
        <v>28</v>
      </c>
      <c r="R616">
        <v>2015</v>
      </c>
      <c r="S616" s="4">
        <f t="shared" si="38"/>
        <v>42244</v>
      </c>
      <c r="T616" s="4">
        <f t="shared" si="36"/>
        <v>42244</v>
      </c>
      <c r="U616" s="4">
        <v>42244</v>
      </c>
    </row>
    <row r="617" spans="1:21" x14ac:dyDescent="0.3">
      <c r="A617" t="s">
        <v>1073</v>
      </c>
      <c r="B617" s="1" t="s">
        <v>154</v>
      </c>
      <c r="C617" s="1" t="s">
        <v>108</v>
      </c>
      <c r="D617" s="1" t="s">
        <v>19</v>
      </c>
      <c r="E617" s="2">
        <v>41733</v>
      </c>
      <c r="F617" s="2" t="b">
        <f t="shared" si="39"/>
        <v>1</v>
      </c>
      <c r="G617" s="2">
        <f t="shared" si="37"/>
        <v>41733</v>
      </c>
      <c r="H617" s="1" t="s">
        <v>61</v>
      </c>
      <c r="I617" s="1" t="s">
        <v>352</v>
      </c>
      <c r="J617" s="1">
        <v>1000</v>
      </c>
      <c r="K617" s="1">
        <v>780</v>
      </c>
      <c r="L617" s="3">
        <v>0.22</v>
      </c>
      <c r="N617" t="s">
        <v>3763</v>
      </c>
      <c r="S617" s="4" t="e">
        <f t="shared" si="38"/>
        <v>#NUM!</v>
      </c>
      <c r="T617" s="4" t="str">
        <f t="shared" si="36"/>
        <v/>
      </c>
      <c r="U617" s="4" t="s">
        <v>3763</v>
      </c>
    </row>
    <row r="618" spans="1:21" x14ac:dyDescent="0.3">
      <c r="A618" t="s">
        <v>1074</v>
      </c>
      <c r="B618" s="1" t="s">
        <v>118</v>
      </c>
      <c r="C618" s="1" t="s">
        <v>119</v>
      </c>
      <c r="D618" s="1" t="s">
        <v>35</v>
      </c>
      <c r="E618" s="2" t="s">
        <v>3287</v>
      </c>
      <c r="F618" s="2" t="b">
        <f t="shared" si="39"/>
        <v>0</v>
      </c>
      <c r="G618" s="2">
        <f t="shared" si="37"/>
        <v>42114</v>
      </c>
      <c r="H618" s="1" t="s">
        <v>25</v>
      </c>
      <c r="I618" s="1" t="s">
        <v>896</v>
      </c>
      <c r="J618" s="1">
        <v>700</v>
      </c>
      <c r="K618" s="1">
        <v>686</v>
      </c>
      <c r="L618" s="3">
        <v>0.02</v>
      </c>
      <c r="N618" t="s">
        <v>3287</v>
      </c>
      <c r="P618">
        <v>4</v>
      </c>
      <c r="Q618">
        <v>20</v>
      </c>
      <c r="R618">
        <v>2015</v>
      </c>
      <c r="S618" s="4">
        <f t="shared" si="38"/>
        <v>42114</v>
      </c>
      <c r="T618" s="4">
        <f t="shared" si="36"/>
        <v>42114</v>
      </c>
      <c r="U618" s="4">
        <v>42114</v>
      </c>
    </row>
    <row r="619" spans="1:21" x14ac:dyDescent="0.3">
      <c r="A619" t="s">
        <v>1075</v>
      </c>
      <c r="B619" s="1" t="s">
        <v>107</v>
      </c>
      <c r="C619" s="1" t="s">
        <v>108</v>
      </c>
      <c r="D619" s="1" t="s">
        <v>19</v>
      </c>
      <c r="E619" s="2" t="s">
        <v>3288</v>
      </c>
      <c r="F619" s="2" t="b">
        <f t="shared" si="39"/>
        <v>0</v>
      </c>
      <c r="G619" s="2">
        <f t="shared" si="37"/>
        <v>41934</v>
      </c>
      <c r="H619" s="1" t="s">
        <v>30</v>
      </c>
      <c r="I619" s="1" t="s">
        <v>1029</v>
      </c>
      <c r="J619" s="1">
        <v>150</v>
      </c>
      <c r="K619" s="1">
        <v>108</v>
      </c>
      <c r="L619" s="3">
        <v>0.28000000000000003</v>
      </c>
      <c r="N619" t="s">
        <v>3288</v>
      </c>
      <c r="P619">
        <v>10</v>
      </c>
      <c r="Q619">
        <v>22</v>
      </c>
      <c r="R619">
        <v>2014</v>
      </c>
      <c r="S619" s="4">
        <f t="shared" si="38"/>
        <v>41934</v>
      </c>
      <c r="T619" s="4">
        <f t="shared" si="36"/>
        <v>41934</v>
      </c>
      <c r="U619" s="4">
        <v>41934</v>
      </c>
    </row>
    <row r="620" spans="1:21" x14ac:dyDescent="0.3">
      <c r="A620" t="s">
        <v>1076</v>
      </c>
      <c r="B620" s="1" t="s">
        <v>264</v>
      </c>
      <c r="C620" s="1" t="s">
        <v>265</v>
      </c>
      <c r="D620" s="1" t="s">
        <v>13</v>
      </c>
      <c r="E620" s="2" t="s">
        <v>3289</v>
      </c>
      <c r="F620" s="2" t="b">
        <f t="shared" si="39"/>
        <v>0</v>
      </c>
      <c r="G620" s="2">
        <f t="shared" si="37"/>
        <v>43267</v>
      </c>
      <c r="H620" s="1" t="s">
        <v>61</v>
      </c>
      <c r="I620" s="1" t="s">
        <v>599</v>
      </c>
      <c r="J620" s="1">
        <v>1000</v>
      </c>
      <c r="K620" s="1">
        <v>880</v>
      </c>
      <c r="L620" s="3">
        <v>0.12</v>
      </c>
      <c r="N620" t="s">
        <v>3289</v>
      </c>
      <c r="P620">
        <v>6</v>
      </c>
      <c r="Q620">
        <v>16</v>
      </c>
      <c r="R620">
        <v>2018</v>
      </c>
      <c r="S620" s="4">
        <f t="shared" si="38"/>
        <v>43267</v>
      </c>
      <c r="T620" s="4">
        <f t="shared" si="36"/>
        <v>43267</v>
      </c>
      <c r="U620" s="4">
        <v>43267</v>
      </c>
    </row>
    <row r="621" spans="1:21" x14ac:dyDescent="0.3">
      <c r="A621" t="s">
        <v>1077</v>
      </c>
      <c r="B621" s="1" t="s">
        <v>118</v>
      </c>
      <c r="C621" s="1" t="s">
        <v>119</v>
      </c>
      <c r="D621" s="1" t="s">
        <v>35</v>
      </c>
      <c r="E621" s="2" t="s">
        <v>3027</v>
      </c>
      <c r="F621" s="2" t="b">
        <f t="shared" si="39"/>
        <v>0</v>
      </c>
      <c r="G621" s="2">
        <f t="shared" si="37"/>
        <v>41833</v>
      </c>
      <c r="H621" s="1" t="s">
        <v>55</v>
      </c>
      <c r="I621" s="1" t="s">
        <v>540</v>
      </c>
      <c r="J621" s="1">
        <v>800</v>
      </c>
      <c r="K621" s="1">
        <v>560</v>
      </c>
      <c r="L621" s="3">
        <v>0.3</v>
      </c>
      <c r="N621" t="s">
        <v>3027</v>
      </c>
      <c r="P621">
        <v>7</v>
      </c>
      <c r="Q621">
        <v>13</v>
      </c>
      <c r="R621">
        <v>2014</v>
      </c>
      <c r="S621" s="4">
        <f t="shared" si="38"/>
        <v>41833</v>
      </c>
      <c r="T621" s="4">
        <f t="shared" si="36"/>
        <v>41833</v>
      </c>
      <c r="U621" s="4">
        <v>41833</v>
      </c>
    </row>
    <row r="622" spans="1:21" x14ac:dyDescent="0.3">
      <c r="A622" t="s">
        <v>1078</v>
      </c>
      <c r="B622" s="1" t="s">
        <v>118</v>
      </c>
      <c r="C622" s="1" t="s">
        <v>119</v>
      </c>
      <c r="D622" s="1" t="s">
        <v>35</v>
      </c>
      <c r="E622" s="2" t="s">
        <v>3290</v>
      </c>
      <c r="F622" s="2" t="b">
        <f t="shared" si="39"/>
        <v>0</v>
      </c>
      <c r="G622" s="2">
        <f t="shared" si="37"/>
        <v>42445</v>
      </c>
      <c r="H622" s="1" t="s">
        <v>61</v>
      </c>
      <c r="I622" s="1" t="s">
        <v>1079</v>
      </c>
      <c r="J622" s="1">
        <v>1000</v>
      </c>
      <c r="K622" s="1">
        <v>930</v>
      </c>
      <c r="L622" s="3">
        <v>7.0000000000000007E-2</v>
      </c>
      <c r="N622" t="s">
        <v>3290</v>
      </c>
      <c r="P622">
        <v>3</v>
      </c>
      <c r="Q622">
        <v>16</v>
      </c>
      <c r="R622">
        <v>2016</v>
      </c>
      <c r="S622" s="4">
        <f t="shared" si="38"/>
        <v>42445</v>
      </c>
      <c r="T622" s="4">
        <f t="shared" si="36"/>
        <v>42445</v>
      </c>
      <c r="U622" s="4">
        <v>42445</v>
      </c>
    </row>
    <row r="623" spans="1:21" x14ac:dyDescent="0.3">
      <c r="A623" t="s">
        <v>1080</v>
      </c>
      <c r="B623" s="1" t="s">
        <v>11</v>
      </c>
      <c r="C623" s="1" t="s">
        <v>12</v>
      </c>
      <c r="D623" s="1" t="s">
        <v>13</v>
      </c>
      <c r="E623" s="2">
        <v>42828</v>
      </c>
      <c r="F623" s="2" t="b">
        <f t="shared" si="39"/>
        <v>1</v>
      </c>
      <c r="G623" s="2">
        <f t="shared" si="37"/>
        <v>42828</v>
      </c>
      <c r="H623" s="1" t="s">
        <v>25</v>
      </c>
      <c r="I623" s="1" t="s">
        <v>15</v>
      </c>
      <c r="J623" s="1">
        <v>700</v>
      </c>
      <c r="K623" s="1">
        <v>693</v>
      </c>
      <c r="L623" s="3">
        <v>0.01</v>
      </c>
      <c r="N623" t="s">
        <v>3763</v>
      </c>
      <c r="S623" s="4" t="e">
        <f t="shared" si="38"/>
        <v>#NUM!</v>
      </c>
      <c r="T623" s="4" t="str">
        <f t="shared" si="36"/>
        <v/>
      </c>
      <c r="U623" s="4" t="s">
        <v>3763</v>
      </c>
    </row>
    <row r="624" spans="1:21" x14ac:dyDescent="0.3">
      <c r="A624" t="s">
        <v>1081</v>
      </c>
      <c r="B624" s="1" t="s">
        <v>157</v>
      </c>
      <c r="C624" s="1" t="s">
        <v>108</v>
      </c>
      <c r="D624" s="1" t="s">
        <v>19</v>
      </c>
      <c r="E624" s="2">
        <v>42284</v>
      </c>
      <c r="F624" s="2" t="b">
        <f t="shared" si="39"/>
        <v>1</v>
      </c>
      <c r="G624" s="2">
        <f t="shared" si="37"/>
        <v>42284</v>
      </c>
      <c r="H624" s="1" t="s">
        <v>41</v>
      </c>
      <c r="I624" s="1" t="s">
        <v>1022</v>
      </c>
      <c r="J624" s="1">
        <v>30</v>
      </c>
      <c r="K624" s="1">
        <v>26</v>
      </c>
      <c r="L624" s="3">
        <v>0.1333</v>
      </c>
      <c r="N624" t="s">
        <v>3763</v>
      </c>
      <c r="S624" s="4" t="e">
        <f t="shared" si="38"/>
        <v>#NUM!</v>
      </c>
      <c r="T624" s="4" t="str">
        <f t="shared" si="36"/>
        <v/>
      </c>
      <c r="U624" s="4" t="s">
        <v>3763</v>
      </c>
    </row>
    <row r="625" spans="1:21" x14ac:dyDescent="0.3">
      <c r="A625" t="s">
        <v>1082</v>
      </c>
      <c r="B625" s="1" t="s">
        <v>107</v>
      </c>
      <c r="C625" s="1" t="s">
        <v>108</v>
      </c>
      <c r="D625" s="1" t="s">
        <v>19</v>
      </c>
      <c r="E625" s="2">
        <v>43227</v>
      </c>
      <c r="F625" s="2" t="b">
        <f t="shared" si="39"/>
        <v>1</v>
      </c>
      <c r="G625" s="2">
        <f t="shared" si="37"/>
        <v>43227</v>
      </c>
      <c r="H625" s="1" t="s">
        <v>41</v>
      </c>
      <c r="I625" s="1" t="s">
        <v>1029</v>
      </c>
      <c r="J625" s="1">
        <v>30</v>
      </c>
      <c r="K625" s="1">
        <v>29</v>
      </c>
      <c r="L625" s="3">
        <v>3.3300000000000003E-2</v>
      </c>
      <c r="N625" t="s">
        <v>3763</v>
      </c>
      <c r="S625" s="4" t="e">
        <f t="shared" si="38"/>
        <v>#NUM!</v>
      </c>
      <c r="T625" s="4" t="str">
        <f t="shared" si="36"/>
        <v/>
      </c>
      <c r="U625" s="4" t="s">
        <v>3763</v>
      </c>
    </row>
    <row r="626" spans="1:21" x14ac:dyDescent="0.3">
      <c r="A626" t="s">
        <v>1083</v>
      </c>
      <c r="B626" s="1" t="s">
        <v>131</v>
      </c>
      <c r="C626" s="1" t="s">
        <v>108</v>
      </c>
      <c r="D626" s="1" t="s">
        <v>19</v>
      </c>
      <c r="E626" s="2">
        <v>41914</v>
      </c>
      <c r="F626" s="2" t="b">
        <f t="shared" si="39"/>
        <v>1</v>
      </c>
      <c r="G626" s="2">
        <f t="shared" si="37"/>
        <v>41914</v>
      </c>
      <c r="H626" s="1" t="s">
        <v>41</v>
      </c>
      <c r="I626" s="1" t="s">
        <v>688</v>
      </c>
      <c r="J626" s="1">
        <v>30</v>
      </c>
      <c r="K626" s="1">
        <v>30</v>
      </c>
      <c r="L626" s="3">
        <v>0</v>
      </c>
      <c r="N626" t="s">
        <v>3763</v>
      </c>
      <c r="S626" s="4" t="e">
        <f t="shared" si="38"/>
        <v>#NUM!</v>
      </c>
      <c r="T626" s="4" t="str">
        <f t="shared" si="36"/>
        <v/>
      </c>
      <c r="U626" s="4" t="s">
        <v>3763</v>
      </c>
    </row>
    <row r="627" spans="1:21" x14ac:dyDescent="0.3">
      <c r="A627" t="s">
        <v>1084</v>
      </c>
      <c r="B627" s="1" t="s">
        <v>241</v>
      </c>
      <c r="C627" s="1" t="s">
        <v>242</v>
      </c>
      <c r="D627" s="1" t="s">
        <v>13</v>
      </c>
      <c r="E627" s="2" t="s">
        <v>3280</v>
      </c>
      <c r="F627" s="2" t="b">
        <f t="shared" si="39"/>
        <v>0</v>
      </c>
      <c r="G627" s="2">
        <f t="shared" si="37"/>
        <v>42238</v>
      </c>
      <c r="H627" s="1" t="s">
        <v>30</v>
      </c>
      <c r="I627" s="1" t="s">
        <v>426</v>
      </c>
      <c r="J627" s="1">
        <v>150</v>
      </c>
      <c r="K627" s="1">
        <v>143</v>
      </c>
      <c r="L627" s="3">
        <v>4.6699999999999998E-2</v>
      </c>
      <c r="N627" t="s">
        <v>3280</v>
      </c>
      <c r="P627">
        <v>8</v>
      </c>
      <c r="Q627">
        <v>22</v>
      </c>
      <c r="R627">
        <v>2015</v>
      </c>
      <c r="S627" s="4">
        <f t="shared" si="38"/>
        <v>42238</v>
      </c>
      <c r="T627" s="4">
        <f t="shared" si="36"/>
        <v>42238</v>
      </c>
      <c r="U627" s="4">
        <v>42238</v>
      </c>
    </row>
    <row r="628" spans="1:21" x14ac:dyDescent="0.3">
      <c r="A628" t="s">
        <v>1085</v>
      </c>
      <c r="B628" s="1" t="s">
        <v>227</v>
      </c>
      <c r="C628" s="1" t="s">
        <v>228</v>
      </c>
      <c r="D628" s="1" t="s">
        <v>24</v>
      </c>
      <c r="E628" s="2" t="s">
        <v>3291</v>
      </c>
      <c r="F628" s="2" t="b">
        <f t="shared" si="39"/>
        <v>0</v>
      </c>
      <c r="G628" s="2">
        <f t="shared" si="37"/>
        <v>42209</v>
      </c>
      <c r="H628" s="1" t="s">
        <v>115</v>
      </c>
      <c r="I628" s="1" t="s">
        <v>870</v>
      </c>
      <c r="J628" s="1">
        <v>250</v>
      </c>
      <c r="K628" s="1">
        <v>208</v>
      </c>
      <c r="L628" s="3">
        <v>0.16800000000000001</v>
      </c>
      <c r="N628" t="s">
        <v>3291</v>
      </c>
      <c r="P628">
        <v>7</v>
      </c>
      <c r="Q628">
        <v>24</v>
      </c>
      <c r="R628">
        <v>2015</v>
      </c>
      <c r="S628" s="4">
        <f t="shared" si="38"/>
        <v>42209</v>
      </c>
      <c r="T628" s="4">
        <f t="shared" si="36"/>
        <v>42209</v>
      </c>
      <c r="U628" s="4">
        <v>42209</v>
      </c>
    </row>
    <row r="629" spans="1:21" x14ac:dyDescent="0.3">
      <c r="A629" t="s">
        <v>1086</v>
      </c>
      <c r="B629" s="1" t="s">
        <v>174</v>
      </c>
      <c r="C629" s="1" t="s">
        <v>175</v>
      </c>
      <c r="D629" s="1" t="s">
        <v>13</v>
      </c>
      <c r="E629" s="2" t="s">
        <v>3292</v>
      </c>
      <c r="F629" s="2" t="b">
        <f t="shared" si="39"/>
        <v>0</v>
      </c>
      <c r="G629" s="2">
        <f t="shared" si="37"/>
        <v>42663</v>
      </c>
      <c r="H629" s="1" t="s">
        <v>46</v>
      </c>
      <c r="I629" s="1" t="s">
        <v>607</v>
      </c>
      <c r="J629" s="1">
        <v>500</v>
      </c>
      <c r="K629" s="1">
        <v>455</v>
      </c>
      <c r="L629" s="3">
        <v>0.09</v>
      </c>
      <c r="N629" t="s">
        <v>3292</v>
      </c>
      <c r="P629">
        <v>10</v>
      </c>
      <c r="Q629">
        <v>20</v>
      </c>
      <c r="R629">
        <v>2016</v>
      </c>
      <c r="S629" s="4">
        <f t="shared" si="38"/>
        <v>42663</v>
      </c>
      <c r="T629" s="4">
        <f t="shared" si="36"/>
        <v>42663</v>
      </c>
      <c r="U629" s="4">
        <v>42663</v>
      </c>
    </row>
    <row r="630" spans="1:21" x14ac:dyDescent="0.3">
      <c r="A630" t="s">
        <v>1087</v>
      </c>
      <c r="B630" s="1" t="s">
        <v>146</v>
      </c>
      <c r="C630" s="1" t="s">
        <v>147</v>
      </c>
      <c r="D630" s="1" t="s">
        <v>13</v>
      </c>
      <c r="E630" s="2" t="s">
        <v>3293</v>
      </c>
      <c r="F630" s="2" t="b">
        <f t="shared" si="39"/>
        <v>0</v>
      </c>
      <c r="G630" s="2">
        <f t="shared" si="37"/>
        <v>42269</v>
      </c>
      <c r="H630" s="1" t="s">
        <v>115</v>
      </c>
      <c r="I630" s="1" t="s">
        <v>1033</v>
      </c>
      <c r="J630" s="1">
        <v>250</v>
      </c>
      <c r="K630" s="1">
        <v>155</v>
      </c>
      <c r="L630" s="3">
        <v>0.38</v>
      </c>
      <c r="N630" t="s">
        <v>3293</v>
      </c>
      <c r="P630">
        <v>9</v>
      </c>
      <c r="Q630">
        <v>22</v>
      </c>
      <c r="R630">
        <v>2015</v>
      </c>
      <c r="S630" s="4">
        <f t="shared" si="38"/>
        <v>42269</v>
      </c>
      <c r="T630" s="4">
        <f t="shared" si="36"/>
        <v>42269</v>
      </c>
      <c r="U630" s="4">
        <v>42269</v>
      </c>
    </row>
    <row r="631" spans="1:21" x14ac:dyDescent="0.3">
      <c r="A631" t="s">
        <v>1088</v>
      </c>
      <c r="B631" s="1" t="s">
        <v>127</v>
      </c>
      <c r="C631" s="1" t="s">
        <v>128</v>
      </c>
      <c r="D631" s="1" t="s">
        <v>13</v>
      </c>
      <c r="E631" s="2" t="s">
        <v>3294</v>
      </c>
      <c r="F631" s="2" t="b">
        <f t="shared" si="39"/>
        <v>0</v>
      </c>
      <c r="G631" s="2">
        <f t="shared" si="37"/>
        <v>42276</v>
      </c>
      <c r="H631" s="1" t="s">
        <v>41</v>
      </c>
      <c r="I631" s="1" t="s">
        <v>385</v>
      </c>
      <c r="J631" s="1">
        <v>30</v>
      </c>
      <c r="K631" s="1">
        <v>27</v>
      </c>
      <c r="L631" s="3">
        <v>0.1</v>
      </c>
      <c r="N631" t="s">
        <v>3294</v>
      </c>
      <c r="P631">
        <v>9</v>
      </c>
      <c r="Q631">
        <v>29</v>
      </c>
      <c r="R631">
        <v>2015</v>
      </c>
      <c r="S631" s="4">
        <f t="shared" si="38"/>
        <v>42276</v>
      </c>
      <c r="T631" s="4">
        <f t="shared" si="36"/>
        <v>42276</v>
      </c>
      <c r="U631" s="4">
        <v>42276</v>
      </c>
    </row>
    <row r="632" spans="1:21" x14ac:dyDescent="0.3">
      <c r="A632" t="s">
        <v>1089</v>
      </c>
      <c r="B632" s="1" t="s">
        <v>99</v>
      </c>
      <c r="C632" s="1" t="s">
        <v>100</v>
      </c>
      <c r="D632" s="1" t="s">
        <v>13</v>
      </c>
      <c r="E632" s="2">
        <v>42249</v>
      </c>
      <c r="F632" s="2" t="b">
        <f t="shared" si="39"/>
        <v>1</v>
      </c>
      <c r="G632" s="2">
        <f t="shared" si="37"/>
        <v>42249</v>
      </c>
      <c r="H632" s="1" t="s">
        <v>46</v>
      </c>
      <c r="I632" s="1" t="s">
        <v>1090</v>
      </c>
      <c r="J632" s="1">
        <v>500</v>
      </c>
      <c r="K632" s="1">
        <v>485</v>
      </c>
      <c r="L632" s="3">
        <v>0.03</v>
      </c>
      <c r="N632" t="s">
        <v>3763</v>
      </c>
      <c r="S632" s="4" t="e">
        <f t="shared" si="38"/>
        <v>#NUM!</v>
      </c>
      <c r="T632" s="4" t="str">
        <f t="shared" si="36"/>
        <v/>
      </c>
      <c r="U632" s="4" t="s">
        <v>3763</v>
      </c>
    </row>
    <row r="633" spans="1:21" x14ac:dyDescent="0.3">
      <c r="A633" t="s">
        <v>1091</v>
      </c>
      <c r="B633" s="1" t="s">
        <v>289</v>
      </c>
      <c r="C633" s="1" t="s">
        <v>108</v>
      </c>
      <c r="D633" s="1" t="s">
        <v>19</v>
      </c>
      <c r="E633" s="2" t="s">
        <v>3295</v>
      </c>
      <c r="F633" s="2" t="b">
        <f t="shared" si="39"/>
        <v>0</v>
      </c>
      <c r="G633" s="2">
        <f t="shared" si="37"/>
        <v>41867</v>
      </c>
      <c r="H633" s="1" t="s">
        <v>122</v>
      </c>
      <c r="I633" s="1" t="s">
        <v>972</v>
      </c>
      <c r="J633" s="1">
        <v>50</v>
      </c>
      <c r="K633" s="1">
        <v>49</v>
      </c>
      <c r="L633" s="3">
        <v>0.02</v>
      </c>
      <c r="N633" t="s">
        <v>3295</v>
      </c>
      <c r="P633">
        <v>8</v>
      </c>
      <c r="Q633">
        <v>16</v>
      </c>
      <c r="R633">
        <v>2014</v>
      </c>
      <c r="S633" s="4">
        <f t="shared" si="38"/>
        <v>41867</v>
      </c>
      <c r="T633" s="4">
        <f t="shared" si="36"/>
        <v>41867</v>
      </c>
      <c r="U633" s="4">
        <v>41867</v>
      </c>
    </row>
    <row r="634" spans="1:21" x14ac:dyDescent="0.3">
      <c r="A634" t="s">
        <v>1092</v>
      </c>
      <c r="B634" s="1" t="s">
        <v>77</v>
      </c>
      <c r="C634" s="1" t="s">
        <v>78</v>
      </c>
      <c r="D634" s="1" t="s">
        <v>35</v>
      </c>
      <c r="E634" s="2">
        <v>43042</v>
      </c>
      <c r="F634" s="2" t="b">
        <f t="shared" si="39"/>
        <v>1</v>
      </c>
      <c r="G634" s="2">
        <f t="shared" si="37"/>
        <v>43042</v>
      </c>
      <c r="H634" s="1" t="s">
        <v>46</v>
      </c>
      <c r="I634" s="1" t="s">
        <v>1093</v>
      </c>
      <c r="J634" s="1">
        <v>500</v>
      </c>
      <c r="K634" s="1">
        <v>450</v>
      </c>
      <c r="L634" s="3">
        <v>0.1</v>
      </c>
      <c r="N634" t="s">
        <v>3763</v>
      </c>
      <c r="S634" s="4" t="e">
        <f t="shared" si="38"/>
        <v>#NUM!</v>
      </c>
      <c r="T634" s="4" t="str">
        <f t="shared" si="36"/>
        <v/>
      </c>
      <c r="U634" s="4" t="s">
        <v>3763</v>
      </c>
    </row>
    <row r="635" spans="1:21" x14ac:dyDescent="0.3">
      <c r="A635" t="s">
        <v>1094</v>
      </c>
      <c r="B635" s="1" t="s">
        <v>77</v>
      </c>
      <c r="C635" s="1" t="s">
        <v>78</v>
      </c>
      <c r="D635" s="1" t="s">
        <v>35</v>
      </c>
      <c r="E635" s="2">
        <v>42493</v>
      </c>
      <c r="F635" s="2" t="b">
        <f t="shared" si="39"/>
        <v>1</v>
      </c>
      <c r="G635" s="2">
        <f t="shared" si="37"/>
        <v>42493</v>
      </c>
      <c r="H635" s="1" t="s">
        <v>36</v>
      </c>
      <c r="I635" s="1" t="s">
        <v>317</v>
      </c>
      <c r="J635" s="1">
        <v>50</v>
      </c>
      <c r="K635" s="1">
        <v>49</v>
      </c>
      <c r="L635" s="3">
        <v>0.02</v>
      </c>
      <c r="N635" t="s">
        <v>3763</v>
      </c>
      <c r="S635" s="4" t="e">
        <f t="shared" si="38"/>
        <v>#NUM!</v>
      </c>
      <c r="T635" s="4" t="str">
        <f t="shared" si="36"/>
        <v/>
      </c>
      <c r="U635" s="4" t="s">
        <v>3763</v>
      </c>
    </row>
    <row r="636" spans="1:21" x14ac:dyDescent="0.3">
      <c r="A636" t="s">
        <v>1095</v>
      </c>
      <c r="B636" s="1" t="s">
        <v>157</v>
      </c>
      <c r="C636" s="1" t="s">
        <v>108</v>
      </c>
      <c r="D636" s="1" t="s">
        <v>19</v>
      </c>
      <c r="E636" s="2">
        <v>41975</v>
      </c>
      <c r="F636" s="2" t="b">
        <f t="shared" si="39"/>
        <v>1</v>
      </c>
      <c r="G636" s="2">
        <f t="shared" si="37"/>
        <v>41975</v>
      </c>
      <c r="H636" s="1" t="s">
        <v>30</v>
      </c>
      <c r="I636" s="1" t="s">
        <v>158</v>
      </c>
      <c r="J636" s="1">
        <v>150</v>
      </c>
      <c r="K636" s="1">
        <v>111</v>
      </c>
      <c r="L636" s="3">
        <v>0.26</v>
      </c>
      <c r="N636" t="s">
        <v>3763</v>
      </c>
      <c r="S636" s="4" t="e">
        <f t="shared" si="38"/>
        <v>#NUM!</v>
      </c>
      <c r="T636" s="4" t="str">
        <f t="shared" si="36"/>
        <v/>
      </c>
      <c r="U636" s="4" t="s">
        <v>3763</v>
      </c>
    </row>
    <row r="637" spans="1:21" x14ac:dyDescent="0.3">
      <c r="A637" t="s">
        <v>1096</v>
      </c>
      <c r="B637" s="1" t="s">
        <v>255</v>
      </c>
      <c r="C637" s="1" t="s">
        <v>256</v>
      </c>
      <c r="D637" s="1" t="s">
        <v>13</v>
      </c>
      <c r="E637" s="2">
        <v>42952</v>
      </c>
      <c r="F637" s="2" t="b">
        <f t="shared" si="39"/>
        <v>1</v>
      </c>
      <c r="G637" s="2">
        <f t="shared" si="37"/>
        <v>42952</v>
      </c>
      <c r="H637" s="1" t="s">
        <v>41</v>
      </c>
      <c r="I637" s="1" t="s">
        <v>1097</v>
      </c>
      <c r="J637" s="1">
        <v>30</v>
      </c>
      <c r="K637" s="1">
        <v>29</v>
      </c>
      <c r="L637" s="3">
        <v>3.3300000000000003E-2</v>
      </c>
      <c r="N637" t="s">
        <v>3763</v>
      </c>
      <c r="S637" s="4" t="e">
        <f t="shared" si="38"/>
        <v>#NUM!</v>
      </c>
      <c r="T637" s="4" t="str">
        <f t="shared" si="36"/>
        <v/>
      </c>
      <c r="U637" s="4" t="s">
        <v>3763</v>
      </c>
    </row>
    <row r="638" spans="1:21" x14ac:dyDescent="0.3">
      <c r="A638" t="s">
        <v>1098</v>
      </c>
      <c r="B638" s="1" t="s">
        <v>150</v>
      </c>
      <c r="C638" s="1" t="s">
        <v>151</v>
      </c>
      <c r="D638" s="1" t="s">
        <v>13</v>
      </c>
      <c r="E638" s="2" t="s">
        <v>3296</v>
      </c>
      <c r="F638" s="2" t="b">
        <f t="shared" si="39"/>
        <v>0</v>
      </c>
      <c r="G638" s="2">
        <f t="shared" si="37"/>
        <v>42052</v>
      </c>
      <c r="H638" s="1" t="s">
        <v>36</v>
      </c>
      <c r="I638" s="1" t="s">
        <v>152</v>
      </c>
      <c r="J638" s="1">
        <v>50</v>
      </c>
      <c r="K638" s="1">
        <v>35</v>
      </c>
      <c r="L638" s="3">
        <v>0.3</v>
      </c>
      <c r="N638" t="s">
        <v>3296</v>
      </c>
      <c r="P638">
        <v>2</v>
      </c>
      <c r="Q638">
        <v>17</v>
      </c>
      <c r="R638">
        <v>2015</v>
      </c>
      <c r="S638" s="4">
        <f t="shared" si="38"/>
        <v>42052</v>
      </c>
      <c r="T638" s="4">
        <f t="shared" si="36"/>
        <v>42052</v>
      </c>
      <c r="U638" s="4">
        <v>42052</v>
      </c>
    </row>
    <row r="639" spans="1:21" x14ac:dyDescent="0.3">
      <c r="A639" t="s">
        <v>1099</v>
      </c>
      <c r="B639" s="1" t="s">
        <v>170</v>
      </c>
      <c r="C639" s="1" t="s">
        <v>171</v>
      </c>
      <c r="D639" s="1" t="s">
        <v>13</v>
      </c>
      <c r="E639" s="2" t="s">
        <v>3297</v>
      </c>
      <c r="F639" s="2" t="b">
        <f t="shared" si="39"/>
        <v>0</v>
      </c>
      <c r="G639" s="2">
        <f t="shared" si="37"/>
        <v>42940</v>
      </c>
      <c r="H639" s="1" t="s">
        <v>104</v>
      </c>
      <c r="I639" s="1" t="s">
        <v>1100</v>
      </c>
      <c r="J639" s="1">
        <v>70</v>
      </c>
      <c r="K639" s="1">
        <v>69</v>
      </c>
      <c r="L639" s="3">
        <v>1.43E-2</v>
      </c>
      <c r="N639" t="s">
        <v>3297</v>
      </c>
      <c r="P639">
        <v>7</v>
      </c>
      <c r="Q639">
        <v>24</v>
      </c>
      <c r="R639">
        <v>2017</v>
      </c>
      <c r="S639" s="4">
        <f t="shared" si="38"/>
        <v>42940</v>
      </c>
      <c r="T639" s="4">
        <f t="shared" si="36"/>
        <v>42940</v>
      </c>
      <c r="U639" s="4">
        <v>42940</v>
      </c>
    </row>
    <row r="640" spans="1:21" x14ac:dyDescent="0.3">
      <c r="A640" t="s">
        <v>1101</v>
      </c>
      <c r="B640" s="1" t="s">
        <v>44</v>
      </c>
      <c r="C640" s="1" t="s">
        <v>45</v>
      </c>
      <c r="D640" s="1" t="s">
        <v>24</v>
      </c>
      <c r="E640" s="2">
        <v>42045</v>
      </c>
      <c r="F640" s="2" t="b">
        <f t="shared" si="39"/>
        <v>1</v>
      </c>
      <c r="G640" s="2">
        <f t="shared" si="37"/>
        <v>42045</v>
      </c>
      <c r="H640" s="1" t="s">
        <v>115</v>
      </c>
      <c r="I640" s="1" t="s">
        <v>1102</v>
      </c>
      <c r="J640" s="1">
        <v>250</v>
      </c>
      <c r="K640" s="1">
        <v>218</v>
      </c>
      <c r="L640" s="3">
        <v>0.128</v>
      </c>
      <c r="N640" t="s">
        <v>3763</v>
      </c>
      <c r="S640" s="4" t="e">
        <f t="shared" si="38"/>
        <v>#NUM!</v>
      </c>
      <c r="T640" s="4" t="str">
        <f t="shared" si="36"/>
        <v/>
      </c>
      <c r="U640" s="4" t="s">
        <v>3763</v>
      </c>
    </row>
    <row r="641" spans="1:21" x14ac:dyDescent="0.3">
      <c r="A641" t="s">
        <v>1103</v>
      </c>
      <c r="B641" s="1" t="s">
        <v>118</v>
      </c>
      <c r="C641" s="1" t="s">
        <v>119</v>
      </c>
      <c r="D641" s="1" t="s">
        <v>35</v>
      </c>
      <c r="E641" s="2">
        <v>43383</v>
      </c>
      <c r="F641" s="2" t="b">
        <f t="shared" si="39"/>
        <v>1</v>
      </c>
      <c r="G641" s="2">
        <f t="shared" si="37"/>
        <v>43383</v>
      </c>
      <c r="H641" s="1" t="s">
        <v>25</v>
      </c>
      <c r="I641" s="1" t="s">
        <v>1079</v>
      </c>
      <c r="J641" s="1">
        <v>700</v>
      </c>
      <c r="K641" s="1">
        <v>672</v>
      </c>
      <c r="L641" s="3">
        <v>0.04</v>
      </c>
      <c r="N641" t="s">
        <v>3763</v>
      </c>
      <c r="S641" s="4" t="e">
        <f t="shared" si="38"/>
        <v>#NUM!</v>
      </c>
      <c r="T641" s="4" t="str">
        <f t="shared" si="36"/>
        <v/>
      </c>
      <c r="U641" s="4" t="s">
        <v>3763</v>
      </c>
    </row>
    <row r="642" spans="1:21" x14ac:dyDescent="0.3">
      <c r="A642" t="s">
        <v>1104</v>
      </c>
      <c r="B642" s="1" t="s">
        <v>270</v>
      </c>
      <c r="C642" s="1" t="s">
        <v>271</v>
      </c>
      <c r="D642" s="1" t="s">
        <v>35</v>
      </c>
      <c r="E642" s="2" t="s">
        <v>2988</v>
      </c>
      <c r="F642" s="2" t="b">
        <f t="shared" si="39"/>
        <v>0</v>
      </c>
      <c r="G642" s="2">
        <f t="shared" si="37"/>
        <v>42690</v>
      </c>
      <c r="H642" s="1" t="s">
        <v>61</v>
      </c>
      <c r="I642" s="1" t="s">
        <v>715</v>
      </c>
      <c r="J642" s="1">
        <v>1000</v>
      </c>
      <c r="K642" s="1">
        <v>950</v>
      </c>
      <c r="L642" s="3">
        <v>0.05</v>
      </c>
      <c r="N642" t="s">
        <v>2988</v>
      </c>
      <c r="P642">
        <v>11</v>
      </c>
      <c r="Q642">
        <v>16</v>
      </c>
      <c r="R642">
        <v>2016</v>
      </c>
      <c r="S642" s="4">
        <f t="shared" si="38"/>
        <v>42690</v>
      </c>
      <c r="T642" s="4">
        <f t="shared" si="36"/>
        <v>42690</v>
      </c>
      <c r="U642" s="4">
        <v>42690</v>
      </c>
    </row>
    <row r="643" spans="1:21" x14ac:dyDescent="0.3">
      <c r="A643" t="s">
        <v>1105</v>
      </c>
      <c r="B643" s="1" t="s">
        <v>324</v>
      </c>
      <c r="C643" s="1" t="s">
        <v>325</v>
      </c>
      <c r="D643" s="1" t="s">
        <v>13</v>
      </c>
      <c r="E643" s="2" t="s">
        <v>3298</v>
      </c>
      <c r="F643" s="2" t="b">
        <f t="shared" si="39"/>
        <v>0</v>
      </c>
      <c r="G643" s="2">
        <f t="shared" si="37"/>
        <v>42022</v>
      </c>
      <c r="H643" s="1" t="s">
        <v>122</v>
      </c>
      <c r="I643" s="1" t="s">
        <v>922</v>
      </c>
      <c r="J643" s="1">
        <v>50</v>
      </c>
      <c r="K643" s="1">
        <v>50</v>
      </c>
      <c r="L643" s="3">
        <v>0</v>
      </c>
      <c r="N643" t="s">
        <v>3298</v>
      </c>
      <c r="P643">
        <v>1</v>
      </c>
      <c r="Q643">
        <v>18</v>
      </c>
      <c r="R643">
        <v>2015</v>
      </c>
      <c r="S643" s="4">
        <f t="shared" si="38"/>
        <v>42022</v>
      </c>
      <c r="T643" s="4">
        <f t="shared" ref="T643:T706" si="40">IF(AND(P643&lt;&gt;"",Q643&lt;&gt;"",R643&lt;&gt;""),IFERROR(DATE(R643,P643,Q643),""),"")</f>
        <v>42022</v>
      </c>
      <c r="U643" s="4">
        <v>42022</v>
      </c>
    </row>
    <row r="644" spans="1:21" x14ac:dyDescent="0.3">
      <c r="A644" t="s">
        <v>1106</v>
      </c>
      <c r="B644" s="1" t="s">
        <v>224</v>
      </c>
      <c r="C644" s="1" t="s">
        <v>50</v>
      </c>
      <c r="D644" s="1" t="s">
        <v>24</v>
      </c>
      <c r="E644" s="2" t="s">
        <v>3299</v>
      </c>
      <c r="F644" s="2" t="b">
        <f t="shared" si="39"/>
        <v>0</v>
      </c>
      <c r="G644" s="2">
        <f t="shared" ref="G644:G707" si="41">IF(F644=TRUE,E644,U644)</f>
        <v>42301</v>
      </c>
      <c r="H644" s="1" t="s">
        <v>25</v>
      </c>
      <c r="I644" s="1" t="s">
        <v>774</v>
      </c>
      <c r="J644" s="1">
        <v>700</v>
      </c>
      <c r="K644" s="1">
        <v>651</v>
      </c>
      <c r="L644" s="3">
        <v>7.0000000000000007E-2</v>
      </c>
      <c r="N644" t="s">
        <v>3299</v>
      </c>
      <c r="P644">
        <v>10</v>
      </c>
      <c r="Q644">
        <v>24</v>
      </c>
      <c r="R644">
        <v>2015</v>
      </c>
      <c r="S644" s="4">
        <f t="shared" ref="S644:S707" si="42">DATE(R644,P644,Q644)</f>
        <v>42301</v>
      </c>
      <c r="T644" s="4">
        <f t="shared" si="40"/>
        <v>42301</v>
      </c>
      <c r="U644" s="4">
        <v>42301</v>
      </c>
    </row>
    <row r="645" spans="1:21" x14ac:dyDescent="0.3">
      <c r="A645" t="s">
        <v>1107</v>
      </c>
      <c r="B645" s="1" t="s">
        <v>28</v>
      </c>
      <c r="C645" s="1" t="s">
        <v>29</v>
      </c>
      <c r="D645" s="1" t="s">
        <v>13</v>
      </c>
      <c r="E645" s="2" t="s">
        <v>3300</v>
      </c>
      <c r="F645" s="2" t="b">
        <f t="shared" ref="F645:F708" si="43">ISNUMBER(E645)</f>
        <v>0</v>
      </c>
      <c r="G645" s="2">
        <f t="shared" si="41"/>
        <v>41989</v>
      </c>
      <c r="H645" s="1" t="s">
        <v>46</v>
      </c>
      <c r="I645" s="1" t="s">
        <v>1108</v>
      </c>
      <c r="J645" s="1">
        <v>500</v>
      </c>
      <c r="K645" s="1">
        <v>465</v>
      </c>
      <c r="L645" s="3">
        <v>7.0000000000000007E-2</v>
      </c>
      <c r="N645" t="s">
        <v>3300</v>
      </c>
      <c r="P645">
        <v>12</v>
      </c>
      <c r="Q645">
        <v>16</v>
      </c>
      <c r="R645">
        <v>2014</v>
      </c>
      <c r="S645" s="4">
        <f t="shared" si="42"/>
        <v>41989</v>
      </c>
      <c r="T645" s="4">
        <f t="shared" si="40"/>
        <v>41989</v>
      </c>
      <c r="U645" s="4">
        <v>41989</v>
      </c>
    </row>
    <row r="646" spans="1:21" x14ac:dyDescent="0.3">
      <c r="A646" t="s">
        <v>1109</v>
      </c>
      <c r="B646" s="1" t="s">
        <v>118</v>
      </c>
      <c r="C646" s="1" t="s">
        <v>119</v>
      </c>
      <c r="D646" s="1" t="s">
        <v>35</v>
      </c>
      <c r="E646" s="2">
        <v>42856</v>
      </c>
      <c r="F646" s="2" t="b">
        <f t="shared" si="43"/>
        <v>1</v>
      </c>
      <c r="G646" s="2">
        <f t="shared" si="41"/>
        <v>42856</v>
      </c>
      <c r="H646" s="1" t="s">
        <v>122</v>
      </c>
      <c r="I646" s="1" t="s">
        <v>1110</v>
      </c>
      <c r="J646" s="1">
        <v>50</v>
      </c>
      <c r="K646" s="1">
        <v>48</v>
      </c>
      <c r="L646" s="3">
        <v>0.04</v>
      </c>
      <c r="N646" t="s">
        <v>3763</v>
      </c>
      <c r="S646" s="4" t="e">
        <f t="shared" si="42"/>
        <v>#NUM!</v>
      </c>
      <c r="T646" s="4" t="str">
        <f t="shared" si="40"/>
        <v/>
      </c>
      <c r="U646" s="4" t="s">
        <v>3763</v>
      </c>
    </row>
    <row r="647" spans="1:21" x14ac:dyDescent="0.3">
      <c r="A647" t="s">
        <v>1111</v>
      </c>
      <c r="B647" s="1" t="s">
        <v>131</v>
      </c>
      <c r="C647" s="1" t="s">
        <v>108</v>
      </c>
      <c r="D647" s="1" t="s">
        <v>19</v>
      </c>
      <c r="E647" s="2" t="s">
        <v>3301</v>
      </c>
      <c r="F647" s="2" t="b">
        <f t="shared" si="43"/>
        <v>0</v>
      </c>
      <c r="G647" s="2">
        <f t="shared" si="41"/>
        <v>42352</v>
      </c>
      <c r="H647" s="1" t="s">
        <v>30</v>
      </c>
      <c r="I647" s="1" t="s">
        <v>382</v>
      </c>
      <c r="J647" s="1">
        <v>150</v>
      </c>
      <c r="K647" s="1">
        <v>144</v>
      </c>
      <c r="L647" s="3">
        <v>0.04</v>
      </c>
      <c r="N647" t="s">
        <v>3301</v>
      </c>
      <c r="P647">
        <v>12</v>
      </c>
      <c r="Q647">
        <v>14</v>
      </c>
      <c r="R647">
        <v>2015</v>
      </c>
      <c r="S647" s="4">
        <f t="shared" si="42"/>
        <v>42352</v>
      </c>
      <c r="T647" s="4">
        <f t="shared" si="40"/>
        <v>42352</v>
      </c>
      <c r="U647" s="4">
        <v>42352</v>
      </c>
    </row>
    <row r="648" spans="1:21" x14ac:dyDescent="0.3">
      <c r="A648" t="s">
        <v>1112</v>
      </c>
      <c r="B648" s="1" t="s">
        <v>111</v>
      </c>
      <c r="C648" s="1" t="s">
        <v>82</v>
      </c>
      <c r="D648" s="1" t="s">
        <v>13</v>
      </c>
      <c r="E648" s="2" t="s">
        <v>3302</v>
      </c>
      <c r="F648" s="2" t="b">
        <f t="shared" si="43"/>
        <v>0</v>
      </c>
      <c r="G648" s="2">
        <f t="shared" si="41"/>
        <v>42929</v>
      </c>
      <c r="H648" s="1" t="s">
        <v>36</v>
      </c>
      <c r="I648" s="1" t="s">
        <v>826</v>
      </c>
      <c r="J648" s="1">
        <v>50</v>
      </c>
      <c r="K648" s="1">
        <v>46</v>
      </c>
      <c r="L648" s="3">
        <v>0.08</v>
      </c>
      <c r="N648" t="s">
        <v>3302</v>
      </c>
      <c r="P648">
        <v>7</v>
      </c>
      <c r="Q648">
        <v>13</v>
      </c>
      <c r="R648">
        <v>2017</v>
      </c>
      <c r="S648" s="4">
        <f t="shared" si="42"/>
        <v>42929</v>
      </c>
      <c r="T648" s="4">
        <f t="shared" si="40"/>
        <v>42929</v>
      </c>
      <c r="U648" s="4">
        <v>42929</v>
      </c>
    </row>
    <row r="649" spans="1:21" x14ac:dyDescent="0.3">
      <c r="A649" t="s">
        <v>1113</v>
      </c>
      <c r="B649" s="1" t="s">
        <v>146</v>
      </c>
      <c r="C649" s="1" t="s">
        <v>147</v>
      </c>
      <c r="D649" s="1" t="s">
        <v>13</v>
      </c>
      <c r="E649" s="2">
        <v>42193</v>
      </c>
      <c r="F649" s="2" t="b">
        <f t="shared" si="43"/>
        <v>1</v>
      </c>
      <c r="G649" s="2">
        <f t="shared" si="41"/>
        <v>42193</v>
      </c>
      <c r="H649" s="1" t="s">
        <v>14</v>
      </c>
      <c r="I649" s="1" t="s">
        <v>148</v>
      </c>
      <c r="J649" s="1">
        <v>80</v>
      </c>
      <c r="K649" s="1">
        <v>70</v>
      </c>
      <c r="L649" s="3">
        <v>0.125</v>
      </c>
      <c r="N649" t="s">
        <v>3763</v>
      </c>
      <c r="S649" s="4" t="e">
        <f t="shared" si="42"/>
        <v>#NUM!</v>
      </c>
      <c r="T649" s="4" t="str">
        <f t="shared" si="40"/>
        <v/>
      </c>
      <c r="U649" s="4" t="s">
        <v>3763</v>
      </c>
    </row>
    <row r="650" spans="1:21" x14ac:dyDescent="0.3">
      <c r="A650" t="s">
        <v>1114</v>
      </c>
      <c r="B650" s="1" t="s">
        <v>157</v>
      </c>
      <c r="C650" s="1" t="s">
        <v>108</v>
      </c>
      <c r="D650" s="1" t="s">
        <v>19</v>
      </c>
      <c r="E650" s="2" t="s">
        <v>3303</v>
      </c>
      <c r="F650" s="2" t="b">
        <f t="shared" si="43"/>
        <v>0</v>
      </c>
      <c r="G650" s="2">
        <f t="shared" si="41"/>
        <v>43399</v>
      </c>
      <c r="H650" s="1" t="s">
        <v>55</v>
      </c>
      <c r="I650" s="1" t="s">
        <v>158</v>
      </c>
      <c r="J650" s="1">
        <v>800</v>
      </c>
      <c r="K650" s="1">
        <v>776</v>
      </c>
      <c r="L650" s="3">
        <v>0.03</v>
      </c>
      <c r="N650" t="s">
        <v>3303</v>
      </c>
      <c r="P650">
        <v>10</v>
      </c>
      <c r="Q650">
        <v>26</v>
      </c>
      <c r="R650">
        <v>2018</v>
      </c>
      <c r="S650" s="4">
        <f t="shared" si="42"/>
        <v>43399</v>
      </c>
      <c r="T650" s="4">
        <f t="shared" si="40"/>
        <v>43399</v>
      </c>
      <c r="U650" s="4">
        <v>43399</v>
      </c>
    </row>
    <row r="651" spans="1:21" x14ac:dyDescent="0.3">
      <c r="A651" t="s">
        <v>1115</v>
      </c>
      <c r="B651" s="1" t="s">
        <v>205</v>
      </c>
      <c r="C651" s="1" t="s">
        <v>206</v>
      </c>
      <c r="D651" s="1" t="s">
        <v>24</v>
      </c>
      <c r="E651" s="2" t="s">
        <v>3304</v>
      </c>
      <c r="F651" s="2" t="b">
        <f t="shared" si="43"/>
        <v>0</v>
      </c>
      <c r="G651" s="2">
        <f t="shared" si="41"/>
        <v>42610</v>
      </c>
      <c r="H651" s="1" t="s">
        <v>122</v>
      </c>
      <c r="I651" s="1" t="s">
        <v>251</v>
      </c>
      <c r="J651" s="1">
        <v>50</v>
      </c>
      <c r="K651" s="1">
        <v>47</v>
      </c>
      <c r="L651" s="3">
        <v>0.06</v>
      </c>
      <c r="N651" t="s">
        <v>3304</v>
      </c>
      <c r="P651">
        <v>8</v>
      </c>
      <c r="Q651">
        <v>28</v>
      </c>
      <c r="R651">
        <v>2016</v>
      </c>
      <c r="S651" s="4">
        <f t="shared" si="42"/>
        <v>42610</v>
      </c>
      <c r="T651" s="4">
        <f t="shared" si="40"/>
        <v>42610</v>
      </c>
      <c r="U651" s="4">
        <v>42610</v>
      </c>
    </row>
    <row r="652" spans="1:21" x14ac:dyDescent="0.3">
      <c r="A652" t="s">
        <v>1116</v>
      </c>
      <c r="B652" s="1" t="s">
        <v>70</v>
      </c>
      <c r="C652" s="1" t="s">
        <v>71</v>
      </c>
      <c r="D652" s="1" t="s">
        <v>35</v>
      </c>
      <c r="E652" s="2">
        <v>41800</v>
      </c>
      <c r="F652" s="2" t="b">
        <f t="shared" si="43"/>
        <v>1</v>
      </c>
      <c r="G652" s="2">
        <f t="shared" si="41"/>
        <v>41800</v>
      </c>
      <c r="H652" s="1" t="s">
        <v>122</v>
      </c>
      <c r="I652" s="1" t="s">
        <v>670</v>
      </c>
      <c r="J652" s="1">
        <v>50</v>
      </c>
      <c r="K652" s="1">
        <v>50</v>
      </c>
      <c r="L652" s="3">
        <v>0</v>
      </c>
      <c r="N652" t="s">
        <v>3763</v>
      </c>
      <c r="S652" s="4" t="e">
        <f t="shared" si="42"/>
        <v>#NUM!</v>
      </c>
      <c r="T652" s="4" t="str">
        <f t="shared" si="40"/>
        <v/>
      </c>
      <c r="U652" s="4" t="s">
        <v>3763</v>
      </c>
    </row>
    <row r="653" spans="1:21" x14ac:dyDescent="0.3">
      <c r="A653" t="s">
        <v>1117</v>
      </c>
      <c r="B653" s="1" t="s">
        <v>59</v>
      </c>
      <c r="C653" s="1" t="s">
        <v>60</v>
      </c>
      <c r="D653" s="1" t="s">
        <v>13</v>
      </c>
      <c r="E653" s="2" t="s">
        <v>3019</v>
      </c>
      <c r="F653" s="2" t="b">
        <f t="shared" si="43"/>
        <v>0</v>
      </c>
      <c r="G653" s="2">
        <f t="shared" si="41"/>
        <v>41963</v>
      </c>
      <c r="H653" s="1" t="s">
        <v>122</v>
      </c>
      <c r="I653" s="1" t="s">
        <v>697</v>
      </c>
      <c r="J653" s="1">
        <v>50</v>
      </c>
      <c r="K653" s="1">
        <v>48</v>
      </c>
      <c r="L653" s="3">
        <v>0.04</v>
      </c>
      <c r="N653" t="s">
        <v>3019</v>
      </c>
      <c r="P653">
        <v>11</v>
      </c>
      <c r="Q653">
        <v>20</v>
      </c>
      <c r="R653">
        <v>2014</v>
      </c>
      <c r="S653" s="4">
        <f t="shared" si="42"/>
        <v>41963</v>
      </c>
      <c r="T653" s="4">
        <f t="shared" si="40"/>
        <v>41963</v>
      </c>
      <c r="U653" s="4">
        <v>41963</v>
      </c>
    </row>
    <row r="654" spans="1:21" x14ac:dyDescent="0.3">
      <c r="A654" t="s">
        <v>1118</v>
      </c>
      <c r="B654" s="1" t="s">
        <v>33</v>
      </c>
      <c r="C654" s="1" t="s">
        <v>34</v>
      </c>
      <c r="D654" s="1" t="s">
        <v>35</v>
      </c>
      <c r="E654" s="2">
        <v>41763</v>
      </c>
      <c r="F654" s="2" t="b">
        <f t="shared" si="43"/>
        <v>1</v>
      </c>
      <c r="G654" s="2">
        <f t="shared" si="41"/>
        <v>41763</v>
      </c>
      <c r="H654" s="1" t="s">
        <v>36</v>
      </c>
      <c r="I654" s="1" t="s">
        <v>197</v>
      </c>
      <c r="J654" s="1">
        <v>50</v>
      </c>
      <c r="K654" s="1">
        <v>39</v>
      </c>
      <c r="L654" s="3">
        <v>0.22</v>
      </c>
      <c r="N654" t="s">
        <v>3763</v>
      </c>
      <c r="S654" s="4" t="e">
        <f t="shared" si="42"/>
        <v>#NUM!</v>
      </c>
      <c r="T654" s="4" t="str">
        <f t="shared" si="40"/>
        <v/>
      </c>
      <c r="U654" s="4" t="s">
        <v>3763</v>
      </c>
    </row>
    <row r="655" spans="1:21" x14ac:dyDescent="0.3">
      <c r="A655" t="s">
        <v>1119</v>
      </c>
      <c r="B655" s="1" t="s">
        <v>77</v>
      </c>
      <c r="C655" s="1" t="s">
        <v>78</v>
      </c>
      <c r="D655" s="1" t="s">
        <v>35</v>
      </c>
      <c r="E655" s="2">
        <v>43192</v>
      </c>
      <c r="F655" s="2" t="b">
        <f t="shared" si="43"/>
        <v>1</v>
      </c>
      <c r="G655" s="2">
        <f t="shared" si="41"/>
        <v>43192</v>
      </c>
      <c r="H655" s="1" t="s">
        <v>72</v>
      </c>
      <c r="I655" s="1" t="s">
        <v>162</v>
      </c>
      <c r="J655" s="1">
        <v>500</v>
      </c>
      <c r="K655" s="1">
        <v>500</v>
      </c>
      <c r="L655" s="3">
        <v>0</v>
      </c>
      <c r="N655" t="s">
        <v>3763</v>
      </c>
      <c r="S655" s="4" t="e">
        <f t="shared" si="42"/>
        <v>#NUM!</v>
      </c>
      <c r="T655" s="4" t="str">
        <f t="shared" si="40"/>
        <v/>
      </c>
      <c r="U655" s="4" t="s">
        <v>3763</v>
      </c>
    </row>
    <row r="656" spans="1:21" x14ac:dyDescent="0.3">
      <c r="A656" t="s">
        <v>1120</v>
      </c>
      <c r="B656" s="1" t="s">
        <v>131</v>
      </c>
      <c r="C656" s="1" t="s">
        <v>108</v>
      </c>
      <c r="D656" s="1" t="s">
        <v>19</v>
      </c>
      <c r="E656" s="2">
        <v>42890</v>
      </c>
      <c r="F656" s="2" t="b">
        <f t="shared" si="43"/>
        <v>1</v>
      </c>
      <c r="G656" s="2">
        <f t="shared" si="41"/>
        <v>42890</v>
      </c>
      <c r="H656" s="1" t="s">
        <v>104</v>
      </c>
      <c r="I656" s="1" t="s">
        <v>793</v>
      </c>
      <c r="J656" s="1">
        <v>70</v>
      </c>
      <c r="K656" s="1">
        <v>64</v>
      </c>
      <c r="L656" s="3">
        <v>8.5699999999999998E-2</v>
      </c>
      <c r="N656" t="s">
        <v>3763</v>
      </c>
      <c r="S656" s="4" t="e">
        <f t="shared" si="42"/>
        <v>#NUM!</v>
      </c>
      <c r="T656" s="4" t="str">
        <f t="shared" si="40"/>
        <v/>
      </c>
      <c r="U656" s="4" t="s">
        <v>3763</v>
      </c>
    </row>
    <row r="657" spans="1:21" x14ac:dyDescent="0.3">
      <c r="A657" t="s">
        <v>1121</v>
      </c>
      <c r="B657" s="1" t="s">
        <v>127</v>
      </c>
      <c r="C657" s="1" t="s">
        <v>128</v>
      </c>
      <c r="D657" s="1" t="s">
        <v>13</v>
      </c>
      <c r="E657" s="2" t="s">
        <v>3052</v>
      </c>
      <c r="F657" s="2" t="b">
        <f t="shared" si="43"/>
        <v>0</v>
      </c>
      <c r="G657" s="2">
        <f t="shared" si="41"/>
        <v>43343</v>
      </c>
      <c r="H657" s="1" t="s">
        <v>72</v>
      </c>
      <c r="I657" s="1" t="s">
        <v>526</v>
      </c>
      <c r="J657" s="1">
        <v>500</v>
      </c>
      <c r="K657" s="1">
        <v>495</v>
      </c>
      <c r="L657" s="3">
        <v>0.01</v>
      </c>
      <c r="N657" t="s">
        <v>3052</v>
      </c>
      <c r="P657">
        <v>8</v>
      </c>
      <c r="Q657">
        <v>31</v>
      </c>
      <c r="R657">
        <v>2018</v>
      </c>
      <c r="S657" s="4">
        <f t="shared" si="42"/>
        <v>43343</v>
      </c>
      <c r="T657" s="4">
        <f t="shared" si="40"/>
        <v>43343</v>
      </c>
      <c r="U657" s="4">
        <v>43343</v>
      </c>
    </row>
    <row r="658" spans="1:21" x14ac:dyDescent="0.3">
      <c r="A658" t="s">
        <v>1122</v>
      </c>
      <c r="B658" s="1" t="s">
        <v>49</v>
      </c>
      <c r="C658" s="1" t="s">
        <v>50</v>
      </c>
      <c r="D658" s="1" t="s">
        <v>24</v>
      </c>
      <c r="E658" s="2">
        <v>42469</v>
      </c>
      <c r="F658" s="2" t="b">
        <f t="shared" si="43"/>
        <v>1</v>
      </c>
      <c r="G658" s="2">
        <f t="shared" si="41"/>
        <v>42469</v>
      </c>
      <c r="H658" s="1" t="s">
        <v>14</v>
      </c>
      <c r="I658" s="1" t="s">
        <v>1000</v>
      </c>
      <c r="J658" s="1">
        <v>80</v>
      </c>
      <c r="K658" s="1">
        <v>70</v>
      </c>
      <c r="L658" s="3">
        <v>0.125</v>
      </c>
      <c r="N658" t="s">
        <v>3763</v>
      </c>
      <c r="S658" s="4" t="e">
        <f t="shared" si="42"/>
        <v>#NUM!</v>
      </c>
      <c r="T658" s="4" t="str">
        <f t="shared" si="40"/>
        <v/>
      </c>
      <c r="U658" s="4" t="s">
        <v>3763</v>
      </c>
    </row>
    <row r="659" spans="1:21" x14ac:dyDescent="0.3">
      <c r="A659" t="s">
        <v>1123</v>
      </c>
      <c r="B659" s="1" t="s">
        <v>28</v>
      </c>
      <c r="C659" s="1" t="s">
        <v>29</v>
      </c>
      <c r="D659" s="1" t="s">
        <v>13</v>
      </c>
      <c r="E659" s="2">
        <v>41975</v>
      </c>
      <c r="F659" s="2" t="b">
        <f t="shared" si="43"/>
        <v>1</v>
      </c>
      <c r="G659" s="2">
        <f t="shared" si="41"/>
        <v>41975</v>
      </c>
      <c r="H659" s="1" t="s">
        <v>41</v>
      </c>
      <c r="I659" s="1" t="s">
        <v>1124</v>
      </c>
      <c r="J659" s="1">
        <v>30</v>
      </c>
      <c r="K659" s="1">
        <v>29</v>
      </c>
      <c r="L659" s="3">
        <v>3.3300000000000003E-2</v>
      </c>
      <c r="N659" t="s">
        <v>3763</v>
      </c>
      <c r="S659" s="4" t="e">
        <f t="shared" si="42"/>
        <v>#NUM!</v>
      </c>
      <c r="T659" s="4" t="str">
        <f t="shared" si="40"/>
        <v/>
      </c>
      <c r="U659" s="4" t="s">
        <v>3763</v>
      </c>
    </row>
    <row r="660" spans="1:21" x14ac:dyDescent="0.3">
      <c r="A660" t="s">
        <v>1125</v>
      </c>
      <c r="B660" s="1" t="s">
        <v>434</v>
      </c>
      <c r="C660" s="1" t="s">
        <v>435</v>
      </c>
      <c r="D660" s="1" t="s">
        <v>24</v>
      </c>
      <c r="E660" s="2">
        <v>42925</v>
      </c>
      <c r="F660" s="2" t="b">
        <f t="shared" si="43"/>
        <v>1</v>
      </c>
      <c r="G660" s="2">
        <f t="shared" si="41"/>
        <v>42925</v>
      </c>
      <c r="H660" s="1" t="s">
        <v>55</v>
      </c>
      <c r="I660" s="1" t="s">
        <v>858</v>
      </c>
      <c r="J660" s="1">
        <v>800</v>
      </c>
      <c r="K660" s="1">
        <v>680</v>
      </c>
      <c r="L660" s="3">
        <v>0.15</v>
      </c>
      <c r="N660" t="s">
        <v>3763</v>
      </c>
      <c r="S660" s="4" t="e">
        <f t="shared" si="42"/>
        <v>#NUM!</v>
      </c>
      <c r="T660" s="4" t="str">
        <f t="shared" si="40"/>
        <v/>
      </c>
      <c r="U660" s="4" t="s">
        <v>3763</v>
      </c>
    </row>
    <row r="661" spans="1:21" x14ac:dyDescent="0.3">
      <c r="A661" t="s">
        <v>1126</v>
      </c>
      <c r="B661" s="1" t="s">
        <v>134</v>
      </c>
      <c r="C661" s="1" t="s">
        <v>92</v>
      </c>
      <c r="D661" s="1" t="s">
        <v>35</v>
      </c>
      <c r="E661" s="2">
        <v>42468</v>
      </c>
      <c r="F661" s="2" t="b">
        <f t="shared" si="43"/>
        <v>1</v>
      </c>
      <c r="G661" s="2">
        <f t="shared" si="41"/>
        <v>42468</v>
      </c>
      <c r="H661" s="1" t="s">
        <v>36</v>
      </c>
      <c r="I661" s="1" t="s">
        <v>1127</v>
      </c>
      <c r="J661" s="1">
        <v>50</v>
      </c>
      <c r="K661" s="1">
        <v>49</v>
      </c>
      <c r="L661" s="3">
        <v>0.02</v>
      </c>
      <c r="N661" t="s">
        <v>3763</v>
      </c>
      <c r="S661" s="4" t="e">
        <f t="shared" si="42"/>
        <v>#NUM!</v>
      </c>
      <c r="T661" s="4" t="str">
        <f t="shared" si="40"/>
        <v/>
      </c>
      <c r="U661" s="4" t="s">
        <v>3763</v>
      </c>
    </row>
    <row r="662" spans="1:21" x14ac:dyDescent="0.3">
      <c r="A662" t="s">
        <v>1128</v>
      </c>
      <c r="B662" s="1" t="s">
        <v>289</v>
      </c>
      <c r="C662" s="1" t="s">
        <v>108</v>
      </c>
      <c r="D662" s="1" t="s">
        <v>19</v>
      </c>
      <c r="E662" s="2">
        <v>43405</v>
      </c>
      <c r="F662" s="2" t="b">
        <f t="shared" si="43"/>
        <v>1</v>
      </c>
      <c r="G662" s="2">
        <f t="shared" si="41"/>
        <v>43405</v>
      </c>
      <c r="H662" s="1" t="s">
        <v>72</v>
      </c>
      <c r="I662" s="1" t="s">
        <v>1129</v>
      </c>
      <c r="J662" s="1">
        <v>500</v>
      </c>
      <c r="K662" s="1">
        <v>495</v>
      </c>
      <c r="L662" s="3">
        <v>0.01</v>
      </c>
      <c r="N662" t="s">
        <v>3763</v>
      </c>
      <c r="S662" s="4" t="e">
        <f t="shared" si="42"/>
        <v>#NUM!</v>
      </c>
      <c r="T662" s="4" t="str">
        <f t="shared" si="40"/>
        <v/>
      </c>
      <c r="U662" s="4" t="s">
        <v>3763</v>
      </c>
    </row>
    <row r="663" spans="1:21" x14ac:dyDescent="0.3">
      <c r="A663" t="s">
        <v>1130</v>
      </c>
      <c r="B663" s="1" t="s">
        <v>33</v>
      </c>
      <c r="C663" s="1" t="s">
        <v>34</v>
      </c>
      <c r="D663" s="1" t="s">
        <v>35</v>
      </c>
      <c r="E663" s="2" t="s">
        <v>3305</v>
      </c>
      <c r="F663" s="2" t="b">
        <f t="shared" si="43"/>
        <v>0</v>
      </c>
      <c r="G663" s="2">
        <f t="shared" si="41"/>
        <v>42656</v>
      </c>
      <c r="H663" s="1" t="s">
        <v>61</v>
      </c>
      <c r="I663" s="1" t="s">
        <v>1131</v>
      </c>
      <c r="J663" s="1">
        <v>1000</v>
      </c>
      <c r="K663" s="1">
        <v>510</v>
      </c>
      <c r="L663" s="3">
        <v>0.49</v>
      </c>
      <c r="N663" t="s">
        <v>3305</v>
      </c>
      <c r="P663">
        <v>10</v>
      </c>
      <c r="Q663">
        <v>13</v>
      </c>
      <c r="R663">
        <v>2016</v>
      </c>
      <c r="S663" s="4">
        <f t="shared" si="42"/>
        <v>42656</v>
      </c>
      <c r="T663" s="4">
        <f t="shared" si="40"/>
        <v>42656</v>
      </c>
      <c r="U663" s="4">
        <v>42656</v>
      </c>
    </row>
    <row r="664" spans="1:21" x14ac:dyDescent="0.3">
      <c r="A664" t="s">
        <v>1132</v>
      </c>
      <c r="B664" s="1" t="s">
        <v>49</v>
      </c>
      <c r="C664" s="1" t="s">
        <v>50</v>
      </c>
      <c r="D664" s="1" t="s">
        <v>24</v>
      </c>
      <c r="E664" s="2" t="s">
        <v>3131</v>
      </c>
      <c r="F664" s="2" t="b">
        <f t="shared" si="43"/>
        <v>0</v>
      </c>
      <c r="G664" s="2">
        <f t="shared" si="41"/>
        <v>41902</v>
      </c>
      <c r="H664" s="1" t="s">
        <v>72</v>
      </c>
      <c r="I664" s="1" t="s">
        <v>398</v>
      </c>
      <c r="J664" s="1">
        <v>500</v>
      </c>
      <c r="K664" s="1">
        <v>495</v>
      </c>
      <c r="L664" s="3">
        <v>0.01</v>
      </c>
      <c r="N664" t="s">
        <v>3131</v>
      </c>
      <c r="P664">
        <v>9</v>
      </c>
      <c r="Q664">
        <v>20</v>
      </c>
      <c r="R664">
        <v>2014</v>
      </c>
      <c r="S664" s="4">
        <f t="shared" si="42"/>
        <v>41902</v>
      </c>
      <c r="T664" s="4">
        <f t="shared" si="40"/>
        <v>41902</v>
      </c>
      <c r="U664" s="4">
        <v>41902</v>
      </c>
    </row>
    <row r="665" spans="1:21" x14ac:dyDescent="0.3">
      <c r="A665" t="s">
        <v>1133</v>
      </c>
      <c r="B665" s="1" t="s">
        <v>227</v>
      </c>
      <c r="C665" s="1" t="s">
        <v>228</v>
      </c>
      <c r="D665" s="1" t="s">
        <v>24</v>
      </c>
      <c r="E665" s="2" t="s">
        <v>3288</v>
      </c>
      <c r="F665" s="2" t="b">
        <f t="shared" si="43"/>
        <v>0</v>
      </c>
      <c r="G665" s="2">
        <f t="shared" si="41"/>
        <v>41934</v>
      </c>
      <c r="H665" s="1" t="s">
        <v>41</v>
      </c>
      <c r="I665" s="1" t="s">
        <v>870</v>
      </c>
      <c r="J665" s="1">
        <v>30</v>
      </c>
      <c r="K665" s="1">
        <v>26</v>
      </c>
      <c r="L665" s="3">
        <v>0.1333</v>
      </c>
      <c r="N665" t="s">
        <v>3288</v>
      </c>
      <c r="P665">
        <v>10</v>
      </c>
      <c r="Q665">
        <v>22</v>
      </c>
      <c r="R665">
        <v>2014</v>
      </c>
      <c r="S665" s="4">
        <f t="shared" si="42"/>
        <v>41934</v>
      </c>
      <c r="T665" s="4">
        <f t="shared" si="40"/>
        <v>41934</v>
      </c>
      <c r="U665" s="4">
        <v>41934</v>
      </c>
    </row>
    <row r="666" spans="1:21" x14ac:dyDescent="0.3">
      <c r="A666" t="s">
        <v>1134</v>
      </c>
      <c r="B666" s="1" t="s">
        <v>134</v>
      </c>
      <c r="C666" s="1" t="s">
        <v>92</v>
      </c>
      <c r="D666" s="1" t="s">
        <v>35</v>
      </c>
      <c r="E666" s="2">
        <v>42135</v>
      </c>
      <c r="F666" s="2" t="b">
        <f t="shared" si="43"/>
        <v>1</v>
      </c>
      <c r="G666" s="2">
        <f t="shared" si="41"/>
        <v>42135</v>
      </c>
      <c r="H666" s="1" t="s">
        <v>55</v>
      </c>
      <c r="I666" s="1" t="s">
        <v>1135</v>
      </c>
      <c r="J666" s="1">
        <v>800</v>
      </c>
      <c r="K666" s="1">
        <v>656</v>
      </c>
      <c r="L666" s="3">
        <v>0.18</v>
      </c>
      <c r="N666" t="s">
        <v>3763</v>
      </c>
      <c r="S666" s="4" t="e">
        <f t="shared" si="42"/>
        <v>#NUM!</v>
      </c>
      <c r="T666" s="4" t="str">
        <f t="shared" si="40"/>
        <v/>
      </c>
      <c r="U666" s="4" t="s">
        <v>3763</v>
      </c>
    </row>
    <row r="667" spans="1:21" x14ac:dyDescent="0.3">
      <c r="A667" t="s">
        <v>1136</v>
      </c>
      <c r="B667" s="1" t="s">
        <v>114</v>
      </c>
      <c r="C667" s="1" t="s">
        <v>54</v>
      </c>
      <c r="D667" s="1" t="s">
        <v>13</v>
      </c>
      <c r="E667" s="2">
        <v>41883</v>
      </c>
      <c r="F667" s="2" t="b">
        <f t="shared" si="43"/>
        <v>1</v>
      </c>
      <c r="G667" s="2">
        <f t="shared" si="41"/>
        <v>41883</v>
      </c>
      <c r="H667" s="1" t="s">
        <v>30</v>
      </c>
      <c r="I667" s="1" t="s">
        <v>885</v>
      </c>
      <c r="J667" s="1">
        <v>150</v>
      </c>
      <c r="K667" s="1">
        <v>141</v>
      </c>
      <c r="L667" s="3">
        <v>0.06</v>
      </c>
      <c r="N667" t="s">
        <v>3763</v>
      </c>
      <c r="S667" s="4" t="e">
        <f t="shared" si="42"/>
        <v>#NUM!</v>
      </c>
      <c r="T667" s="4" t="str">
        <f t="shared" si="40"/>
        <v/>
      </c>
      <c r="U667" s="4" t="s">
        <v>3763</v>
      </c>
    </row>
    <row r="668" spans="1:21" x14ac:dyDescent="0.3">
      <c r="A668" t="s">
        <v>1137</v>
      </c>
      <c r="B668" s="1" t="s">
        <v>17</v>
      </c>
      <c r="C668" s="1" t="s">
        <v>18</v>
      </c>
      <c r="D668" s="1" t="s">
        <v>19</v>
      </c>
      <c r="E668" s="2" t="s">
        <v>3306</v>
      </c>
      <c r="F668" s="2" t="b">
        <f t="shared" si="43"/>
        <v>0</v>
      </c>
      <c r="G668" s="2">
        <f t="shared" si="41"/>
        <v>43153</v>
      </c>
      <c r="H668" s="1" t="s">
        <v>14</v>
      </c>
      <c r="I668" s="1" t="s">
        <v>493</v>
      </c>
      <c r="J668" s="1">
        <v>80</v>
      </c>
      <c r="K668" s="1">
        <v>80</v>
      </c>
      <c r="L668" s="3">
        <v>0</v>
      </c>
      <c r="N668" t="s">
        <v>3306</v>
      </c>
      <c r="P668">
        <v>2</v>
      </c>
      <c r="Q668">
        <v>22</v>
      </c>
      <c r="R668">
        <v>2018</v>
      </c>
      <c r="S668" s="4">
        <f t="shared" si="42"/>
        <v>43153</v>
      </c>
      <c r="T668" s="4">
        <f t="shared" si="40"/>
        <v>43153</v>
      </c>
      <c r="U668" s="4">
        <v>43153</v>
      </c>
    </row>
    <row r="669" spans="1:21" x14ac:dyDescent="0.3">
      <c r="A669" t="s">
        <v>1138</v>
      </c>
      <c r="B669" s="1" t="s">
        <v>400</v>
      </c>
      <c r="C669" s="1" t="s">
        <v>401</v>
      </c>
      <c r="D669" s="1" t="s">
        <v>13</v>
      </c>
      <c r="E669" s="2" t="s">
        <v>3128</v>
      </c>
      <c r="F669" s="2" t="b">
        <f t="shared" si="43"/>
        <v>0</v>
      </c>
      <c r="G669" s="2">
        <f t="shared" si="41"/>
        <v>43022</v>
      </c>
      <c r="H669" s="1" t="s">
        <v>55</v>
      </c>
      <c r="I669" s="1" t="s">
        <v>618</v>
      </c>
      <c r="J669" s="1">
        <v>800</v>
      </c>
      <c r="K669" s="1">
        <v>784</v>
      </c>
      <c r="L669" s="3">
        <v>0.02</v>
      </c>
      <c r="N669" t="s">
        <v>3128</v>
      </c>
      <c r="P669">
        <v>10</v>
      </c>
      <c r="Q669">
        <v>14</v>
      </c>
      <c r="R669">
        <v>2017</v>
      </c>
      <c r="S669" s="4">
        <f t="shared" si="42"/>
        <v>43022</v>
      </c>
      <c r="T669" s="4">
        <f t="shared" si="40"/>
        <v>43022</v>
      </c>
      <c r="U669" s="4">
        <v>43022</v>
      </c>
    </row>
    <row r="670" spans="1:21" x14ac:dyDescent="0.3">
      <c r="A670" t="s">
        <v>1139</v>
      </c>
      <c r="B670" s="1" t="s">
        <v>64</v>
      </c>
      <c r="C670" s="1" t="s">
        <v>65</v>
      </c>
      <c r="D670" s="1" t="s">
        <v>35</v>
      </c>
      <c r="E670" s="2" t="s">
        <v>3307</v>
      </c>
      <c r="F670" s="2" t="b">
        <f t="shared" si="43"/>
        <v>0</v>
      </c>
      <c r="G670" s="2">
        <f t="shared" si="41"/>
        <v>43420</v>
      </c>
      <c r="H670" s="1" t="s">
        <v>55</v>
      </c>
      <c r="I670" s="1" t="s">
        <v>1057</v>
      </c>
      <c r="J670" s="1">
        <v>800</v>
      </c>
      <c r="K670" s="1">
        <v>776</v>
      </c>
      <c r="L670" s="3">
        <v>0.03</v>
      </c>
      <c r="N670" t="s">
        <v>3307</v>
      </c>
      <c r="P670">
        <v>11</v>
      </c>
      <c r="Q670">
        <v>16</v>
      </c>
      <c r="R670">
        <v>2018</v>
      </c>
      <c r="S670" s="4">
        <f t="shared" si="42"/>
        <v>43420</v>
      </c>
      <c r="T670" s="4">
        <f t="shared" si="40"/>
        <v>43420</v>
      </c>
      <c r="U670" s="4">
        <v>43420</v>
      </c>
    </row>
    <row r="671" spans="1:21" x14ac:dyDescent="0.3">
      <c r="A671" t="s">
        <v>1140</v>
      </c>
      <c r="B671" s="1" t="s">
        <v>127</v>
      </c>
      <c r="C671" s="1" t="s">
        <v>128</v>
      </c>
      <c r="D671" s="1" t="s">
        <v>13</v>
      </c>
      <c r="E671" s="2" t="s">
        <v>3018</v>
      </c>
      <c r="F671" s="2" t="b">
        <f t="shared" si="43"/>
        <v>0</v>
      </c>
      <c r="G671" s="2">
        <f t="shared" si="41"/>
        <v>42482</v>
      </c>
      <c r="H671" s="1" t="s">
        <v>104</v>
      </c>
      <c r="I671" s="1" t="s">
        <v>920</v>
      </c>
      <c r="J671" s="1">
        <v>70</v>
      </c>
      <c r="K671" s="1">
        <v>69</v>
      </c>
      <c r="L671" s="3">
        <v>1.43E-2</v>
      </c>
      <c r="N671" t="s">
        <v>3018</v>
      </c>
      <c r="P671">
        <v>4</v>
      </c>
      <c r="Q671">
        <v>22</v>
      </c>
      <c r="R671">
        <v>2016</v>
      </c>
      <c r="S671" s="4">
        <f t="shared" si="42"/>
        <v>42482</v>
      </c>
      <c r="T671" s="4">
        <f t="shared" si="40"/>
        <v>42482</v>
      </c>
      <c r="U671" s="4">
        <v>42482</v>
      </c>
    </row>
    <row r="672" spans="1:21" x14ac:dyDescent="0.3">
      <c r="A672" t="s">
        <v>1141</v>
      </c>
      <c r="B672" s="1" t="s">
        <v>434</v>
      </c>
      <c r="C672" s="1" t="s">
        <v>435</v>
      </c>
      <c r="D672" s="1" t="s">
        <v>24</v>
      </c>
      <c r="E672" s="2" t="s">
        <v>3308</v>
      </c>
      <c r="F672" s="2" t="b">
        <f t="shared" si="43"/>
        <v>0</v>
      </c>
      <c r="G672" s="2">
        <f t="shared" si="41"/>
        <v>42053</v>
      </c>
      <c r="H672" s="1" t="s">
        <v>55</v>
      </c>
      <c r="I672" s="1" t="s">
        <v>550</v>
      </c>
      <c r="J672" s="1">
        <v>800</v>
      </c>
      <c r="K672" s="1">
        <v>632</v>
      </c>
      <c r="L672" s="3">
        <v>0.21</v>
      </c>
      <c r="N672" t="s">
        <v>3308</v>
      </c>
      <c r="P672">
        <v>2</v>
      </c>
      <c r="Q672">
        <v>18</v>
      </c>
      <c r="R672">
        <v>2015</v>
      </c>
      <c r="S672" s="4">
        <f t="shared" si="42"/>
        <v>42053</v>
      </c>
      <c r="T672" s="4">
        <f t="shared" si="40"/>
        <v>42053</v>
      </c>
      <c r="U672" s="4">
        <v>42053</v>
      </c>
    </row>
    <row r="673" spans="1:21" x14ac:dyDescent="0.3">
      <c r="A673" t="s">
        <v>1142</v>
      </c>
      <c r="B673" s="1" t="s">
        <v>33</v>
      </c>
      <c r="C673" s="1" t="s">
        <v>34</v>
      </c>
      <c r="D673" s="1" t="s">
        <v>35</v>
      </c>
      <c r="E673" s="2">
        <v>42288</v>
      </c>
      <c r="F673" s="2" t="b">
        <f t="shared" si="43"/>
        <v>1</v>
      </c>
      <c r="G673" s="2">
        <f t="shared" si="41"/>
        <v>42288</v>
      </c>
      <c r="H673" s="1" t="s">
        <v>72</v>
      </c>
      <c r="I673" s="1" t="s">
        <v>1143</v>
      </c>
      <c r="J673" s="1">
        <v>500</v>
      </c>
      <c r="K673" s="1">
        <v>500</v>
      </c>
      <c r="L673" s="3">
        <v>0</v>
      </c>
      <c r="N673" t="s">
        <v>3763</v>
      </c>
      <c r="S673" s="4" t="e">
        <f t="shared" si="42"/>
        <v>#NUM!</v>
      </c>
      <c r="T673" s="4" t="str">
        <f t="shared" si="40"/>
        <v/>
      </c>
      <c r="U673" s="4" t="s">
        <v>3763</v>
      </c>
    </row>
    <row r="674" spans="1:21" x14ac:dyDescent="0.3">
      <c r="A674" t="s">
        <v>1144</v>
      </c>
      <c r="B674" s="1" t="s">
        <v>17</v>
      </c>
      <c r="C674" s="1" t="s">
        <v>18</v>
      </c>
      <c r="D674" s="1" t="s">
        <v>19</v>
      </c>
      <c r="E674" s="2">
        <v>42316</v>
      </c>
      <c r="F674" s="2" t="b">
        <f t="shared" si="43"/>
        <v>1</v>
      </c>
      <c r="G674" s="2">
        <f t="shared" si="41"/>
        <v>42316</v>
      </c>
      <c r="H674" s="1" t="s">
        <v>72</v>
      </c>
      <c r="I674" s="1" t="s">
        <v>776</v>
      </c>
      <c r="J674" s="1">
        <v>500</v>
      </c>
      <c r="K674" s="1">
        <v>490</v>
      </c>
      <c r="L674" s="3">
        <v>0.02</v>
      </c>
      <c r="N674" t="s">
        <v>3763</v>
      </c>
      <c r="S674" s="4" t="e">
        <f t="shared" si="42"/>
        <v>#NUM!</v>
      </c>
      <c r="T674" s="4" t="str">
        <f t="shared" si="40"/>
        <v/>
      </c>
      <c r="U674" s="4" t="s">
        <v>3763</v>
      </c>
    </row>
    <row r="675" spans="1:21" x14ac:dyDescent="0.3">
      <c r="A675" t="s">
        <v>1145</v>
      </c>
      <c r="B675" s="1" t="s">
        <v>44</v>
      </c>
      <c r="C675" s="1" t="s">
        <v>45</v>
      </c>
      <c r="D675" s="1" t="s">
        <v>24</v>
      </c>
      <c r="E675" s="2" t="s">
        <v>3309</v>
      </c>
      <c r="F675" s="2" t="b">
        <f t="shared" si="43"/>
        <v>0</v>
      </c>
      <c r="G675" s="2">
        <f t="shared" si="41"/>
        <v>42965</v>
      </c>
      <c r="H675" s="1" t="s">
        <v>104</v>
      </c>
      <c r="I675" s="1" t="s">
        <v>1146</v>
      </c>
      <c r="J675" s="1">
        <v>70</v>
      </c>
      <c r="K675" s="1">
        <v>64</v>
      </c>
      <c r="L675" s="3">
        <v>8.5699999999999998E-2</v>
      </c>
      <c r="N675" t="s">
        <v>3309</v>
      </c>
      <c r="P675">
        <v>8</v>
      </c>
      <c r="Q675">
        <v>18</v>
      </c>
      <c r="R675">
        <v>2017</v>
      </c>
      <c r="S675" s="4">
        <f t="shared" si="42"/>
        <v>42965</v>
      </c>
      <c r="T675" s="4">
        <f t="shared" si="40"/>
        <v>42965</v>
      </c>
      <c r="U675" s="4">
        <v>42965</v>
      </c>
    </row>
    <row r="676" spans="1:21" x14ac:dyDescent="0.3">
      <c r="A676" t="s">
        <v>1147</v>
      </c>
      <c r="B676" s="1" t="s">
        <v>324</v>
      </c>
      <c r="C676" s="1" t="s">
        <v>325</v>
      </c>
      <c r="D676" s="1" t="s">
        <v>13</v>
      </c>
      <c r="E676" s="2" t="s">
        <v>3213</v>
      </c>
      <c r="F676" s="2" t="b">
        <f t="shared" si="43"/>
        <v>0</v>
      </c>
      <c r="G676" s="2">
        <f t="shared" si="41"/>
        <v>41721</v>
      </c>
      <c r="H676" s="1" t="s">
        <v>122</v>
      </c>
      <c r="I676" s="1" t="s">
        <v>922</v>
      </c>
      <c r="J676" s="1">
        <v>50</v>
      </c>
      <c r="K676" s="1">
        <v>50</v>
      </c>
      <c r="L676" s="3">
        <v>0</v>
      </c>
      <c r="N676" t="s">
        <v>3213</v>
      </c>
      <c r="P676">
        <v>3</v>
      </c>
      <c r="Q676">
        <v>23</v>
      </c>
      <c r="R676">
        <v>2014</v>
      </c>
      <c r="S676" s="4">
        <f t="shared" si="42"/>
        <v>41721</v>
      </c>
      <c r="T676" s="4">
        <f t="shared" si="40"/>
        <v>41721</v>
      </c>
      <c r="U676" s="4">
        <v>41721</v>
      </c>
    </row>
    <row r="677" spans="1:21" x14ac:dyDescent="0.3">
      <c r="A677" t="s">
        <v>1148</v>
      </c>
      <c r="B677" s="1" t="s">
        <v>324</v>
      </c>
      <c r="C677" s="1" t="s">
        <v>325</v>
      </c>
      <c r="D677" s="1" t="s">
        <v>13</v>
      </c>
      <c r="E677" s="2" t="s">
        <v>3310</v>
      </c>
      <c r="F677" s="2" t="b">
        <f t="shared" si="43"/>
        <v>0</v>
      </c>
      <c r="G677" s="2">
        <f t="shared" si="41"/>
        <v>42703</v>
      </c>
      <c r="H677" s="1" t="s">
        <v>36</v>
      </c>
      <c r="I677" s="1" t="s">
        <v>326</v>
      </c>
      <c r="J677" s="1">
        <v>50</v>
      </c>
      <c r="K677" s="1">
        <v>48</v>
      </c>
      <c r="L677" s="3">
        <v>0.04</v>
      </c>
      <c r="N677" t="s">
        <v>3310</v>
      </c>
      <c r="P677">
        <v>11</v>
      </c>
      <c r="Q677">
        <v>29</v>
      </c>
      <c r="R677">
        <v>2016</v>
      </c>
      <c r="S677" s="4">
        <f t="shared" si="42"/>
        <v>42703</v>
      </c>
      <c r="T677" s="4">
        <f t="shared" si="40"/>
        <v>42703</v>
      </c>
      <c r="U677" s="4">
        <v>42703</v>
      </c>
    </row>
    <row r="678" spans="1:21" x14ac:dyDescent="0.3">
      <c r="A678" t="s">
        <v>1149</v>
      </c>
      <c r="B678" s="1" t="s">
        <v>187</v>
      </c>
      <c r="C678" s="1" t="s">
        <v>188</v>
      </c>
      <c r="D678" s="1" t="s">
        <v>13</v>
      </c>
      <c r="E678" s="2" t="s">
        <v>3311</v>
      </c>
      <c r="F678" s="2" t="b">
        <f t="shared" si="43"/>
        <v>0</v>
      </c>
      <c r="G678" s="2">
        <f t="shared" si="41"/>
        <v>43329</v>
      </c>
      <c r="H678" s="1" t="s">
        <v>46</v>
      </c>
      <c r="I678" s="1" t="s">
        <v>1150</v>
      </c>
      <c r="J678" s="1">
        <v>500</v>
      </c>
      <c r="K678" s="1">
        <v>495</v>
      </c>
      <c r="L678" s="3">
        <v>0.01</v>
      </c>
      <c r="N678" t="s">
        <v>3311</v>
      </c>
      <c r="P678">
        <v>8</v>
      </c>
      <c r="Q678">
        <v>17</v>
      </c>
      <c r="R678">
        <v>2018</v>
      </c>
      <c r="S678" s="4">
        <f t="shared" si="42"/>
        <v>43329</v>
      </c>
      <c r="T678" s="4">
        <f t="shared" si="40"/>
        <v>43329</v>
      </c>
      <c r="U678" s="4">
        <v>43329</v>
      </c>
    </row>
    <row r="679" spans="1:21" x14ac:dyDescent="0.3">
      <c r="A679" t="s">
        <v>1151</v>
      </c>
      <c r="B679" s="1" t="s">
        <v>241</v>
      </c>
      <c r="C679" s="1" t="s">
        <v>242</v>
      </c>
      <c r="D679" s="1" t="s">
        <v>13</v>
      </c>
      <c r="E679" s="2">
        <v>42524</v>
      </c>
      <c r="F679" s="2" t="b">
        <f t="shared" si="43"/>
        <v>1</v>
      </c>
      <c r="G679" s="2">
        <f t="shared" si="41"/>
        <v>42524</v>
      </c>
      <c r="H679" s="1" t="s">
        <v>55</v>
      </c>
      <c r="I679" s="1" t="s">
        <v>1152</v>
      </c>
      <c r="J679" s="1">
        <v>800</v>
      </c>
      <c r="K679" s="1">
        <v>760</v>
      </c>
      <c r="L679" s="3">
        <v>0.05</v>
      </c>
      <c r="N679" t="s">
        <v>3763</v>
      </c>
      <c r="S679" s="4" t="e">
        <f t="shared" si="42"/>
        <v>#NUM!</v>
      </c>
      <c r="T679" s="4" t="str">
        <f t="shared" si="40"/>
        <v/>
      </c>
      <c r="U679" s="4" t="s">
        <v>3763</v>
      </c>
    </row>
    <row r="680" spans="1:21" x14ac:dyDescent="0.3">
      <c r="A680" t="s">
        <v>1153</v>
      </c>
      <c r="B680" s="1" t="s">
        <v>154</v>
      </c>
      <c r="C680" s="1" t="s">
        <v>108</v>
      </c>
      <c r="D680" s="1" t="s">
        <v>19</v>
      </c>
      <c r="E680" s="2">
        <v>42827</v>
      </c>
      <c r="F680" s="2" t="b">
        <f t="shared" si="43"/>
        <v>1</v>
      </c>
      <c r="G680" s="2">
        <f t="shared" si="41"/>
        <v>42827</v>
      </c>
      <c r="H680" s="1" t="s">
        <v>104</v>
      </c>
      <c r="I680" s="1" t="s">
        <v>993</v>
      </c>
      <c r="J680" s="1">
        <v>70</v>
      </c>
      <c r="K680" s="1">
        <v>65</v>
      </c>
      <c r="L680" s="3">
        <v>7.1400000000000005E-2</v>
      </c>
      <c r="N680" t="s">
        <v>3763</v>
      </c>
      <c r="S680" s="4" t="e">
        <f t="shared" si="42"/>
        <v>#NUM!</v>
      </c>
      <c r="T680" s="4" t="str">
        <f t="shared" si="40"/>
        <v/>
      </c>
      <c r="U680" s="4" t="s">
        <v>3763</v>
      </c>
    </row>
    <row r="681" spans="1:21" x14ac:dyDescent="0.3">
      <c r="A681" t="s">
        <v>1154</v>
      </c>
      <c r="B681" s="1" t="s">
        <v>91</v>
      </c>
      <c r="C681" s="1" t="s">
        <v>92</v>
      </c>
      <c r="D681" s="1" t="s">
        <v>35</v>
      </c>
      <c r="E681" s="2" t="s">
        <v>3133</v>
      </c>
      <c r="F681" s="2" t="b">
        <f t="shared" si="43"/>
        <v>0</v>
      </c>
      <c r="G681" s="2">
        <f t="shared" si="41"/>
        <v>41970</v>
      </c>
      <c r="H681" s="1" t="s">
        <v>104</v>
      </c>
      <c r="I681" s="1" t="s">
        <v>1155</v>
      </c>
      <c r="J681" s="1">
        <v>70</v>
      </c>
      <c r="K681" s="1">
        <v>67</v>
      </c>
      <c r="L681" s="3">
        <v>4.2900000000000001E-2</v>
      </c>
      <c r="N681" t="s">
        <v>3133</v>
      </c>
      <c r="P681">
        <v>11</v>
      </c>
      <c r="Q681">
        <v>27</v>
      </c>
      <c r="R681">
        <v>2014</v>
      </c>
      <c r="S681" s="4">
        <f t="shared" si="42"/>
        <v>41970</v>
      </c>
      <c r="T681" s="4">
        <f t="shared" si="40"/>
        <v>41970</v>
      </c>
      <c r="U681" s="4">
        <v>41970</v>
      </c>
    </row>
    <row r="682" spans="1:21" x14ac:dyDescent="0.3">
      <c r="A682" t="s">
        <v>1156</v>
      </c>
      <c r="B682" s="1" t="s">
        <v>182</v>
      </c>
      <c r="C682" s="1" t="s">
        <v>108</v>
      </c>
      <c r="D682" s="1" t="s">
        <v>19</v>
      </c>
      <c r="E682" s="2" t="s">
        <v>3236</v>
      </c>
      <c r="F682" s="2" t="b">
        <f t="shared" si="43"/>
        <v>0</v>
      </c>
      <c r="G682" s="2">
        <f t="shared" si="41"/>
        <v>42489</v>
      </c>
      <c r="H682" s="1" t="s">
        <v>72</v>
      </c>
      <c r="I682" s="1" t="s">
        <v>1157</v>
      </c>
      <c r="J682" s="1">
        <v>500</v>
      </c>
      <c r="K682" s="1">
        <v>490</v>
      </c>
      <c r="L682" s="3">
        <v>0.02</v>
      </c>
      <c r="N682" t="s">
        <v>3236</v>
      </c>
      <c r="P682">
        <v>4</v>
      </c>
      <c r="Q682">
        <v>29</v>
      </c>
      <c r="R682">
        <v>2016</v>
      </c>
      <c r="S682" s="4">
        <f t="shared" si="42"/>
        <v>42489</v>
      </c>
      <c r="T682" s="4">
        <f t="shared" si="40"/>
        <v>42489</v>
      </c>
      <c r="U682" s="4">
        <v>42489</v>
      </c>
    </row>
    <row r="683" spans="1:21" x14ac:dyDescent="0.3">
      <c r="A683" t="s">
        <v>1158</v>
      </c>
      <c r="B683" s="1" t="s">
        <v>11</v>
      </c>
      <c r="C683" s="1" t="s">
        <v>12</v>
      </c>
      <c r="D683" s="1" t="s">
        <v>13</v>
      </c>
      <c r="E683" s="2">
        <v>42952</v>
      </c>
      <c r="F683" s="2" t="b">
        <f t="shared" si="43"/>
        <v>1</v>
      </c>
      <c r="G683" s="2">
        <f t="shared" si="41"/>
        <v>42952</v>
      </c>
      <c r="H683" s="1" t="s">
        <v>30</v>
      </c>
      <c r="I683" s="1" t="s">
        <v>1159</v>
      </c>
      <c r="J683" s="1">
        <v>150</v>
      </c>
      <c r="K683" s="1">
        <v>147</v>
      </c>
      <c r="L683" s="3">
        <v>0.02</v>
      </c>
      <c r="N683" t="s">
        <v>3763</v>
      </c>
      <c r="S683" s="4" t="e">
        <f t="shared" si="42"/>
        <v>#NUM!</v>
      </c>
      <c r="T683" s="4" t="str">
        <f t="shared" si="40"/>
        <v/>
      </c>
      <c r="U683" s="4" t="s">
        <v>3763</v>
      </c>
    </row>
    <row r="684" spans="1:21" x14ac:dyDescent="0.3">
      <c r="A684" t="s">
        <v>1160</v>
      </c>
      <c r="B684" s="1" t="s">
        <v>400</v>
      </c>
      <c r="C684" s="1" t="s">
        <v>401</v>
      </c>
      <c r="D684" s="1" t="s">
        <v>13</v>
      </c>
      <c r="E684" s="2" t="s">
        <v>3243</v>
      </c>
      <c r="F684" s="2" t="b">
        <f t="shared" si="43"/>
        <v>0</v>
      </c>
      <c r="G684" s="2">
        <f t="shared" si="41"/>
        <v>43086</v>
      </c>
      <c r="H684" s="1" t="s">
        <v>72</v>
      </c>
      <c r="I684" s="1" t="s">
        <v>443</v>
      </c>
      <c r="J684" s="1">
        <v>500</v>
      </c>
      <c r="K684" s="1">
        <v>500</v>
      </c>
      <c r="L684" s="3">
        <v>0</v>
      </c>
      <c r="N684" t="s">
        <v>3243</v>
      </c>
      <c r="P684">
        <v>12</v>
      </c>
      <c r="Q684">
        <v>17</v>
      </c>
      <c r="R684">
        <v>2017</v>
      </c>
      <c r="S684" s="4">
        <f t="shared" si="42"/>
        <v>43086</v>
      </c>
      <c r="T684" s="4">
        <f t="shared" si="40"/>
        <v>43086</v>
      </c>
      <c r="U684" s="4">
        <v>43086</v>
      </c>
    </row>
    <row r="685" spans="1:21" x14ac:dyDescent="0.3">
      <c r="A685" t="s">
        <v>1161</v>
      </c>
      <c r="B685" s="1" t="s">
        <v>157</v>
      </c>
      <c r="C685" s="1" t="s">
        <v>108</v>
      </c>
      <c r="D685" s="1" t="s">
        <v>19</v>
      </c>
      <c r="E685" s="2">
        <v>43384</v>
      </c>
      <c r="F685" s="2" t="b">
        <f t="shared" si="43"/>
        <v>1</v>
      </c>
      <c r="G685" s="2">
        <f t="shared" si="41"/>
        <v>43384</v>
      </c>
      <c r="H685" s="1" t="s">
        <v>41</v>
      </c>
      <c r="I685" s="1" t="s">
        <v>158</v>
      </c>
      <c r="J685" s="1">
        <v>30</v>
      </c>
      <c r="K685" s="1">
        <v>28</v>
      </c>
      <c r="L685" s="3">
        <v>6.6699999999999995E-2</v>
      </c>
      <c r="N685" t="s">
        <v>3763</v>
      </c>
      <c r="S685" s="4" t="e">
        <f t="shared" si="42"/>
        <v>#NUM!</v>
      </c>
      <c r="T685" s="4" t="str">
        <f t="shared" si="40"/>
        <v/>
      </c>
      <c r="U685" s="4" t="s">
        <v>3763</v>
      </c>
    </row>
    <row r="686" spans="1:21" x14ac:dyDescent="0.3">
      <c r="A686" t="s">
        <v>1162</v>
      </c>
      <c r="B686" s="1" t="s">
        <v>134</v>
      </c>
      <c r="C686" s="1" t="s">
        <v>92</v>
      </c>
      <c r="D686" s="1" t="s">
        <v>35</v>
      </c>
      <c r="E686" s="2" t="s">
        <v>3312</v>
      </c>
      <c r="F686" s="2" t="b">
        <f t="shared" si="43"/>
        <v>0</v>
      </c>
      <c r="G686" s="2">
        <f t="shared" si="41"/>
        <v>42208</v>
      </c>
      <c r="H686" s="1" t="s">
        <v>55</v>
      </c>
      <c r="I686" s="1" t="s">
        <v>1127</v>
      </c>
      <c r="J686" s="1">
        <v>800</v>
      </c>
      <c r="K686" s="1">
        <v>600</v>
      </c>
      <c r="L686" s="3">
        <v>0.25</v>
      </c>
      <c r="N686" t="s">
        <v>3312</v>
      </c>
      <c r="P686">
        <v>7</v>
      </c>
      <c r="Q686">
        <v>23</v>
      </c>
      <c r="R686">
        <v>2015</v>
      </c>
      <c r="S686" s="4">
        <f t="shared" si="42"/>
        <v>42208</v>
      </c>
      <c r="T686" s="4">
        <f t="shared" si="40"/>
        <v>42208</v>
      </c>
      <c r="U686" s="4">
        <v>42208</v>
      </c>
    </row>
    <row r="687" spans="1:21" x14ac:dyDescent="0.3">
      <c r="A687" t="s">
        <v>1163</v>
      </c>
      <c r="B687" s="1" t="s">
        <v>118</v>
      </c>
      <c r="C687" s="1" t="s">
        <v>119</v>
      </c>
      <c r="D687" s="1" t="s">
        <v>35</v>
      </c>
      <c r="E687" s="2">
        <v>43260</v>
      </c>
      <c r="F687" s="2" t="b">
        <f t="shared" si="43"/>
        <v>1</v>
      </c>
      <c r="G687" s="2">
        <f t="shared" si="41"/>
        <v>43260</v>
      </c>
      <c r="H687" s="1" t="s">
        <v>55</v>
      </c>
      <c r="I687" s="1" t="s">
        <v>896</v>
      </c>
      <c r="J687" s="1">
        <v>800</v>
      </c>
      <c r="K687" s="1">
        <v>552</v>
      </c>
      <c r="L687" s="3">
        <v>0.31</v>
      </c>
      <c r="N687" t="s">
        <v>3763</v>
      </c>
      <c r="S687" s="4" t="e">
        <f t="shared" si="42"/>
        <v>#NUM!</v>
      </c>
      <c r="T687" s="4" t="str">
        <f t="shared" si="40"/>
        <v/>
      </c>
      <c r="U687" s="4" t="s">
        <v>3763</v>
      </c>
    </row>
    <row r="688" spans="1:21" x14ac:dyDescent="0.3">
      <c r="A688" t="s">
        <v>1164</v>
      </c>
      <c r="B688" s="1" t="s">
        <v>111</v>
      </c>
      <c r="C688" s="1" t="s">
        <v>82</v>
      </c>
      <c r="D688" s="1" t="s">
        <v>13</v>
      </c>
      <c r="E688" s="2">
        <v>42796</v>
      </c>
      <c r="F688" s="2" t="b">
        <f t="shared" si="43"/>
        <v>1</v>
      </c>
      <c r="G688" s="2">
        <f t="shared" si="41"/>
        <v>42796</v>
      </c>
      <c r="H688" s="1" t="s">
        <v>122</v>
      </c>
      <c r="I688" s="1" t="s">
        <v>560</v>
      </c>
      <c r="J688" s="1">
        <v>50</v>
      </c>
      <c r="K688" s="1">
        <v>46</v>
      </c>
      <c r="L688" s="3">
        <v>0.08</v>
      </c>
      <c r="N688" t="s">
        <v>3763</v>
      </c>
      <c r="S688" s="4" t="e">
        <f t="shared" si="42"/>
        <v>#NUM!</v>
      </c>
      <c r="T688" s="4" t="str">
        <f t="shared" si="40"/>
        <v/>
      </c>
      <c r="U688" s="4" t="s">
        <v>3763</v>
      </c>
    </row>
    <row r="689" spans="1:21" x14ac:dyDescent="0.3">
      <c r="A689" t="s">
        <v>1165</v>
      </c>
      <c r="B689" s="1" t="s">
        <v>324</v>
      </c>
      <c r="C689" s="1" t="s">
        <v>325</v>
      </c>
      <c r="D689" s="1" t="s">
        <v>13</v>
      </c>
      <c r="E689" s="2" t="s">
        <v>3313</v>
      </c>
      <c r="F689" s="2" t="b">
        <f t="shared" si="43"/>
        <v>0</v>
      </c>
      <c r="G689" s="2">
        <f t="shared" si="41"/>
        <v>42337</v>
      </c>
      <c r="H689" s="1" t="s">
        <v>41</v>
      </c>
      <c r="I689" s="1" t="s">
        <v>453</v>
      </c>
      <c r="J689" s="1">
        <v>30</v>
      </c>
      <c r="K689" s="1">
        <v>29</v>
      </c>
      <c r="L689" s="3">
        <v>3.3300000000000003E-2</v>
      </c>
      <c r="N689" t="s">
        <v>3313</v>
      </c>
      <c r="P689">
        <v>11</v>
      </c>
      <c r="Q689">
        <v>29</v>
      </c>
      <c r="R689">
        <v>2015</v>
      </c>
      <c r="S689" s="4">
        <f t="shared" si="42"/>
        <v>42337</v>
      </c>
      <c r="T689" s="4">
        <f t="shared" si="40"/>
        <v>42337</v>
      </c>
      <c r="U689" s="4">
        <v>42337</v>
      </c>
    </row>
    <row r="690" spans="1:21" x14ac:dyDescent="0.3">
      <c r="A690" t="s">
        <v>1166</v>
      </c>
      <c r="B690" s="1" t="s">
        <v>400</v>
      </c>
      <c r="C690" s="1" t="s">
        <v>401</v>
      </c>
      <c r="D690" s="1" t="s">
        <v>13</v>
      </c>
      <c r="E690" s="2">
        <v>42340</v>
      </c>
      <c r="F690" s="2" t="b">
        <f t="shared" si="43"/>
        <v>1</v>
      </c>
      <c r="G690" s="2">
        <f t="shared" si="41"/>
        <v>42340</v>
      </c>
      <c r="H690" s="1" t="s">
        <v>55</v>
      </c>
      <c r="I690" s="1" t="s">
        <v>1167</v>
      </c>
      <c r="J690" s="1">
        <v>800</v>
      </c>
      <c r="K690" s="1">
        <v>680</v>
      </c>
      <c r="L690" s="3">
        <v>0.15</v>
      </c>
      <c r="N690" t="s">
        <v>3763</v>
      </c>
      <c r="S690" s="4" t="e">
        <f t="shared" si="42"/>
        <v>#NUM!</v>
      </c>
      <c r="T690" s="4" t="str">
        <f t="shared" si="40"/>
        <v/>
      </c>
      <c r="U690" s="4" t="s">
        <v>3763</v>
      </c>
    </row>
    <row r="691" spans="1:21" x14ac:dyDescent="0.3">
      <c r="A691" t="s">
        <v>1168</v>
      </c>
      <c r="B691" s="1" t="s">
        <v>39</v>
      </c>
      <c r="C691" s="1" t="s">
        <v>40</v>
      </c>
      <c r="D691" s="1" t="s">
        <v>35</v>
      </c>
      <c r="E691" s="2" t="s">
        <v>3314</v>
      </c>
      <c r="F691" s="2" t="b">
        <f t="shared" si="43"/>
        <v>0</v>
      </c>
      <c r="G691" s="2">
        <f t="shared" si="41"/>
        <v>41876</v>
      </c>
      <c r="H691" s="1" t="s">
        <v>72</v>
      </c>
      <c r="I691" s="1" t="s">
        <v>844</v>
      </c>
      <c r="J691" s="1">
        <v>500</v>
      </c>
      <c r="K691" s="1">
        <v>495</v>
      </c>
      <c r="L691" s="3">
        <v>0.01</v>
      </c>
      <c r="N691" t="s">
        <v>3314</v>
      </c>
      <c r="P691">
        <v>8</v>
      </c>
      <c r="Q691">
        <v>25</v>
      </c>
      <c r="R691">
        <v>2014</v>
      </c>
      <c r="S691" s="4">
        <f t="shared" si="42"/>
        <v>41876</v>
      </c>
      <c r="T691" s="4">
        <f t="shared" si="40"/>
        <v>41876</v>
      </c>
      <c r="U691" s="4">
        <v>41876</v>
      </c>
    </row>
    <row r="692" spans="1:21" x14ac:dyDescent="0.3">
      <c r="A692" t="s">
        <v>1169</v>
      </c>
      <c r="B692" s="1" t="s">
        <v>124</v>
      </c>
      <c r="C692" s="1" t="s">
        <v>40</v>
      </c>
      <c r="D692" s="1" t="s">
        <v>35</v>
      </c>
      <c r="E692" s="2">
        <v>42192</v>
      </c>
      <c r="F692" s="2" t="b">
        <f t="shared" si="43"/>
        <v>1</v>
      </c>
      <c r="G692" s="2">
        <f t="shared" si="41"/>
        <v>42192</v>
      </c>
      <c r="H692" s="1" t="s">
        <v>115</v>
      </c>
      <c r="I692" s="1" t="s">
        <v>575</v>
      </c>
      <c r="J692" s="1">
        <v>250</v>
      </c>
      <c r="K692" s="1">
        <v>205</v>
      </c>
      <c r="L692" s="3">
        <v>0.18</v>
      </c>
      <c r="N692" t="s">
        <v>3763</v>
      </c>
      <c r="S692" s="4" t="e">
        <f t="shared" si="42"/>
        <v>#NUM!</v>
      </c>
      <c r="T692" s="4" t="str">
        <f t="shared" si="40"/>
        <v/>
      </c>
      <c r="U692" s="4" t="s">
        <v>3763</v>
      </c>
    </row>
    <row r="693" spans="1:21" x14ac:dyDescent="0.3">
      <c r="A693" t="s">
        <v>1170</v>
      </c>
      <c r="B693" s="1" t="s">
        <v>99</v>
      </c>
      <c r="C693" s="1" t="s">
        <v>100</v>
      </c>
      <c r="D693" s="1" t="s">
        <v>13</v>
      </c>
      <c r="E693" s="2" t="s">
        <v>3315</v>
      </c>
      <c r="F693" s="2" t="b">
        <f t="shared" si="43"/>
        <v>0</v>
      </c>
      <c r="G693" s="2">
        <f t="shared" si="41"/>
        <v>42611</v>
      </c>
      <c r="H693" s="1" t="s">
        <v>36</v>
      </c>
      <c r="I693" s="1" t="s">
        <v>1171</v>
      </c>
      <c r="J693" s="1">
        <v>50</v>
      </c>
      <c r="K693" s="1">
        <v>48</v>
      </c>
      <c r="L693" s="3">
        <v>0.04</v>
      </c>
      <c r="N693" t="s">
        <v>3315</v>
      </c>
      <c r="P693">
        <v>8</v>
      </c>
      <c r="Q693">
        <v>29</v>
      </c>
      <c r="R693">
        <v>2016</v>
      </c>
      <c r="S693" s="4">
        <f t="shared" si="42"/>
        <v>42611</v>
      </c>
      <c r="T693" s="4">
        <f t="shared" si="40"/>
        <v>42611</v>
      </c>
      <c r="U693" s="4">
        <v>42611</v>
      </c>
    </row>
    <row r="694" spans="1:21" x14ac:dyDescent="0.3">
      <c r="A694" t="s">
        <v>1172</v>
      </c>
      <c r="B694" s="1" t="s">
        <v>187</v>
      </c>
      <c r="C694" s="1" t="s">
        <v>188</v>
      </c>
      <c r="D694" s="1" t="s">
        <v>13</v>
      </c>
      <c r="E694" s="2">
        <v>42409</v>
      </c>
      <c r="F694" s="2" t="b">
        <f t="shared" si="43"/>
        <v>1</v>
      </c>
      <c r="G694" s="2">
        <f t="shared" si="41"/>
        <v>42409</v>
      </c>
      <c r="H694" s="1" t="s">
        <v>14</v>
      </c>
      <c r="I694" s="1" t="s">
        <v>791</v>
      </c>
      <c r="J694" s="1">
        <v>80</v>
      </c>
      <c r="K694" s="1">
        <v>78</v>
      </c>
      <c r="L694" s="3">
        <v>2.5000000000000001E-2</v>
      </c>
      <c r="N694" t="s">
        <v>3763</v>
      </c>
      <c r="S694" s="4" t="e">
        <f t="shared" si="42"/>
        <v>#NUM!</v>
      </c>
      <c r="T694" s="4" t="str">
        <f t="shared" si="40"/>
        <v/>
      </c>
      <c r="U694" s="4" t="s">
        <v>3763</v>
      </c>
    </row>
    <row r="695" spans="1:21" x14ac:dyDescent="0.3">
      <c r="A695" t="s">
        <v>1173</v>
      </c>
      <c r="B695" s="1" t="s">
        <v>59</v>
      </c>
      <c r="C695" s="1" t="s">
        <v>60</v>
      </c>
      <c r="D695" s="1" t="s">
        <v>13</v>
      </c>
      <c r="E695" s="2" t="s">
        <v>3316</v>
      </c>
      <c r="F695" s="2" t="b">
        <f t="shared" si="43"/>
        <v>0</v>
      </c>
      <c r="G695" s="2">
        <f t="shared" si="41"/>
        <v>42884</v>
      </c>
      <c r="H695" s="1" t="s">
        <v>55</v>
      </c>
      <c r="I695" s="1" t="s">
        <v>1014</v>
      </c>
      <c r="J695" s="1">
        <v>800</v>
      </c>
      <c r="K695" s="1">
        <v>552</v>
      </c>
      <c r="L695" s="3">
        <v>0.31</v>
      </c>
      <c r="N695" t="s">
        <v>3316</v>
      </c>
      <c r="P695">
        <v>5</v>
      </c>
      <c r="Q695">
        <v>29</v>
      </c>
      <c r="R695">
        <v>2017</v>
      </c>
      <c r="S695" s="4">
        <f t="shared" si="42"/>
        <v>42884</v>
      </c>
      <c r="T695" s="4">
        <f t="shared" si="40"/>
        <v>42884</v>
      </c>
      <c r="U695" s="4">
        <v>42884</v>
      </c>
    </row>
    <row r="696" spans="1:21" x14ac:dyDescent="0.3">
      <c r="A696" t="s">
        <v>1174</v>
      </c>
      <c r="B696" s="1" t="s">
        <v>255</v>
      </c>
      <c r="C696" s="1" t="s">
        <v>256</v>
      </c>
      <c r="D696" s="1" t="s">
        <v>13</v>
      </c>
      <c r="E696" s="2">
        <v>41980</v>
      </c>
      <c r="F696" s="2" t="b">
        <f t="shared" si="43"/>
        <v>1</v>
      </c>
      <c r="G696" s="2">
        <f t="shared" si="41"/>
        <v>41980</v>
      </c>
      <c r="H696" s="1" t="s">
        <v>72</v>
      </c>
      <c r="I696" s="1" t="s">
        <v>376</v>
      </c>
      <c r="J696" s="1">
        <v>500</v>
      </c>
      <c r="K696" s="1">
        <v>495</v>
      </c>
      <c r="L696" s="3">
        <v>0.01</v>
      </c>
      <c r="N696" t="s">
        <v>3763</v>
      </c>
      <c r="S696" s="4" t="e">
        <f t="shared" si="42"/>
        <v>#NUM!</v>
      </c>
      <c r="T696" s="4" t="str">
        <f t="shared" si="40"/>
        <v/>
      </c>
      <c r="U696" s="4" t="s">
        <v>3763</v>
      </c>
    </row>
    <row r="697" spans="1:21" x14ac:dyDescent="0.3">
      <c r="A697" t="s">
        <v>1175</v>
      </c>
      <c r="B697" s="1" t="s">
        <v>131</v>
      </c>
      <c r="C697" s="1" t="s">
        <v>108</v>
      </c>
      <c r="D697" s="1" t="s">
        <v>19</v>
      </c>
      <c r="E697" s="2">
        <v>42524</v>
      </c>
      <c r="F697" s="2" t="b">
        <f t="shared" si="43"/>
        <v>1</v>
      </c>
      <c r="G697" s="2">
        <f t="shared" si="41"/>
        <v>42524</v>
      </c>
      <c r="H697" s="1" t="s">
        <v>61</v>
      </c>
      <c r="I697" s="1" t="s">
        <v>132</v>
      </c>
      <c r="J697" s="1">
        <v>1000</v>
      </c>
      <c r="K697" s="1">
        <v>1000</v>
      </c>
      <c r="L697" s="3">
        <v>0</v>
      </c>
      <c r="N697" t="s">
        <v>3763</v>
      </c>
      <c r="S697" s="4" t="e">
        <f t="shared" si="42"/>
        <v>#NUM!</v>
      </c>
      <c r="T697" s="4" t="str">
        <f t="shared" si="40"/>
        <v/>
      </c>
      <c r="U697" s="4" t="s">
        <v>3763</v>
      </c>
    </row>
    <row r="698" spans="1:21" x14ac:dyDescent="0.3">
      <c r="A698" t="s">
        <v>1176</v>
      </c>
      <c r="B698" s="1" t="s">
        <v>44</v>
      </c>
      <c r="C698" s="1" t="s">
        <v>45</v>
      </c>
      <c r="D698" s="1" t="s">
        <v>24</v>
      </c>
      <c r="E698" s="2" t="s">
        <v>3048</v>
      </c>
      <c r="F698" s="2" t="b">
        <f t="shared" si="43"/>
        <v>0</v>
      </c>
      <c r="G698" s="2">
        <f t="shared" si="41"/>
        <v>42397</v>
      </c>
      <c r="H698" s="1" t="s">
        <v>36</v>
      </c>
      <c r="I698" s="1" t="s">
        <v>1177</v>
      </c>
      <c r="J698" s="1">
        <v>50</v>
      </c>
      <c r="K698" s="1">
        <v>43</v>
      </c>
      <c r="L698" s="3">
        <v>0.14000000000000001</v>
      </c>
      <c r="N698" t="s">
        <v>3048</v>
      </c>
      <c r="P698">
        <v>1</v>
      </c>
      <c r="Q698">
        <v>28</v>
      </c>
      <c r="R698">
        <v>2016</v>
      </c>
      <c r="S698" s="4">
        <f t="shared" si="42"/>
        <v>42397</v>
      </c>
      <c r="T698" s="4">
        <f t="shared" si="40"/>
        <v>42397</v>
      </c>
      <c r="U698" s="4">
        <v>42397</v>
      </c>
    </row>
    <row r="699" spans="1:21" x14ac:dyDescent="0.3">
      <c r="A699" t="s">
        <v>1178</v>
      </c>
      <c r="B699" s="1" t="s">
        <v>221</v>
      </c>
      <c r="C699" s="1" t="s">
        <v>40</v>
      </c>
      <c r="D699" s="1" t="s">
        <v>35</v>
      </c>
      <c r="E699" s="2">
        <v>43161</v>
      </c>
      <c r="F699" s="2" t="b">
        <f t="shared" si="43"/>
        <v>1</v>
      </c>
      <c r="G699" s="2">
        <f t="shared" si="41"/>
        <v>43161</v>
      </c>
      <c r="H699" s="1" t="s">
        <v>115</v>
      </c>
      <c r="I699" s="1" t="s">
        <v>1179</v>
      </c>
      <c r="J699" s="1">
        <v>250</v>
      </c>
      <c r="K699" s="1">
        <v>250</v>
      </c>
      <c r="L699" s="3">
        <v>0</v>
      </c>
      <c r="N699" t="s">
        <v>3763</v>
      </c>
      <c r="S699" s="4" t="e">
        <f t="shared" si="42"/>
        <v>#NUM!</v>
      </c>
      <c r="T699" s="4" t="str">
        <f t="shared" si="40"/>
        <v/>
      </c>
      <c r="U699" s="4" t="s">
        <v>3763</v>
      </c>
    </row>
    <row r="700" spans="1:21" x14ac:dyDescent="0.3">
      <c r="A700" t="s">
        <v>1180</v>
      </c>
      <c r="B700" s="1" t="s">
        <v>264</v>
      </c>
      <c r="C700" s="1" t="s">
        <v>265</v>
      </c>
      <c r="D700" s="1" t="s">
        <v>13</v>
      </c>
      <c r="E700" s="2" t="s">
        <v>3317</v>
      </c>
      <c r="F700" s="2" t="b">
        <f t="shared" si="43"/>
        <v>0</v>
      </c>
      <c r="G700" s="2">
        <f t="shared" si="41"/>
        <v>42242</v>
      </c>
      <c r="H700" s="1" t="s">
        <v>41</v>
      </c>
      <c r="I700" s="1" t="s">
        <v>314</v>
      </c>
      <c r="J700" s="1">
        <v>30</v>
      </c>
      <c r="K700" s="1">
        <v>23</v>
      </c>
      <c r="L700" s="3">
        <v>0.23330000000000001</v>
      </c>
      <c r="N700" t="s">
        <v>3317</v>
      </c>
      <c r="P700">
        <v>8</v>
      </c>
      <c r="Q700">
        <v>26</v>
      </c>
      <c r="R700">
        <v>2015</v>
      </c>
      <c r="S700" s="4">
        <f t="shared" si="42"/>
        <v>42242</v>
      </c>
      <c r="T700" s="4">
        <f t="shared" si="40"/>
        <v>42242</v>
      </c>
      <c r="U700" s="4">
        <v>42242</v>
      </c>
    </row>
    <row r="701" spans="1:21" x14ac:dyDescent="0.3">
      <c r="A701" t="s">
        <v>1181</v>
      </c>
      <c r="B701" s="1" t="s">
        <v>64</v>
      </c>
      <c r="C701" s="1" t="s">
        <v>65</v>
      </c>
      <c r="D701" s="1" t="s">
        <v>35</v>
      </c>
      <c r="E701" s="2">
        <v>42125</v>
      </c>
      <c r="F701" s="2" t="b">
        <f t="shared" si="43"/>
        <v>1</v>
      </c>
      <c r="G701" s="2">
        <f t="shared" si="41"/>
        <v>42125</v>
      </c>
      <c r="H701" s="1" t="s">
        <v>72</v>
      </c>
      <c r="I701" s="1" t="s">
        <v>66</v>
      </c>
      <c r="J701" s="1">
        <v>500</v>
      </c>
      <c r="K701" s="1">
        <v>490</v>
      </c>
      <c r="L701" s="3">
        <v>0.02</v>
      </c>
      <c r="N701" t="s">
        <v>3763</v>
      </c>
      <c r="S701" s="4" t="e">
        <f t="shared" si="42"/>
        <v>#NUM!</v>
      </c>
      <c r="T701" s="4" t="str">
        <f t="shared" si="40"/>
        <v/>
      </c>
      <c r="U701" s="4" t="s">
        <v>3763</v>
      </c>
    </row>
    <row r="702" spans="1:21" x14ac:dyDescent="0.3">
      <c r="A702" t="s">
        <v>1182</v>
      </c>
      <c r="B702" s="1" t="s">
        <v>22</v>
      </c>
      <c r="C702" s="1" t="s">
        <v>23</v>
      </c>
      <c r="D702" s="1" t="s">
        <v>24</v>
      </c>
      <c r="E702" s="2">
        <v>41949</v>
      </c>
      <c r="F702" s="2" t="b">
        <f t="shared" si="43"/>
        <v>1</v>
      </c>
      <c r="G702" s="2">
        <f t="shared" si="41"/>
        <v>41949</v>
      </c>
      <c r="H702" s="1" t="s">
        <v>46</v>
      </c>
      <c r="I702" s="1" t="s">
        <v>310</v>
      </c>
      <c r="J702" s="1">
        <v>500</v>
      </c>
      <c r="K702" s="1">
        <v>425</v>
      </c>
      <c r="L702" s="3">
        <v>0.15</v>
      </c>
      <c r="N702" t="s">
        <v>3763</v>
      </c>
      <c r="S702" s="4" t="e">
        <f t="shared" si="42"/>
        <v>#NUM!</v>
      </c>
      <c r="T702" s="4" t="str">
        <f t="shared" si="40"/>
        <v/>
      </c>
      <c r="U702" s="4" t="s">
        <v>3763</v>
      </c>
    </row>
    <row r="703" spans="1:21" x14ac:dyDescent="0.3">
      <c r="A703" t="s">
        <v>1183</v>
      </c>
      <c r="B703" s="1" t="s">
        <v>400</v>
      </c>
      <c r="C703" s="1" t="s">
        <v>401</v>
      </c>
      <c r="D703" s="1" t="s">
        <v>13</v>
      </c>
      <c r="E703" s="2">
        <v>43256</v>
      </c>
      <c r="F703" s="2" t="b">
        <f t="shared" si="43"/>
        <v>1</v>
      </c>
      <c r="G703" s="2">
        <f t="shared" si="41"/>
        <v>43256</v>
      </c>
      <c r="H703" s="1" t="s">
        <v>115</v>
      </c>
      <c r="I703" s="1" t="s">
        <v>693</v>
      </c>
      <c r="J703" s="1">
        <v>250</v>
      </c>
      <c r="K703" s="1">
        <v>223</v>
      </c>
      <c r="L703" s="3">
        <v>0.108</v>
      </c>
      <c r="N703" t="s">
        <v>3763</v>
      </c>
      <c r="S703" s="4" t="e">
        <f t="shared" si="42"/>
        <v>#NUM!</v>
      </c>
      <c r="T703" s="4" t="str">
        <f t="shared" si="40"/>
        <v/>
      </c>
      <c r="U703" s="4" t="s">
        <v>3763</v>
      </c>
    </row>
    <row r="704" spans="1:21" x14ac:dyDescent="0.3">
      <c r="A704" t="s">
        <v>1184</v>
      </c>
      <c r="B704" s="1" t="s">
        <v>154</v>
      </c>
      <c r="C704" s="1" t="s">
        <v>108</v>
      </c>
      <c r="D704" s="1" t="s">
        <v>19</v>
      </c>
      <c r="E704" s="2" t="s">
        <v>3318</v>
      </c>
      <c r="F704" s="2" t="b">
        <f t="shared" si="43"/>
        <v>0</v>
      </c>
      <c r="G704" s="2">
        <f t="shared" si="41"/>
        <v>43035</v>
      </c>
      <c r="H704" s="1" t="s">
        <v>25</v>
      </c>
      <c r="I704" s="1" t="s">
        <v>1185</v>
      </c>
      <c r="J704" s="1">
        <v>700</v>
      </c>
      <c r="K704" s="1">
        <v>693</v>
      </c>
      <c r="L704" s="3">
        <v>0.01</v>
      </c>
      <c r="N704" t="s">
        <v>3318</v>
      </c>
      <c r="P704">
        <v>10</v>
      </c>
      <c r="Q704">
        <v>27</v>
      </c>
      <c r="R704">
        <v>2017</v>
      </c>
      <c r="S704" s="4">
        <f t="shared" si="42"/>
        <v>43035</v>
      </c>
      <c r="T704" s="4">
        <f t="shared" si="40"/>
        <v>43035</v>
      </c>
      <c r="U704" s="4">
        <v>43035</v>
      </c>
    </row>
    <row r="705" spans="1:21" x14ac:dyDescent="0.3">
      <c r="A705" t="s">
        <v>1186</v>
      </c>
      <c r="B705" s="1" t="s">
        <v>107</v>
      </c>
      <c r="C705" s="1" t="s">
        <v>108</v>
      </c>
      <c r="D705" s="1" t="s">
        <v>19</v>
      </c>
      <c r="E705" s="2" t="s">
        <v>3302</v>
      </c>
      <c r="F705" s="2" t="b">
        <f t="shared" si="43"/>
        <v>0</v>
      </c>
      <c r="G705" s="2">
        <f t="shared" si="41"/>
        <v>42929</v>
      </c>
      <c r="H705" s="1" t="s">
        <v>30</v>
      </c>
      <c r="I705" s="1" t="s">
        <v>109</v>
      </c>
      <c r="J705" s="1">
        <v>150</v>
      </c>
      <c r="K705" s="1">
        <v>147</v>
      </c>
      <c r="L705" s="3">
        <v>0.02</v>
      </c>
      <c r="N705" t="s">
        <v>3302</v>
      </c>
      <c r="P705">
        <v>7</v>
      </c>
      <c r="Q705">
        <v>13</v>
      </c>
      <c r="R705">
        <v>2017</v>
      </c>
      <c r="S705" s="4">
        <f t="shared" si="42"/>
        <v>42929</v>
      </c>
      <c r="T705" s="4">
        <f t="shared" si="40"/>
        <v>42929</v>
      </c>
      <c r="U705" s="4">
        <v>42929</v>
      </c>
    </row>
    <row r="706" spans="1:21" x14ac:dyDescent="0.3">
      <c r="A706" t="s">
        <v>1187</v>
      </c>
      <c r="B706" s="1" t="s">
        <v>221</v>
      </c>
      <c r="C706" s="1" t="s">
        <v>40</v>
      </c>
      <c r="D706" s="1" t="s">
        <v>35</v>
      </c>
      <c r="E706" s="2">
        <v>43169</v>
      </c>
      <c r="F706" s="2" t="b">
        <f t="shared" si="43"/>
        <v>1</v>
      </c>
      <c r="G706" s="2">
        <f t="shared" si="41"/>
        <v>43169</v>
      </c>
      <c r="H706" s="1" t="s">
        <v>41</v>
      </c>
      <c r="I706" s="1" t="s">
        <v>1179</v>
      </c>
      <c r="J706" s="1">
        <v>30</v>
      </c>
      <c r="K706" s="1">
        <v>26</v>
      </c>
      <c r="L706" s="3">
        <v>0.1333</v>
      </c>
      <c r="N706" t="s">
        <v>3763</v>
      </c>
      <c r="S706" s="4" t="e">
        <f t="shared" si="42"/>
        <v>#NUM!</v>
      </c>
      <c r="T706" s="4" t="str">
        <f t="shared" si="40"/>
        <v/>
      </c>
      <c r="U706" s="4" t="s">
        <v>3763</v>
      </c>
    </row>
    <row r="707" spans="1:21" x14ac:dyDescent="0.3">
      <c r="A707" t="s">
        <v>1188</v>
      </c>
      <c r="B707" s="1" t="s">
        <v>255</v>
      </c>
      <c r="C707" s="1" t="s">
        <v>256</v>
      </c>
      <c r="D707" s="1" t="s">
        <v>13</v>
      </c>
      <c r="E707" s="2" t="s">
        <v>3319</v>
      </c>
      <c r="F707" s="2" t="b">
        <f t="shared" si="43"/>
        <v>0</v>
      </c>
      <c r="G707" s="2">
        <f t="shared" si="41"/>
        <v>42602</v>
      </c>
      <c r="H707" s="1" t="s">
        <v>41</v>
      </c>
      <c r="I707" s="1" t="s">
        <v>800</v>
      </c>
      <c r="J707" s="1">
        <v>30</v>
      </c>
      <c r="K707" s="1">
        <v>29</v>
      </c>
      <c r="L707" s="3">
        <v>3.3300000000000003E-2</v>
      </c>
      <c r="N707" t="s">
        <v>3319</v>
      </c>
      <c r="P707">
        <v>8</v>
      </c>
      <c r="Q707">
        <v>20</v>
      </c>
      <c r="R707">
        <v>2016</v>
      </c>
      <c r="S707" s="4">
        <f t="shared" si="42"/>
        <v>42602</v>
      </c>
      <c r="T707" s="4">
        <f t="shared" ref="T707:T770" si="44">IF(AND(P707&lt;&gt;"",Q707&lt;&gt;"",R707&lt;&gt;""),IFERROR(DATE(R707,P707,Q707),""),"")</f>
        <v>42602</v>
      </c>
      <c r="U707" s="4">
        <v>42602</v>
      </c>
    </row>
    <row r="708" spans="1:21" x14ac:dyDescent="0.3">
      <c r="A708" t="s">
        <v>1189</v>
      </c>
      <c r="B708" s="1" t="s">
        <v>124</v>
      </c>
      <c r="C708" s="1" t="s">
        <v>40</v>
      </c>
      <c r="D708" s="1" t="s">
        <v>35</v>
      </c>
      <c r="E708" s="2">
        <v>41769</v>
      </c>
      <c r="F708" s="2" t="b">
        <f t="shared" si="43"/>
        <v>1</v>
      </c>
      <c r="G708" s="2">
        <f t="shared" ref="G708:G771" si="45">IF(F708=TRUE,E708,U708)</f>
        <v>41769</v>
      </c>
      <c r="H708" s="1" t="s">
        <v>30</v>
      </c>
      <c r="I708" s="1" t="s">
        <v>970</v>
      </c>
      <c r="J708" s="1">
        <v>150</v>
      </c>
      <c r="K708" s="1">
        <v>105</v>
      </c>
      <c r="L708" s="3">
        <v>0.3</v>
      </c>
      <c r="N708" t="s">
        <v>3763</v>
      </c>
      <c r="S708" s="4" t="e">
        <f t="shared" ref="S708:S771" si="46">DATE(R708,P708,Q708)</f>
        <v>#NUM!</v>
      </c>
      <c r="T708" s="4" t="str">
        <f t="shared" si="44"/>
        <v/>
      </c>
      <c r="U708" s="4" t="s">
        <v>3763</v>
      </c>
    </row>
    <row r="709" spans="1:21" x14ac:dyDescent="0.3">
      <c r="A709" t="s">
        <v>1190</v>
      </c>
      <c r="B709" s="1" t="s">
        <v>17</v>
      </c>
      <c r="C709" s="1" t="s">
        <v>18</v>
      </c>
      <c r="D709" s="1" t="s">
        <v>19</v>
      </c>
      <c r="E709" s="2" t="s">
        <v>3320</v>
      </c>
      <c r="F709" s="2" t="b">
        <f t="shared" ref="F709:F772" si="47">ISNUMBER(E709)</f>
        <v>0</v>
      </c>
      <c r="G709" s="2">
        <f t="shared" si="45"/>
        <v>43150</v>
      </c>
      <c r="H709" s="1" t="s">
        <v>122</v>
      </c>
      <c r="I709" s="1" t="s">
        <v>493</v>
      </c>
      <c r="J709" s="1">
        <v>50</v>
      </c>
      <c r="K709" s="1">
        <v>50</v>
      </c>
      <c r="L709" s="3">
        <v>0</v>
      </c>
      <c r="N709" t="s">
        <v>3320</v>
      </c>
      <c r="P709">
        <v>2</v>
      </c>
      <c r="Q709">
        <v>19</v>
      </c>
      <c r="R709">
        <v>2018</v>
      </c>
      <c r="S709" s="4">
        <f t="shared" si="46"/>
        <v>43150</v>
      </c>
      <c r="T709" s="4">
        <f t="shared" si="44"/>
        <v>43150</v>
      </c>
      <c r="U709" s="4">
        <v>43150</v>
      </c>
    </row>
    <row r="710" spans="1:21" x14ac:dyDescent="0.3">
      <c r="A710" t="s">
        <v>1191</v>
      </c>
      <c r="B710" s="1" t="s">
        <v>324</v>
      </c>
      <c r="C710" s="1" t="s">
        <v>325</v>
      </c>
      <c r="D710" s="1" t="s">
        <v>13</v>
      </c>
      <c r="E710" s="2" t="s">
        <v>3321</v>
      </c>
      <c r="F710" s="2" t="b">
        <f t="shared" si="47"/>
        <v>0</v>
      </c>
      <c r="G710" s="2">
        <f t="shared" si="45"/>
        <v>41933</v>
      </c>
      <c r="H710" s="1" t="s">
        <v>55</v>
      </c>
      <c r="I710" s="1" t="s">
        <v>1192</v>
      </c>
      <c r="J710" s="1">
        <v>800</v>
      </c>
      <c r="K710" s="1">
        <v>480</v>
      </c>
      <c r="L710" s="3">
        <v>0.4</v>
      </c>
      <c r="N710" t="s">
        <v>3321</v>
      </c>
      <c r="P710">
        <v>10</v>
      </c>
      <c r="Q710">
        <v>21</v>
      </c>
      <c r="R710">
        <v>2014</v>
      </c>
      <c r="S710" s="4">
        <f t="shared" si="46"/>
        <v>41933</v>
      </c>
      <c r="T710" s="4">
        <f t="shared" si="44"/>
        <v>41933</v>
      </c>
      <c r="U710" s="4">
        <v>41933</v>
      </c>
    </row>
    <row r="711" spans="1:21" x14ac:dyDescent="0.3">
      <c r="A711" t="s">
        <v>1193</v>
      </c>
      <c r="B711" s="1" t="s">
        <v>227</v>
      </c>
      <c r="C711" s="1" t="s">
        <v>228</v>
      </c>
      <c r="D711" s="1" t="s">
        <v>24</v>
      </c>
      <c r="E711" s="2">
        <v>42555</v>
      </c>
      <c r="F711" s="2" t="b">
        <f t="shared" si="47"/>
        <v>1</v>
      </c>
      <c r="G711" s="2">
        <f t="shared" si="45"/>
        <v>42555</v>
      </c>
      <c r="H711" s="1" t="s">
        <v>72</v>
      </c>
      <c r="I711" s="1" t="s">
        <v>870</v>
      </c>
      <c r="J711" s="1">
        <v>500</v>
      </c>
      <c r="K711" s="1">
        <v>500</v>
      </c>
      <c r="L711" s="3">
        <v>0</v>
      </c>
      <c r="N711" t="s">
        <v>3763</v>
      </c>
      <c r="S711" s="4" t="e">
        <f t="shared" si="46"/>
        <v>#NUM!</v>
      </c>
      <c r="T711" s="4" t="str">
        <f t="shared" si="44"/>
        <v/>
      </c>
      <c r="U711" s="4" t="s">
        <v>3763</v>
      </c>
    </row>
    <row r="712" spans="1:21" x14ac:dyDescent="0.3">
      <c r="A712" t="s">
        <v>1194</v>
      </c>
      <c r="B712" s="1" t="s">
        <v>17</v>
      </c>
      <c r="C712" s="1" t="s">
        <v>18</v>
      </c>
      <c r="D712" s="1" t="s">
        <v>19</v>
      </c>
      <c r="E712" s="2" t="s">
        <v>3099</v>
      </c>
      <c r="F712" s="2" t="b">
        <f t="shared" si="47"/>
        <v>0</v>
      </c>
      <c r="G712" s="2">
        <f t="shared" si="45"/>
        <v>41750</v>
      </c>
      <c r="H712" s="1" t="s">
        <v>36</v>
      </c>
      <c r="I712" s="1" t="s">
        <v>776</v>
      </c>
      <c r="J712" s="1">
        <v>50</v>
      </c>
      <c r="K712" s="1">
        <v>40</v>
      </c>
      <c r="L712" s="3">
        <v>0.2</v>
      </c>
      <c r="N712" t="s">
        <v>3099</v>
      </c>
      <c r="P712">
        <v>4</v>
      </c>
      <c r="Q712">
        <v>21</v>
      </c>
      <c r="R712">
        <v>2014</v>
      </c>
      <c r="S712" s="4">
        <f t="shared" si="46"/>
        <v>41750</v>
      </c>
      <c r="T712" s="4">
        <f t="shared" si="44"/>
        <v>41750</v>
      </c>
      <c r="U712" s="4">
        <v>41750</v>
      </c>
    </row>
    <row r="713" spans="1:21" x14ac:dyDescent="0.3">
      <c r="A713" t="s">
        <v>1195</v>
      </c>
      <c r="B713" s="1" t="s">
        <v>107</v>
      </c>
      <c r="C713" s="1" t="s">
        <v>108</v>
      </c>
      <c r="D713" s="1" t="s">
        <v>19</v>
      </c>
      <c r="E713" s="2" t="s">
        <v>3215</v>
      </c>
      <c r="F713" s="2" t="b">
        <f t="shared" si="47"/>
        <v>0</v>
      </c>
      <c r="G713" s="2">
        <f t="shared" si="45"/>
        <v>42939</v>
      </c>
      <c r="H713" s="1" t="s">
        <v>61</v>
      </c>
      <c r="I713" s="1" t="s">
        <v>531</v>
      </c>
      <c r="J713" s="1">
        <v>1000</v>
      </c>
      <c r="K713" s="1">
        <v>620</v>
      </c>
      <c r="L713" s="3">
        <v>0.38</v>
      </c>
      <c r="N713" t="s">
        <v>3215</v>
      </c>
      <c r="P713">
        <v>7</v>
      </c>
      <c r="Q713">
        <v>23</v>
      </c>
      <c r="R713">
        <v>2017</v>
      </c>
      <c r="S713" s="4">
        <f t="shared" si="46"/>
        <v>42939</v>
      </c>
      <c r="T713" s="4">
        <f t="shared" si="44"/>
        <v>42939</v>
      </c>
      <c r="U713" s="4">
        <v>42939</v>
      </c>
    </row>
    <row r="714" spans="1:21" x14ac:dyDescent="0.3">
      <c r="A714" t="s">
        <v>1196</v>
      </c>
      <c r="B714" s="1" t="s">
        <v>11</v>
      </c>
      <c r="C714" s="1" t="s">
        <v>12</v>
      </c>
      <c r="D714" s="1" t="s">
        <v>13</v>
      </c>
      <c r="E714" s="2">
        <v>41733</v>
      </c>
      <c r="F714" s="2" t="b">
        <f t="shared" si="47"/>
        <v>1</v>
      </c>
      <c r="G714" s="2">
        <f t="shared" si="45"/>
        <v>41733</v>
      </c>
      <c r="H714" s="1" t="s">
        <v>36</v>
      </c>
      <c r="I714" s="1" t="s">
        <v>193</v>
      </c>
      <c r="J714" s="1">
        <v>50</v>
      </c>
      <c r="K714" s="1">
        <v>50</v>
      </c>
      <c r="L714" s="3">
        <v>0</v>
      </c>
      <c r="N714" t="s">
        <v>3763</v>
      </c>
      <c r="S714" s="4" t="e">
        <f t="shared" si="46"/>
        <v>#NUM!</v>
      </c>
      <c r="T714" s="4" t="str">
        <f t="shared" si="44"/>
        <v/>
      </c>
      <c r="U714" s="4" t="s">
        <v>3763</v>
      </c>
    </row>
    <row r="715" spans="1:21" x14ac:dyDescent="0.3">
      <c r="A715" t="s">
        <v>1197</v>
      </c>
      <c r="B715" s="1" t="s">
        <v>70</v>
      </c>
      <c r="C715" s="1" t="s">
        <v>71</v>
      </c>
      <c r="D715" s="1" t="s">
        <v>35</v>
      </c>
      <c r="E715" s="2" t="s">
        <v>3154</v>
      </c>
      <c r="F715" s="2" t="b">
        <f t="shared" si="47"/>
        <v>0</v>
      </c>
      <c r="G715" s="2">
        <f t="shared" si="45"/>
        <v>42245</v>
      </c>
      <c r="H715" s="1" t="s">
        <v>30</v>
      </c>
      <c r="I715" s="1" t="s">
        <v>328</v>
      </c>
      <c r="J715" s="1">
        <v>150</v>
      </c>
      <c r="K715" s="1">
        <v>98</v>
      </c>
      <c r="L715" s="3">
        <v>0.34670000000000001</v>
      </c>
      <c r="N715" t="s">
        <v>3154</v>
      </c>
      <c r="P715">
        <v>8</v>
      </c>
      <c r="Q715">
        <v>29</v>
      </c>
      <c r="R715">
        <v>2015</v>
      </c>
      <c r="S715" s="4">
        <f t="shared" si="46"/>
        <v>42245</v>
      </c>
      <c r="T715" s="4">
        <f t="shared" si="44"/>
        <v>42245</v>
      </c>
      <c r="U715" s="4">
        <v>42245</v>
      </c>
    </row>
    <row r="716" spans="1:21" x14ac:dyDescent="0.3">
      <c r="A716" t="s">
        <v>1198</v>
      </c>
      <c r="B716" s="1" t="s">
        <v>241</v>
      </c>
      <c r="C716" s="1" t="s">
        <v>242</v>
      </c>
      <c r="D716" s="1" t="s">
        <v>13</v>
      </c>
      <c r="E716" s="2" t="s">
        <v>3322</v>
      </c>
      <c r="F716" s="2" t="b">
        <f t="shared" si="47"/>
        <v>0</v>
      </c>
      <c r="G716" s="2">
        <f t="shared" si="45"/>
        <v>42942</v>
      </c>
      <c r="H716" s="1" t="s">
        <v>25</v>
      </c>
      <c r="I716" s="1" t="s">
        <v>626</v>
      </c>
      <c r="J716" s="1">
        <v>700</v>
      </c>
      <c r="K716" s="1">
        <v>700</v>
      </c>
      <c r="L716" s="3">
        <v>0</v>
      </c>
      <c r="N716" t="s">
        <v>3322</v>
      </c>
      <c r="P716">
        <v>7</v>
      </c>
      <c r="Q716">
        <v>26</v>
      </c>
      <c r="R716">
        <v>2017</v>
      </c>
      <c r="S716" s="4">
        <f t="shared" si="46"/>
        <v>42942</v>
      </c>
      <c r="T716" s="4">
        <f t="shared" si="44"/>
        <v>42942</v>
      </c>
      <c r="U716" s="4">
        <v>42942</v>
      </c>
    </row>
    <row r="717" spans="1:21" x14ac:dyDescent="0.3">
      <c r="A717" t="s">
        <v>1199</v>
      </c>
      <c r="B717" s="1" t="s">
        <v>77</v>
      </c>
      <c r="C717" s="1" t="s">
        <v>78</v>
      </c>
      <c r="D717" s="1" t="s">
        <v>35</v>
      </c>
      <c r="E717" s="2" t="s">
        <v>3323</v>
      </c>
      <c r="F717" s="2" t="b">
        <f t="shared" si="47"/>
        <v>0</v>
      </c>
      <c r="G717" s="2">
        <f t="shared" si="45"/>
        <v>41758</v>
      </c>
      <c r="H717" s="1" t="s">
        <v>36</v>
      </c>
      <c r="I717" s="1" t="s">
        <v>668</v>
      </c>
      <c r="J717" s="1">
        <v>50</v>
      </c>
      <c r="K717" s="1">
        <v>37</v>
      </c>
      <c r="L717" s="3">
        <v>0.26</v>
      </c>
      <c r="N717" t="s">
        <v>3323</v>
      </c>
      <c r="P717">
        <v>4</v>
      </c>
      <c r="Q717">
        <v>29</v>
      </c>
      <c r="R717">
        <v>2014</v>
      </c>
      <c r="S717" s="4">
        <f t="shared" si="46"/>
        <v>41758</v>
      </c>
      <c r="T717" s="4">
        <f t="shared" si="44"/>
        <v>41758</v>
      </c>
      <c r="U717" s="4">
        <v>41758</v>
      </c>
    </row>
    <row r="718" spans="1:21" x14ac:dyDescent="0.3">
      <c r="A718" t="s">
        <v>1200</v>
      </c>
      <c r="B718" s="1" t="s">
        <v>64</v>
      </c>
      <c r="C718" s="1" t="s">
        <v>65</v>
      </c>
      <c r="D718" s="1" t="s">
        <v>35</v>
      </c>
      <c r="E718" s="2">
        <v>43015</v>
      </c>
      <c r="F718" s="2" t="b">
        <f t="shared" si="47"/>
        <v>1</v>
      </c>
      <c r="G718" s="2">
        <f t="shared" si="45"/>
        <v>43015</v>
      </c>
      <c r="H718" s="1" t="s">
        <v>41</v>
      </c>
      <c r="I718" s="1" t="s">
        <v>66</v>
      </c>
      <c r="J718" s="1">
        <v>30</v>
      </c>
      <c r="K718" s="1">
        <v>29</v>
      </c>
      <c r="L718" s="3">
        <v>3.3300000000000003E-2</v>
      </c>
      <c r="N718" t="s">
        <v>3763</v>
      </c>
      <c r="S718" s="4" t="e">
        <f t="shared" si="46"/>
        <v>#NUM!</v>
      </c>
      <c r="T718" s="4" t="str">
        <f t="shared" si="44"/>
        <v/>
      </c>
      <c r="U718" s="4" t="s">
        <v>3763</v>
      </c>
    </row>
    <row r="719" spans="1:21" x14ac:dyDescent="0.3">
      <c r="A719" t="s">
        <v>1201</v>
      </c>
      <c r="B719" s="1" t="s">
        <v>11</v>
      </c>
      <c r="C719" s="1" t="s">
        <v>12</v>
      </c>
      <c r="D719" s="1" t="s">
        <v>13</v>
      </c>
      <c r="E719" s="2" t="s">
        <v>3324</v>
      </c>
      <c r="F719" s="2" t="b">
        <f t="shared" si="47"/>
        <v>0</v>
      </c>
      <c r="G719" s="2">
        <f t="shared" si="45"/>
        <v>42297</v>
      </c>
      <c r="H719" s="1" t="s">
        <v>25</v>
      </c>
      <c r="I719" s="1" t="s">
        <v>348</v>
      </c>
      <c r="J719" s="1">
        <v>700</v>
      </c>
      <c r="K719" s="1">
        <v>679</v>
      </c>
      <c r="L719" s="3">
        <v>0.03</v>
      </c>
      <c r="N719" t="s">
        <v>3324</v>
      </c>
      <c r="P719">
        <v>10</v>
      </c>
      <c r="Q719">
        <v>20</v>
      </c>
      <c r="R719">
        <v>2015</v>
      </c>
      <c r="S719" s="4">
        <f t="shared" si="46"/>
        <v>42297</v>
      </c>
      <c r="T719" s="4">
        <f t="shared" si="44"/>
        <v>42297</v>
      </c>
      <c r="U719" s="4">
        <v>42297</v>
      </c>
    </row>
    <row r="720" spans="1:21" x14ac:dyDescent="0.3">
      <c r="A720" t="s">
        <v>1202</v>
      </c>
      <c r="B720" s="1" t="s">
        <v>49</v>
      </c>
      <c r="C720" s="1" t="s">
        <v>50</v>
      </c>
      <c r="D720" s="1" t="s">
        <v>24</v>
      </c>
      <c r="E720" s="2">
        <v>42164</v>
      </c>
      <c r="F720" s="2" t="b">
        <f t="shared" si="47"/>
        <v>1</v>
      </c>
      <c r="G720" s="2">
        <f t="shared" si="45"/>
        <v>42164</v>
      </c>
      <c r="H720" s="1" t="s">
        <v>72</v>
      </c>
      <c r="I720" s="1" t="s">
        <v>398</v>
      </c>
      <c r="J720" s="1">
        <v>500</v>
      </c>
      <c r="K720" s="1">
        <v>495</v>
      </c>
      <c r="L720" s="3">
        <v>0.01</v>
      </c>
      <c r="N720" t="s">
        <v>3763</v>
      </c>
      <c r="S720" s="4" t="e">
        <f t="shared" si="46"/>
        <v>#NUM!</v>
      </c>
      <c r="T720" s="4" t="str">
        <f t="shared" si="44"/>
        <v/>
      </c>
      <c r="U720" s="4" t="s">
        <v>3763</v>
      </c>
    </row>
    <row r="721" spans="1:21" x14ac:dyDescent="0.3">
      <c r="A721" t="s">
        <v>1203</v>
      </c>
      <c r="B721" s="1" t="s">
        <v>17</v>
      </c>
      <c r="C721" s="1" t="s">
        <v>18</v>
      </c>
      <c r="D721" s="1" t="s">
        <v>19</v>
      </c>
      <c r="E721" s="2" t="s">
        <v>3325</v>
      </c>
      <c r="F721" s="2" t="b">
        <f t="shared" si="47"/>
        <v>0</v>
      </c>
      <c r="G721" s="2">
        <f t="shared" si="45"/>
        <v>41843</v>
      </c>
      <c r="H721" s="1" t="s">
        <v>122</v>
      </c>
      <c r="I721" s="1" t="s">
        <v>20</v>
      </c>
      <c r="J721" s="1">
        <v>50</v>
      </c>
      <c r="K721" s="1">
        <v>36</v>
      </c>
      <c r="L721" s="3">
        <v>0.28000000000000003</v>
      </c>
      <c r="N721" t="s">
        <v>3325</v>
      </c>
      <c r="P721">
        <v>7</v>
      </c>
      <c r="Q721">
        <v>23</v>
      </c>
      <c r="R721">
        <v>2014</v>
      </c>
      <c r="S721" s="4">
        <f t="shared" si="46"/>
        <v>41843</v>
      </c>
      <c r="T721" s="4">
        <f t="shared" si="44"/>
        <v>41843</v>
      </c>
      <c r="U721" s="4">
        <v>41843</v>
      </c>
    </row>
    <row r="722" spans="1:21" x14ac:dyDescent="0.3">
      <c r="A722" t="s">
        <v>1204</v>
      </c>
      <c r="B722" s="1" t="s">
        <v>400</v>
      </c>
      <c r="C722" s="1" t="s">
        <v>401</v>
      </c>
      <c r="D722" s="1" t="s">
        <v>13</v>
      </c>
      <c r="E722" s="2">
        <v>42217</v>
      </c>
      <c r="F722" s="2" t="b">
        <f t="shared" si="47"/>
        <v>1</v>
      </c>
      <c r="G722" s="2">
        <f t="shared" si="45"/>
        <v>42217</v>
      </c>
      <c r="H722" s="1" t="s">
        <v>36</v>
      </c>
      <c r="I722" s="1" t="s">
        <v>1167</v>
      </c>
      <c r="J722" s="1">
        <v>50</v>
      </c>
      <c r="K722" s="1">
        <v>48</v>
      </c>
      <c r="L722" s="3">
        <v>0.04</v>
      </c>
      <c r="N722" t="s">
        <v>3763</v>
      </c>
      <c r="S722" s="4" t="e">
        <f t="shared" si="46"/>
        <v>#NUM!</v>
      </c>
      <c r="T722" s="4" t="str">
        <f t="shared" si="44"/>
        <v/>
      </c>
      <c r="U722" s="4" t="s">
        <v>3763</v>
      </c>
    </row>
    <row r="723" spans="1:21" x14ac:dyDescent="0.3">
      <c r="A723" t="s">
        <v>1205</v>
      </c>
      <c r="B723" s="1" t="s">
        <v>53</v>
      </c>
      <c r="C723" s="1" t="s">
        <v>54</v>
      </c>
      <c r="D723" s="1" t="s">
        <v>13</v>
      </c>
      <c r="E723" s="2" t="s">
        <v>3112</v>
      </c>
      <c r="F723" s="2" t="b">
        <f t="shared" si="47"/>
        <v>0</v>
      </c>
      <c r="G723" s="2">
        <f t="shared" si="45"/>
        <v>43099</v>
      </c>
      <c r="H723" s="1" t="s">
        <v>46</v>
      </c>
      <c r="I723" s="1" t="s">
        <v>1206</v>
      </c>
      <c r="J723" s="1">
        <v>500</v>
      </c>
      <c r="K723" s="1">
        <v>475</v>
      </c>
      <c r="L723" s="3">
        <v>0.05</v>
      </c>
      <c r="N723" t="s">
        <v>3112</v>
      </c>
      <c r="P723">
        <v>12</v>
      </c>
      <c r="Q723">
        <v>30</v>
      </c>
      <c r="R723">
        <v>2017</v>
      </c>
      <c r="S723" s="4">
        <f t="shared" si="46"/>
        <v>43099</v>
      </c>
      <c r="T723" s="4">
        <f t="shared" si="44"/>
        <v>43099</v>
      </c>
      <c r="U723" s="4">
        <v>43099</v>
      </c>
    </row>
    <row r="724" spans="1:21" x14ac:dyDescent="0.3">
      <c r="A724" t="s">
        <v>1207</v>
      </c>
      <c r="B724" s="1" t="s">
        <v>255</v>
      </c>
      <c r="C724" s="1" t="s">
        <v>256</v>
      </c>
      <c r="D724" s="1" t="s">
        <v>13</v>
      </c>
      <c r="E724" s="2" t="s">
        <v>3121</v>
      </c>
      <c r="F724" s="2" t="b">
        <f t="shared" si="47"/>
        <v>0</v>
      </c>
      <c r="G724" s="2">
        <f t="shared" si="45"/>
        <v>42456</v>
      </c>
      <c r="H724" s="1" t="s">
        <v>36</v>
      </c>
      <c r="I724" s="1" t="s">
        <v>1208</v>
      </c>
      <c r="J724" s="1">
        <v>50</v>
      </c>
      <c r="K724" s="1">
        <v>43</v>
      </c>
      <c r="L724" s="3">
        <v>0.14000000000000001</v>
      </c>
      <c r="N724" t="s">
        <v>3121</v>
      </c>
      <c r="P724">
        <v>3</v>
      </c>
      <c r="Q724">
        <v>27</v>
      </c>
      <c r="R724">
        <v>2016</v>
      </c>
      <c r="S724" s="4">
        <f t="shared" si="46"/>
        <v>42456</v>
      </c>
      <c r="T724" s="4">
        <f t="shared" si="44"/>
        <v>42456</v>
      </c>
      <c r="U724" s="4">
        <v>42456</v>
      </c>
    </row>
    <row r="725" spans="1:21" x14ac:dyDescent="0.3">
      <c r="A725" t="s">
        <v>1209</v>
      </c>
      <c r="B725" s="1" t="s">
        <v>227</v>
      </c>
      <c r="C725" s="1" t="s">
        <v>228</v>
      </c>
      <c r="D725" s="1" t="s">
        <v>24</v>
      </c>
      <c r="E725" s="2" t="s">
        <v>3326</v>
      </c>
      <c r="F725" s="2" t="b">
        <f t="shared" si="47"/>
        <v>0</v>
      </c>
      <c r="G725" s="2">
        <f t="shared" si="45"/>
        <v>43157</v>
      </c>
      <c r="H725" s="1" t="s">
        <v>115</v>
      </c>
      <c r="I725" s="1" t="s">
        <v>685</v>
      </c>
      <c r="J725" s="1">
        <v>250</v>
      </c>
      <c r="K725" s="1">
        <v>235</v>
      </c>
      <c r="L725" s="3">
        <v>0.06</v>
      </c>
      <c r="N725" t="s">
        <v>3326</v>
      </c>
      <c r="P725">
        <v>2</v>
      </c>
      <c r="Q725">
        <v>26</v>
      </c>
      <c r="R725">
        <v>2018</v>
      </c>
      <c r="S725" s="4">
        <f t="shared" si="46"/>
        <v>43157</v>
      </c>
      <c r="T725" s="4">
        <f t="shared" si="44"/>
        <v>43157</v>
      </c>
      <c r="U725" s="4">
        <v>43157</v>
      </c>
    </row>
    <row r="726" spans="1:21" x14ac:dyDescent="0.3">
      <c r="A726" t="s">
        <v>1210</v>
      </c>
      <c r="B726" s="1" t="s">
        <v>146</v>
      </c>
      <c r="C726" s="1" t="s">
        <v>147</v>
      </c>
      <c r="D726" s="1" t="s">
        <v>13</v>
      </c>
      <c r="E726" s="2">
        <v>43316</v>
      </c>
      <c r="F726" s="2" t="b">
        <f t="shared" si="47"/>
        <v>1</v>
      </c>
      <c r="G726" s="2">
        <f t="shared" si="45"/>
        <v>43316</v>
      </c>
      <c r="H726" s="1" t="s">
        <v>122</v>
      </c>
      <c r="I726" s="1" t="s">
        <v>830</v>
      </c>
      <c r="J726" s="1">
        <v>50</v>
      </c>
      <c r="K726" s="1">
        <v>43</v>
      </c>
      <c r="L726" s="3">
        <v>0.14000000000000001</v>
      </c>
      <c r="N726" t="s">
        <v>3763</v>
      </c>
      <c r="S726" s="4" t="e">
        <f t="shared" si="46"/>
        <v>#NUM!</v>
      </c>
      <c r="T726" s="4" t="str">
        <f t="shared" si="44"/>
        <v/>
      </c>
      <c r="U726" s="4" t="s">
        <v>3763</v>
      </c>
    </row>
    <row r="727" spans="1:21" x14ac:dyDescent="0.3">
      <c r="A727" t="s">
        <v>1211</v>
      </c>
      <c r="B727" s="1" t="s">
        <v>224</v>
      </c>
      <c r="C727" s="1" t="s">
        <v>50</v>
      </c>
      <c r="D727" s="1" t="s">
        <v>24</v>
      </c>
      <c r="E727" s="2" t="s">
        <v>3327</v>
      </c>
      <c r="F727" s="2" t="b">
        <f t="shared" si="47"/>
        <v>0</v>
      </c>
      <c r="G727" s="2">
        <f t="shared" si="45"/>
        <v>42303</v>
      </c>
      <c r="H727" s="1" t="s">
        <v>41</v>
      </c>
      <c r="I727" s="1" t="s">
        <v>509</v>
      </c>
      <c r="J727" s="1">
        <v>30</v>
      </c>
      <c r="K727" s="1">
        <v>26</v>
      </c>
      <c r="L727" s="3">
        <v>0.1333</v>
      </c>
      <c r="N727" t="s">
        <v>3327</v>
      </c>
      <c r="P727">
        <v>10</v>
      </c>
      <c r="Q727">
        <v>26</v>
      </c>
      <c r="R727">
        <v>2015</v>
      </c>
      <c r="S727" s="4">
        <f t="shared" si="46"/>
        <v>42303</v>
      </c>
      <c r="T727" s="4">
        <f t="shared" si="44"/>
        <v>42303</v>
      </c>
      <c r="U727" s="4">
        <v>42303</v>
      </c>
    </row>
    <row r="728" spans="1:21" x14ac:dyDescent="0.3">
      <c r="A728" t="s">
        <v>1212</v>
      </c>
      <c r="B728" s="1" t="s">
        <v>49</v>
      </c>
      <c r="C728" s="1" t="s">
        <v>50</v>
      </c>
      <c r="D728" s="1" t="s">
        <v>24</v>
      </c>
      <c r="E728" s="2" t="s">
        <v>3328</v>
      </c>
      <c r="F728" s="2" t="b">
        <f t="shared" si="47"/>
        <v>0</v>
      </c>
      <c r="G728" s="2">
        <f t="shared" si="45"/>
        <v>42271</v>
      </c>
      <c r="H728" s="1" t="s">
        <v>104</v>
      </c>
      <c r="I728" s="1" t="s">
        <v>378</v>
      </c>
      <c r="J728" s="1">
        <v>70</v>
      </c>
      <c r="K728" s="1">
        <v>53</v>
      </c>
      <c r="L728" s="3">
        <v>0.2429</v>
      </c>
      <c r="N728" t="s">
        <v>3328</v>
      </c>
      <c r="P728">
        <v>9</v>
      </c>
      <c r="Q728">
        <v>24</v>
      </c>
      <c r="R728">
        <v>2015</v>
      </c>
      <c r="S728" s="4">
        <f t="shared" si="46"/>
        <v>42271</v>
      </c>
      <c r="T728" s="4">
        <f t="shared" si="44"/>
        <v>42271</v>
      </c>
      <c r="U728" s="4">
        <v>42271</v>
      </c>
    </row>
    <row r="729" spans="1:21" x14ac:dyDescent="0.3">
      <c r="A729" t="s">
        <v>1213</v>
      </c>
      <c r="B729" s="1" t="s">
        <v>91</v>
      </c>
      <c r="C729" s="1" t="s">
        <v>92</v>
      </c>
      <c r="D729" s="1" t="s">
        <v>35</v>
      </c>
      <c r="E729" s="2" t="s">
        <v>3329</v>
      </c>
      <c r="F729" s="2" t="b">
        <f t="shared" si="47"/>
        <v>0</v>
      </c>
      <c r="G729" s="2">
        <f t="shared" si="45"/>
        <v>42933</v>
      </c>
      <c r="H729" s="1" t="s">
        <v>30</v>
      </c>
      <c r="I729" s="1" t="s">
        <v>939</v>
      </c>
      <c r="J729" s="1">
        <v>150</v>
      </c>
      <c r="K729" s="1">
        <v>149</v>
      </c>
      <c r="L729" s="3">
        <v>6.7000000000000002E-3</v>
      </c>
      <c r="N729" t="s">
        <v>3329</v>
      </c>
      <c r="P729">
        <v>7</v>
      </c>
      <c r="Q729">
        <v>17</v>
      </c>
      <c r="R729">
        <v>2017</v>
      </c>
      <c r="S729" s="4">
        <f t="shared" si="46"/>
        <v>42933</v>
      </c>
      <c r="T729" s="4">
        <f t="shared" si="44"/>
        <v>42933</v>
      </c>
      <c r="U729" s="4">
        <v>42933</v>
      </c>
    </row>
    <row r="730" spans="1:21" x14ac:dyDescent="0.3">
      <c r="A730" t="s">
        <v>1214</v>
      </c>
      <c r="B730" s="1" t="s">
        <v>150</v>
      </c>
      <c r="C730" s="1" t="s">
        <v>151</v>
      </c>
      <c r="D730" s="1" t="s">
        <v>13</v>
      </c>
      <c r="E730" s="2" t="s">
        <v>3330</v>
      </c>
      <c r="F730" s="2" t="b">
        <f t="shared" si="47"/>
        <v>0</v>
      </c>
      <c r="G730" s="2">
        <f t="shared" si="45"/>
        <v>43238</v>
      </c>
      <c r="H730" s="1" t="s">
        <v>115</v>
      </c>
      <c r="I730" s="1" t="s">
        <v>824</v>
      </c>
      <c r="J730" s="1">
        <v>250</v>
      </c>
      <c r="K730" s="1">
        <v>228</v>
      </c>
      <c r="L730" s="3">
        <v>8.7999999999999995E-2</v>
      </c>
      <c r="N730" t="s">
        <v>3330</v>
      </c>
      <c r="P730">
        <v>5</v>
      </c>
      <c r="Q730">
        <v>18</v>
      </c>
      <c r="R730">
        <v>2018</v>
      </c>
      <c r="S730" s="4">
        <f t="shared" si="46"/>
        <v>43238</v>
      </c>
      <c r="T730" s="4">
        <f t="shared" si="44"/>
        <v>43238</v>
      </c>
      <c r="U730" s="4">
        <v>43238</v>
      </c>
    </row>
    <row r="731" spans="1:21" x14ac:dyDescent="0.3">
      <c r="A731" t="s">
        <v>1215</v>
      </c>
      <c r="B731" s="1" t="s">
        <v>146</v>
      </c>
      <c r="C731" s="1" t="s">
        <v>147</v>
      </c>
      <c r="D731" s="1" t="s">
        <v>13</v>
      </c>
      <c r="E731" s="2" t="s">
        <v>3331</v>
      </c>
      <c r="F731" s="2" t="b">
        <f t="shared" si="47"/>
        <v>0</v>
      </c>
      <c r="G731" s="2">
        <f t="shared" si="45"/>
        <v>42506</v>
      </c>
      <c r="H731" s="1" t="s">
        <v>104</v>
      </c>
      <c r="I731" s="1" t="s">
        <v>1006</v>
      </c>
      <c r="J731" s="1">
        <v>70</v>
      </c>
      <c r="K731" s="1">
        <v>64</v>
      </c>
      <c r="L731" s="3">
        <v>8.5699999999999998E-2</v>
      </c>
      <c r="N731" t="s">
        <v>3331</v>
      </c>
      <c r="P731">
        <v>5</v>
      </c>
      <c r="Q731">
        <v>16</v>
      </c>
      <c r="R731">
        <v>2016</v>
      </c>
      <c r="S731" s="4">
        <f t="shared" si="46"/>
        <v>42506</v>
      </c>
      <c r="T731" s="4">
        <f t="shared" si="44"/>
        <v>42506</v>
      </c>
      <c r="U731" s="4">
        <v>42506</v>
      </c>
    </row>
    <row r="732" spans="1:21" x14ac:dyDescent="0.3">
      <c r="A732" t="s">
        <v>1216</v>
      </c>
      <c r="B732" s="1" t="s">
        <v>28</v>
      </c>
      <c r="C732" s="1" t="s">
        <v>29</v>
      </c>
      <c r="D732" s="1" t="s">
        <v>13</v>
      </c>
      <c r="E732" s="2">
        <v>42528</v>
      </c>
      <c r="F732" s="2" t="b">
        <f t="shared" si="47"/>
        <v>1</v>
      </c>
      <c r="G732" s="2">
        <f t="shared" si="45"/>
        <v>42528</v>
      </c>
      <c r="H732" s="1" t="s">
        <v>41</v>
      </c>
      <c r="I732" s="1" t="s">
        <v>249</v>
      </c>
      <c r="J732" s="1">
        <v>30</v>
      </c>
      <c r="K732" s="1">
        <v>27</v>
      </c>
      <c r="L732" s="3">
        <v>0.1</v>
      </c>
      <c r="N732" t="s">
        <v>3763</v>
      </c>
      <c r="S732" s="4" t="e">
        <f t="shared" si="46"/>
        <v>#NUM!</v>
      </c>
      <c r="T732" s="4" t="str">
        <f t="shared" si="44"/>
        <v/>
      </c>
      <c r="U732" s="4" t="s">
        <v>3763</v>
      </c>
    </row>
    <row r="733" spans="1:21" x14ac:dyDescent="0.3">
      <c r="A733" t="s">
        <v>1217</v>
      </c>
      <c r="B733" s="1" t="s">
        <v>111</v>
      </c>
      <c r="C733" s="1" t="s">
        <v>82</v>
      </c>
      <c r="D733" s="1" t="s">
        <v>13</v>
      </c>
      <c r="E733" s="2" t="s">
        <v>3332</v>
      </c>
      <c r="F733" s="2" t="b">
        <f t="shared" si="47"/>
        <v>0</v>
      </c>
      <c r="G733" s="2">
        <f t="shared" si="45"/>
        <v>42702</v>
      </c>
      <c r="H733" s="1" t="s">
        <v>55</v>
      </c>
      <c r="I733" s="1" t="s">
        <v>1218</v>
      </c>
      <c r="J733" s="1">
        <v>800</v>
      </c>
      <c r="K733" s="1">
        <v>648</v>
      </c>
      <c r="L733" s="3">
        <v>0.19</v>
      </c>
      <c r="N733" t="s">
        <v>3332</v>
      </c>
      <c r="P733">
        <v>11</v>
      </c>
      <c r="Q733">
        <v>28</v>
      </c>
      <c r="R733">
        <v>2016</v>
      </c>
      <c r="S733" s="4">
        <f t="shared" si="46"/>
        <v>42702</v>
      </c>
      <c r="T733" s="4">
        <f t="shared" si="44"/>
        <v>42702</v>
      </c>
      <c r="U733" s="4">
        <v>42702</v>
      </c>
    </row>
    <row r="734" spans="1:21" x14ac:dyDescent="0.3">
      <c r="A734" t="s">
        <v>1219</v>
      </c>
      <c r="B734" s="1" t="s">
        <v>154</v>
      </c>
      <c r="C734" s="1" t="s">
        <v>108</v>
      </c>
      <c r="D734" s="1" t="s">
        <v>19</v>
      </c>
      <c r="E734" s="2">
        <v>42282</v>
      </c>
      <c r="F734" s="2" t="b">
        <f t="shared" si="47"/>
        <v>1</v>
      </c>
      <c r="G734" s="2">
        <f t="shared" si="45"/>
        <v>42282</v>
      </c>
      <c r="H734" s="1" t="s">
        <v>41</v>
      </c>
      <c r="I734" s="1" t="s">
        <v>1004</v>
      </c>
      <c r="J734" s="1">
        <v>30</v>
      </c>
      <c r="K734" s="1">
        <v>30</v>
      </c>
      <c r="L734" s="3">
        <v>0</v>
      </c>
      <c r="N734" t="s">
        <v>3763</v>
      </c>
      <c r="S734" s="4" t="e">
        <f t="shared" si="46"/>
        <v>#NUM!</v>
      </c>
      <c r="T734" s="4" t="str">
        <f t="shared" si="44"/>
        <v/>
      </c>
      <c r="U734" s="4" t="s">
        <v>3763</v>
      </c>
    </row>
    <row r="735" spans="1:21" x14ac:dyDescent="0.3">
      <c r="A735" t="s">
        <v>1220</v>
      </c>
      <c r="B735" s="1" t="s">
        <v>114</v>
      </c>
      <c r="C735" s="1" t="s">
        <v>54</v>
      </c>
      <c r="D735" s="1" t="s">
        <v>13</v>
      </c>
      <c r="E735" s="2" t="s">
        <v>3333</v>
      </c>
      <c r="F735" s="2" t="b">
        <f t="shared" si="47"/>
        <v>0</v>
      </c>
      <c r="G735" s="2">
        <f t="shared" si="45"/>
        <v>41745</v>
      </c>
      <c r="H735" s="1" t="s">
        <v>55</v>
      </c>
      <c r="I735" s="1" t="s">
        <v>1221</v>
      </c>
      <c r="J735" s="1">
        <v>800</v>
      </c>
      <c r="K735" s="1">
        <v>488</v>
      </c>
      <c r="L735" s="3">
        <v>0.39</v>
      </c>
      <c r="N735" t="s">
        <v>3333</v>
      </c>
      <c r="P735">
        <v>4</v>
      </c>
      <c r="Q735">
        <v>16</v>
      </c>
      <c r="R735">
        <v>2014</v>
      </c>
      <c r="S735" s="4">
        <f t="shared" si="46"/>
        <v>41745</v>
      </c>
      <c r="T735" s="4">
        <f t="shared" si="44"/>
        <v>41745</v>
      </c>
      <c r="U735" s="4">
        <v>41745</v>
      </c>
    </row>
    <row r="736" spans="1:21" x14ac:dyDescent="0.3">
      <c r="A736" t="s">
        <v>1222</v>
      </c>
      <c r="B736" s="1" t="s">
        <v>81</v>
      </c>
      <c r="C736" s="1" t="s">
        <v>82</v>
      </c>
      <c r="D736" s="1" t="s">
        <v>13</v>
      </c>
      <c r="E736" s="2">
        <v>41825</v>
      </c>
      <c r="F736" s="2" t="b">
        <f t="shared" si="47"/>
        <v>1</v>
      </c>
      <c r="G736" s="2">
        <f t="shared" si="45"/>
        <v>41825</v>
      </c>
      <c r="H736" s="1" t="s">
        <v>25</v>
      </c>
      <c r="I736" s="1" t="s">
        <v>953</v>
      </c>
      <c r="J736" s="1">
        <v>700</v>
      </c>
      <c r="K736" s="1">
        <v>546</v>
      </c>
      <c r="L736" s="3">
        <v>0.22</v>
      </c>
      <c r="N736" t="s">
        <v>3763</v>
      </c>
      <c r="S736" s="4" t="e">
        <f t="shared" si="46"/>
        <v>#NUM!</v>
      </c>
      <c r="T736" s="4" t="str">
        <f t="shared" si="44"/>
        <v/>
      </c>
      <c r="U736" s="4" t="s">
        <v>3763</v>
      </c>
    </row>
    <row r="737" spans="1:21" x14ac:dyDescent="0.3">
      <c r="A737" t="s">
        <v>1223</v>
      </c>
      <c r="B737" s="1" t="s">
        <v>289</v>
      </c>
      <c r="C737" s="1" t="s">
        <v>108</v>
      </c>
      <c r="D737" s="1" t="s">
        <v>19</v>
      </c>
      <c r="E737" s="2">
        <v>42622</v>
      </c>
      <c r="F737" s="2" t="b">
        <f t="shared" si="47"/>
        <v>1</v>
      </c>
      <c r="G737" s="2">
        <f t="shared" si="45"/>
        <v>42622</v>
      </c>
      <c r="H737" s="1" t="s">
        <v>115</v>
      </c>
      <c r="I737" s="1" t="s">
        <v>500</v>
      </c>
      <c r="J737" s="1">
        <v>250</v>
      </c>
      <c r="K737" s="1">
        <v>248</v>
      </c>
      <c r="L737" s="3">
        <v>8.0000000000000002E-3</v>
      </c>
      <c r="N737" t="s">
        <v>3763</v>
      </c>
      <c r="S737" s="4" t="e">
        <f t="shared" si="46"/>
        <v>#NUM!</v>
      </c>
      <c r="T737" s="4" t="str">
        <f t="shared" si="44"/>
        <v/>
      </c>
      <c r="U737" s="4" t="s">
        <v>3763</v>
      </c>
    </row>
    <row r="738" spans="1:21" x14ac:dyDescent="0.3">
      <c r="A738" t="s">
        <v>1224</v>
      </c>
      <c r="B738" s="1" t="s">
        <v>95</v>
      </c>
      <c r="C738" s="1" t="s">
        <v>96</v>
      </c>
      <c r="D738" s="1" t="s">
        <v>13</v>
      </c>
      <c r="E738" s="2">
        <v>42651</v>
      </c>
      <c r="F738" s="2" t="b">
        <f t="shared" si="47"/>
        <v>1</v>
      </c>
      <c r="G738" s="2">
        <f t="shared" si="45"/>
        <v>42651</v>
      </c>
      <c r="H738" s="1" t="s">
        <v>115</v>
      </c>
      <c r="I738" s="1" t="s">
        <v>769</v>
      </c>
      <c r="J738" s="1">
        <v>250</v>
      </c>
      <c r="K738" s="1">
        <v>243</v>
      </c>
      <c r="L738" s="3">
        <v>2.8000000000000001E-2</v>
      </c>
      <c r="N738" t="s">
        <v>3763</v>
      </c>
      <c r="S738" s="4" t="e">
        <f t="shared" si="46"/>
        <v>#NUM!</v>
      </c>
      <c r="T738" s="4" t="str">
        <f t="shared" si="44"/>
        <v/>
      </c>
      <c r="U738" s="4" t="s">
        <v>3763</v>
      </c>
    </row>
    <row r="739" spans="1:21" x14ac:dyDescent="0.3">
      <c r="A739" t="s">
        <v>1225</v>
      </c>
      <c r="B739" s="1" t="s">
        <v>64</v>
      </c>
      <c r="C739" s="1" t="s">
        <v>65</v>
      </c>
      <c r="D739" s="1" t="s">
        <v>35</v>
      </c>
      <c r="E739" s="2" t="s">
        <v>3334</v>
      </c>
      <c r="F739" s="2" t="b">
        <f t="shared" si="47"/>
        <v>0</v>
      </c>
      <c r="G739" s="2">
        <f t="shared" si="45"/>
        <v>43462</v>
      </c>
      <c r="H739" s="1" t="s">
        <v>36</v>
      </c>
      <c r="I739" s="1" t="s">
        <v>1057</v>
      </c>
      <c r="J739" s="1">
        <v>50</v>
      </c>
      <c r="K739" s="1">
        <v>49</v>
      </c>
      <c r="L739" s="3">
        <v>0.02</v>
      </c>
      <c r="N739" t="s">
        <v>3334</v>
      </c>
      <c r="P739">
        <v>12</v>
      </c>
      <c r="Q739">
        <v>28</v>
      </c>
      <c r="R739">
        <v>2018</v>
      </c>
      <c r="S739" s="4">
        <f t="shared" si="46"/>
        <v>43462</v>
      </c>
      <c r="T739" s="4">
        <f t="shared" si="44"/>
        <v>43462</v>
      </c>
      <c r="U739" s="4">
        <v>43462</v>
      </c>
    </row>
    <row r="740" spans="1:21" x14ac:dyDescent="0.3">
      <c r="A740" t="s">
        <v>1226</v>
      </c>
      <c r="B740" s="1" t="s">
        <v>289</v>
      </c>
      <c r="C740" s="1" t="s">
        <v>108</v>
      </c>
      <c r="D740" s="1" t="s">
        <v>19</v>
      </c>
      <c r="E740" s="2" t="s">
        <v>3335</v>
      </c>
      <c r="F740" s="2" t="b">
        <f t="shared" si="47"/>
        <v>0</v>
      </c>
      <c r="G740" s="2">
        <f t="shared" si="45"/>
        <v>42608</v>
      </c>
      <c r="H740" s="1" t="s">
        <v>115</v>
      </c>
      <c r="I740" s="1" t="s">
        <v>481</v>
      </c>
      <c r="J740" s="1">
        <v>250</v>
      </c>
      <c r="K740" s="1">
        <v>250</v>
      </c>
      <c r="L740" s="3">
        <v>0</v>
      </c>
      <c r="N740" t="s">
        <v>3335</v>
      </c>
      <c r="P740">
        <v>8</v>
      </c>
      <c r="Q740">
        <v>26</v>
      </c>
      <c r="R740">
        <v>2016</v>
      </c>
      <c r="S740" s="4">
        <f t="shared" si="46"/>
        <v>42608</v>
      </c>
      <c r="T740" s="4">
        <f t="shared" si="44"/>
        <v>42608</v>
      </c>
      <c r="U740" s="4">
        <v>42608</v>
      </c>
    </row>
    <row r="741" spans="1:21" x14ac:dyDescent="0.3">
      <c r="A741" t="s">
        <v>1227</v>
      </c>
      <c r="B741" s="1" t="s">
        <v>28</v>
      </c>
      <c r="C741" s="1" t="s">
        <v>29</v>
      </c>
      <c r="D741" s="1" t="s">
        <v>13</v>
      </c>
      <c r="E741" s="2" t="s">
        <v>3067</v>
      </c>
      <c r="F741" s="2" t="b">
        <f t="shared" si="47"/>
        <v>0</v>
      </c>
      <c r="G741" s="2">
        <f t="shared" si="45"/>
        <v>43121</v>
      </c>
      <c r="H741" s="1" t="s">
        <v>36</v>
      </c>
      <c r="I741" s="1" t="s">
        <v>31</v>
      </c>
      <c r="J741" s="1">
        <v>50</v>
      </c>
      <c r="K741" s="1">
        <v>47</v>
      </c>
      <c r="L741" s="3">
        <v>0.06</v>
      </c>
      <c r="N741" t="s">
        <v>3067</v>
      </c>
      <c r="P741">
        <v>1</v>
      </c>
      <c r="Q741">
        <v>21</v>
      </c>
      <c r="R741">
        <v>2018</v>
      </c>
      <c r="S741" s="4">
        <f t="shared" si="46"/>
        <v>43121</v>
      </c>
      <c r="T741" s="4">
        <f t="shared" si="44"/>
        <v>43121</v>
      </c>
      <c r="U741" s="4">
        <v>43121</v>
      </c>
    </row>
    <row r="742" spans="1:21" x14ac:dyDescent="0.3">
      <c r="A742" t="s">
        <v>1228</v>
      </c>
      <c r="B742" s="1" t="s">
        <v>131</v>
      </c>
      <c r="C742" s="1" t="s">
        <v>108</v>
      </c>
      <c r="D742" s="1" t="s">
        <v>19</v>
      </c>
      <c r="E742" s="2" t="s">
        <v>3180</v>
      </c>
      <c r="F742" s="2" t="b">
        <f t="shared" si="47"/>
        <v>0</v>
      </c>
      <c r="G742" s="2">
        <f t="shared" si="45"/>
        <v>42546</v>
      </c>
      <c r="H742" s="1" t="s">
        <v>25</v>
      </c>
      <c r="I742" s="1" t="s">
        <v>382</v>
      </c>
      <c r="J742" s="1">
        <v>700</v>
      </c>
      <c r="K742" s="1">
        <v>644</v>
      </c>
      <c r="L742" s="3">
        <v>0.08</v>
      </c>
      <c r="N742" t="s">
        <v>3180</v>
      </c>
      <c r="P742">
        <v>6</v>
      </c>
      <c r="Q742">
        <v>25</v>
      </c>
      <c r="R742">
        <v>2016</v>
      </c>
      <c r="S742" s="4">
        <f t="shared" si="46"/>
        <v>42546</v>
      </c>
      <c r="T742" s="4">
        <f t="shared" si="44"/>
        <v>42546</v>
      </c>
      <c r="U742" s="4">
        <v>42546</v>
      </c>
    </row>
    <row r="743" spans="1:21" x14ac:dyDescent="0.3">
      <c r="A743" t="s">
        <v>1229</v>
      </c>
      <c r="B743" s="1" t="s">
        <v>77</v>
      </c>
      <c r="C743" s="1" t="s">
        <v>78</v>
      </c>
      <c r="D743" s="1" t="s">
        <v>35</v>
      </c>
      <c r="E743" s="2" t="s">
        <v>3108</v>
      </c>
      <c r="F743" s="2" t="b">
        <f t="shared" si="47"/>
        <v>0</v>
      </c>
      <c r="G743" s="2">
        <f t="shared" si="45"/>
        <v>43061</v>
      </c>
      <c r="H743" s="1" t="s">
        <v>72</v>
      </c>
      <c r="I743" s="1" t="s">
        <v>548</v>
      </c>
      <c r="J743" s="1">
        <v>500</v>
      </c>
      <c r="K743" s="1">
        <v>495</v>
      </c>
      <c r="L743" s="3">
        <v>0.01</v>
      </c>
      <c r="N743" t="s">
        <v>3108</v>
      </c>
      <c r="P743">
        <v>11</v>
      </c>
      <c r="Q743">
        <v>22</v>
      </c>
      <c r="R743">
        <v>2017</v>
      </c>
      <c r="S743" s="4">
        <f t="shared" si="46"/>
        <v>43061</v>
      </c>
      <c r="T743" s="4">
        <f t="shared" si="44"/>
        <v>43061</v>
      </c>
      <c r="U743" s="4">
        <v>43061</v>
      </c>
    </row>
    <row r="744" spans="1:21" x14ac:dyDescent="0.3">
      <c r="A744" t="s">
        <v>1230</v>
      </c>
      <c r="B744" s="1" t="s">
        <v>103</v>
      </c>
      <c r="C744" s="1" t="s">
        <v>71</v>
      </c>
      <c r="D744" s="1" t="s">
        <v>35</v>
      </c>
      <c r="E744" s="2" t="s">
        <v>3330</v>
      </c>
      <c r="F744" s="2" t="b">
        <f t="shared" si="47"/>
        <v>0</v>
      </c>
      <c r="G744" s="2">
        <f t="shared" si="45"/>
        <v>43238</v>
      </c>
      <c r="H744" s="1" t="s">
        <v>25</v>
      </c>
      <c r="I744" s="1" t="s">
        <v>191</v>
      </c>
      <c r="J744" s="1">
        <v>700</v>
      </c>
      <c r="K744" s="1">
        <v>644</v>
      </c>
      <c r="L744" s="3">
        <v>0.08</v>
      </c>
      <c r="N744" t="s">
        <v>3330</v>
      </c>
      <c r="P744">
        <v>5</v>
      </c>
      <c r="Q744">
        <v>18</v>
      </c>
      <c r="R744">
        <v>2018</v>
      </c>
      <c r="S744" s="4">
        <f t="shared" si="46"/>
        <v>43238</v>
      </c>
      <c r="T744" s="4">
        <f t="shared" si="44"/>
        <v>43238</v>
      </c>
      <c r="U744" s="4">
        <v>43238</v>
      </c>
    </row>
    <row r="745" spans="1:21" x14ac:dyDescent="0.3">
      <c r="A745" t="s">
        <v>1231</v>
      </c>
      <c r="B745" s="1" t="s">
        <v>81</v>
      </c>
      <c r="C745" s="1" t="s">
        <v>82</v>
      </c>
      <c r="D745" s="1" t="s">
        <v>13</v>
      </c>
      <c r="E745" s="2">
        <v>43378</v>
      </c>
      <c r="F745" s="2" t="b">
        <f t="shared" si="47"/>
        <v>1</v>
      </c>
      <c r="G745" s="2">
        <f t="shared" si="45"/>
        <v>43378</v>
      </c>
      <c r="H745" s="1" t="s">
        <v>25</v>
      </c>
      <c r="I745" s="1" t="s">
        <v>1232</v>
      </c>
      <c r="J745" s="1">
        <v>700</v>
      </c>
      <c r="K745" s="1">
        <v>651</v>
      </c>
      <c r="L745" s="3">
        <v>7.0000000000000007E-2</v>
      </c>
      <c r="N745" t="s">
        <v>3763</v>
      </c>
      <c r="S745" s="4" t="e">
        <f t="shared" si="46"/>
        <v>#NUM!</v>
      </c>
      <c r="T745" s="4" t="str">
        <f t="shared" si="44"/>
        <v/>
      </c>
      <c r="U745" s="4" t="s">
        <v>3763</v>
      </c>
    </row>
    <row r="746" spans="1:21" x14ac:dyDescent="0.3">
      <c r="A746" t="s">
        <v>1233</v>
      </c>
      <c r="B746" s="1" t="s">
        <v>77</v>
      </c>
      <c r="C746" s="1" t="s">
        <v>78</v>
      </c>
      <c r="D746" s="1" t="s">
        <v>35</v>
      </c>
      <c r="E746" s="2" t="s">
        <v>3336</v>
      </c>
      <c r="F746" s="2" t="b">
        <f t="shared" si="47"/>
        <v>0</v>
      </c>
      <c r="G746" s="2">
        <f t="shared" si="45"/>
        <v>42274</v>
      </c>
      <c r="H746" s="1" t="s">
        <v>55</v>
      </c>
      <c r="I746" s="1" t="s">
        <v>79</v>
      </c>
      <c r="J746" s="1">
        <v>800</v>
      </c>
      <c r="K746" s="1">
        <v>752</v>
      </c>
      <c r="L746" s="3">
        <v>0.06</v>
      </c>
      <c r="N746" t="s">
        <v>3336</v>
      </c>
      <c r="P746">
        <v>9</v>
      </c>
      <c r="Q746">
        <v>27</v>
      </c>
      <c r="R746">
        <v>2015</v>
      </c>
      <c r="S746" s="4">
        <f t="shared" si="46"/>
        <v>42274</v>
      </c>
      <c r="T746" s="4">
        <f t="shared" si="44"/>
        <v>42274</v>
      </c>
      <c r="U746" s="4">
        <v>42274</v>
      </c>
    </row>
    <row r="747" spans="1:21" x14ac:dyDescent="0.3">
      <c r="A747" t="s">
        <v>1234</v>
      </c>
      <c r="B747" s="1" t="s">
        <v>146</v>
      </c>
      <c r="C747" s="1" t="s">
        <v>147</v>
      </c>
      <c r="D747" s="1" t="s">
        <v>13</v>
      </c>
      <c r="E747" s="2" t="s">
        <v>3337</v>
      </c>
      <c r="F747" s="2" t="b">
        <f t="shared" si="47"/>
        <v>0</v>
      </c>
      <c r="G747" s="2">
        <f t="shared" si="45"/>
        <v>43206</v>
      </c>
      <c r="H747" s="1" t="s">
        <v>115</v>
      </c>
      <c r="I747" s="1" t="s">
        <v>1235</v>
      </c>
      <c r="J747" s="1">
        <v>250</v>
      </c>
      <c r="K747" s="1">
        <v>233</v>
      </c>
      <c r="L747" s="3">
        <v>6.8000000000000005E-2</v>
      </c>
      <c r="N747" t="s">
        <v>3337</v>
      </c>
      <c r="P747">
        <v>4</v>
      </c>
      <c r="Q747">
        <v>16</v>
      </c>
      <c r="R747">
        <v>2018</v>
      </c>
      <c r="S747" s="4">
        <f t="shared" si="46"/>
        <v>43206</v>
      </c>
      <c r="T747" s="4">
        <f t="shared" si="44"/>
        <v>43206</v>
      </c>
      <c r="U747" s="4">
        <v>43206</v>
      </c>
    </row>
    <row r="748" spans="1:21" x14ac:dyDescent="0.3">
      <c r="A748" t="s">
        <v>1236</v>
      </c>
      <c r="B748" s="1" t="s">
        <v>59</v>
      </c>
      <c r="C748" s="1" t="s">
        <v>60</v>
      </c>
      <c r="D748" s="1" t="s">
        <v>13</v>
      </c>
      <c r="E748" s="2" t="s">
        <v>3019</v>
      </c>
      <c r="F748" s="2" t="b">
        <f t="shared" si="47"/>
        <v>0</v>
      </c>
      <c r="G748" s="2">
        <f t="shared" si="45"/>
        <v>41963</v>
      </c>
      <c r="H748" s="1" t="s">
        <v>55</v>
      </c>
      <c r="I748" s="1" t="s">
        <v>312</v>
      </c>
      <c r="J748" s="1">
        <v>800</v>
      </c>
      <c r="K748" s="1">
        <v>480</v>
      </c>
      <c r="L748" s="3">
        <v>0.4</v>
      </c>
      <c r="N748" t="s">
        <v>3019</v>
      </c>
      <c r="P748">
        <v>11</v>
      </c>
      <c r="Q748">
        <v>20</v>
      </c>
      <c r="R748">
        <v>2014</v>
      </c>
      <c r="S748" s="4">
        <f t="shared" si="46"/>
        <v>41963</v>
      </c>
      <c r="T748" s="4">
        <f t="shared" si="44"/>
        <v>41963</v>
      </c>
      <c r="U748" s="4">
        <v>41963</v>
      </c>
    </row>
    <row r="749" spans="1:21" x14ac:dyDescent="0.3">
      <c r="A749" t="s">
        <v>1237</v>
      </c>
      <c r="B749" s="1" t="s">
        <v>59</v>
      </c>
      <c r="C749" s="1" t="s">
        <v>60</v>
      </c>
      <c r="D749" s="1" t="s">
        <v>13</v>
      </c>
      <c r="E749" s="2">
        <v>43049</v>
      </c>
      <c r="F749" s="2" t="b">
        <f t="shared" si="47"/>
        <v>1</v>
      </c>
      <c r="G749" s="2">
        <f t="shared" si="45"/>
        <v>43049</v>
      </c>
      <c r="H749" s="1" t="s">
        <v>61</v>
      </c>
      <c r="I749" s="1" t="s">
        <v>1014</v>
      </c>
      <c r="J749" s="1">
        <v>1000</v>
      </c>
      <c r="K749" s="1">
        <v>810</v>
      </c>
      <c r="L749" s="3">
        <v>0.19</v>
      </c>
      <c r="N749" t="s">
        <v>3763</v>
      </c>
      <c r="S749" s="4" t="e">
        <f t="shared" si="46"/>
        <v>#NUM!</v>
      </c>
      <c r="T749" s="4" t="str">
        <f t="shared" si="44"/>
        <v/>
      </c>
      <c r="U749" s="4" t="s">
        <v>3763</v>
      </c>
    </row>
    <row r="750" spans="1:21" x14ac:dyDescent="0.3">
      <c r="A750" t="s">
        <v>1238</v>
      </c>
      <c r="B750" s="1" t="s">
        <v>224</v>
      </c>
      <c r="C750" s="1" t="s">
        <v>50</v>
      </c>
      <c r="D750" s="1" t="s">
        <v>24</v>
      </c>
      <c r="E750" s="2" t="s">
        <v>3338</v>
      </c>
      <c r="F750" s="2" t="b">
        <f t="shared" si="47"/>
        <v>0</v>
      </c>
      <c r="G750" s="2">
        <f t="shared" si="45"/>
        <v>42903</v>
      </c>
      <c r="H750" s="1" t="s">
        <v>55</v>
      </c>
      <c r="I750" s="1" t="s">
        <v>1239</v>
      </c>
      <c r="J750" s="1">
        <v>800</v>
      </c>
      <c r="K750" s="1">
        <v>552</v>
      </c>
      <c r="L750" s="3">
        <v>0.31</v>
      </c>
      <c r="N750" t="s">
        <v>3338</v>
      </c>
      <c r="P750">
        <v>6</v>
      </c>
      <c r="Q750">
        <v>17</v>
      </c>
      <c r="R750">
        <v>2017</v>
      </c>
      <c r="S750" s="4">
        <f t="shared" si="46"/>
        <v>42903</v>
      </c>
      <c r="T750" s="4">
        <f t="shared" si="44"/>
        <v>42903</v>
      </c>
      <c r="U750" s="4">
        <v>42903</v>
      </c>
    </row>
    <row r="751" spans="1:21" x14ac:dyDescent="0.3">
      <c r="A751" t="s">
        <v>1240</v>
      </c>
      <c r="B751" s="1" t="s">
        <v>224</v>
      </c>
      <c r="C751" s="1" t="s">
        <v>50</v>
      </c>
      <c r="D751" s="1" t="s">
        <v>24</v>
      </c>
      <c r="E751" s="2" t="s">
        <v>3339</v>
      </c>
      <c r="F751" s="2" t="b">
        <f t="shared" si="47"/>
        <v>0</v>
      </c>
      <c r="G751" s="2">
        <f t="shared" si="45"/>
        <v>43464</v>
      </c>
      <c r="H751" s="1" t="s">
        <v>122</v>
      </c>
      <c r="I751" s="1" t="s">
        <v>774</v>
      </c>
      <c r="J751" s="1">
        <v>50</v>
      </c>
      <c r="K751" s="1">
        <v>48</v>
      </c>
      <c r="L751" s="3">
        <v>0.04</v>
      </c>
      <c r="N751" t="s">
        <v>3339</v>
      </c>
      <c r="P751">
        <v>12</v>
      </c>
      <c r="Q751">
        <v>30</v>
      </c>
      <c r="R751">
        <v>2018</v>
      </c>
      <c r="S751" s="4">
        <f t="shared" si="46"/>
        <v>43464</v>
      </c>
      <c r="T751" s="4">
        <f t="shared" si="44"/>
        <v>43464</v>
      </c>
      <c r="U751" s="4">
        <v>43464</v>
      </c>
    </row>
    <row r="752" spans="1:21" x14ac:dyDescent="0.3">
      <c r="A752" t="s">
        <v>1241</v>
      </c>
      <c r="B752" s="1" t="s">
        <v>221</v>
      </c>
      <c r="C752" s="1" t="s">
        <v>40</v>
      </c>
      <c r="D752" s="1" t="s">
        <v>35</v>
      </c>
      <c r="E752" s="2" t="s">
        <v>3340</v>
      </c>
      <c r="F752" s="2" t="b">
        <f t="shared" si="47"/>
        <v>0</v>
      </c>
      <c r="G752" s="2">
        <f t="shared" si="45"/>
        <v>42822</v>
      </c>
      <c r="H752" s="1" t="s">
        <v>104</v>
      </c>
      <c r="I752" s="1" t="s">
        <v>1179</v>
      </c>
      <c r="J752" s="1">
        <v>70</v>
      </c>
      <c r="K752" s="1">
        <v>70</v>
      </c>
      <c r="L752" s="3">
        <v>0</v>
      </c>
      <c r="N752" t="s">
        <v>3340</v>
      </c>
      <c r="P752">
        <v>3</v>
      </c>
      <c r="Q752">
        <v>28</v>
      </c>
      <c r="R752">
        <v>2017</v>
      </c>
      <c r="S752" s="4">
        <f t="shared" si="46"/>
        <v>42822</v>
      </c>
      <c r="T752" s="4">
        <f t="shared" si="44"/>
        <v>42822</v>
      </c>
      <c r="U752" s="4">
        <v>42822</v>
      </c>
    </row>
    <row r="753" spans="1:21" x14ac:dyDescent="0.3">
      <c r="A753" t="s">
        <v>1242</v>
      </c>
      <c r="B753" s="1" t="s">
        <v>33</v>
      </c>
      <c r="C753" s="1" t="s">
        <v>34</v>
      </c>
      <c r="D753" s="1" t="s">
        <v>35</v>
      </c>
      <c r="E753" s="2" t="s">
        <v>3016</v>
      </c>
      <c r="F753" s="2" t="b">
        <f t="shared" si="47"/>
        <v>0</v>
      </c>
      <c r="G753" s="2">
        <f t="shared" si="45"/>
        <v>43175</v>
      </c>
      <c r="H753" s="1" t="s">
        <v>61</v>
      </c>
      <c r="I753" s="1" t="s">
        <v>1243</v>
      </c>
      <c r="J753" s="1">
        <v>1000</v>
      </c>
      <c r="K753" s="1">
        <v>930</v>
      </c>
      <c r="L753" s="3">
        <v>7.0000000000000007E-2</v>
      </c>
      <c r="N753" t="s">
        <v>3016</v>
      </c>
      <c r="P753">
        <v>3</v>
      </c>
      <c r="Q753">
        <v>16</v>
      </c>
      <c r="R753">
        <v>2018</v>
      </c>
      <c r="S753" s="4">
        <f t="shared" si="46"/>
        <v>43175</v>
      </c>
      <c r="T753" s="4">
        <f t="shared" si="44"/>
        <v>43175</v>
      </c>
      <c r="U753" s="4">
        <v>43175</v>
      </c>
    </row>
    <row r="754" spans="1:21" x14ac:dyDescent="0.3">
      <c r="A754" t="s">
        <v>1244</v>
      </c>
      <c r="B754" s="1" t="s">
        <v>127</v>
      </c>
      <c r="C754" s="1" t="s">
        <v>128</v>
      </c>
      <c r="D754" s="1" t="s">
        <v>13</v>
      </c>
      <c r="E754" s="2" t="s">
        <v>3341</v>
      </c>
      <c r="F754" s="2" t="b">
        <f t="shared" si="47"/>
        <v>0</v>
      </c>
      <c r="G754" s="2">
        <f t="shared" si="45"/>
        <v>43431</v>
      </c>
      <c r="H754" s="1" t="s">
        <v>115</v>
      </c>
      <c r="I754" s="1" t="s">
        <v>920</v>
      </c>
      <c r="J754" s="1">
        <v>250</v>
      </c>
      <c r="K754" s="1">
        <v>250</v>
      </c>
      <c r="L754" s="3">
        <v>0</v>
      </c>
      <c r="N754" t="s">
        <v>3341</v>
      </c>
      <c r="P754">
        <v>11</v>
      </c>
      <c r="Q754">
        <v>27</v>
      </c>
      <c r="R754">
        <v>2018</v>
      </c>
      <c r="S754" s="4">
        <f t="shared" si="46"/>
        <v>43431</v>
      </c>
      <c r="T754" s="4">
        <f t="shared" si="44"/>
        <v>43431</v>
      </c>
      <c r="U754" s="4">
        <v>43431</v>
      </c>
    </row>
    <row r="755" spans="1:21" x14ac:dyDescent="0.3">
      <c r="A755" t="s">
        <v>1245</v>
      </c>
      <c r="B755" s="1" t="s">
        <v>39</v>
      </c>
      <c r="C755" s="1" t="s">
        <v>40</v>
      </c>
      <c r="D755" s="1" t="s">
        <v>35</v>
      </c>
      <c r="E755" s="2" t="s">
        <v>3342</v>
      </c>
      <c r="F755" s="2" t="b">
        <f t="shared" si="47"/>
        <v>0</v>
      </c>
      <c r="G755" s="2">
        <f t="shared" si="45"/>
        <v>42363</v>
      </c>
      <c r="H755" s="1" t="s">
        <v>25</v>
      </c>
      <c r="I755" s="1" t="s">
        <v>214</v>
      </c>
      <c r="J755" s="1">
        <v>700</v>
      </c>
      <c r="K755" s="1">
        <v>469</v>
      </c>
      <c r="L755" s="3">
        <v>0.33</v>
      </c>
      <c r="N755" t="s">
        <v>3342</v>
      </c>
      <c r="P755">
        <v>12</v>
      </c>
      <c r="Q755">
        <v>25</v>
      </c>
      <c r="R755">
        <v>2015</v>
      </c>
      <c r="S755" s="4">
        <f t="shared" si="46"/>
        <v>42363</v>
      </c>
      <c r="T755" s="4">
        <f t="shared" si="44"/>
        <v>42363</v>
      </c>
      <c r="U755" s="4">
        <v>42363</v>
      </c>
    </row>
    <row r="756" spans="1:21" x14ac:dyDescent="0.3">
      <c r="A756" t="s">
        <v>1246</v>
      </c>
      <c r="B756" s="1" t="s">
        <v>324</v>
      </c>
      <c r="C756" s="1" t="s">
        <v>325</v>
      </c>
      <c r="D756" s="1" t="s">
        <v>13</v>
      </c>
      <c r="E756" s="2">
        <v>42654</v>
      </c>
      <c r="F756" s="2" t="b">
        <f t="shared" si="47"/>
        <v>1</v>
      </c>
      <c r="G756" s="2">
        <f t="shared" si="45"/>
        <v>42654</v>
      </c>
      <c r="H756" s="1" t="s">
        <v>104</v>
      </c>
      <c r="I756" s="1" t="s">
        <v>1247</v>
      </c>
      <c r="J756" s="1">
        <v>70</v>
      </c>
      <c r="K756" s="1">
        <v>69</v>
      </c>
      <c r="L756" s="3">
        <v>1.43E-2</v>
      </c>
      <c r="N756" t="s">
        <v>3763</v>
      </c>
      <c r="S756" s="4" t="e">
        <f t="shared" si="46"/>
        <v>#NUM!</v>
      </c>
      <c r="T756" s="4" t="str">
        <f t="shared" si="44"/>
        <v/>
      </c>
      <c r="U756" s="4" t="s">
        <v>3763</v>
      </c>
    </row>
    <row r="757" spans="1:21" x14ac:dyDescent="0.3">
      <c r="A757" t="s">
        <v>1248</v>
      </c>
      <c r="B757" s="1" t="s">
        <v>85</v>
      </c>
      <c r="C757" s="1" t="s">
        <v>86</v>
      </c>
      <c r="D757" s="1" t="s">
        <v>13</v>
      </c>
      <c r="E757" s="2" t="s">
        <v>3343</v>
      </c>
      <c r="F757" s="2" t="b">
        <f t="shared" si="47"/>
        <v>0</v>
      </c>
      <c r="G757" s="2">
        <f t="shared" si="45"/>
        <v>41804</v>
      </c>
      <c r="H757" s="1" t="s">
        <v>25</v>
      </c>
      <c r="I757" s="1" t="s">
        <v>1249</v>
      </c>
      <c r="J757" s="1">
        <v>700</v>
      </c>
      <c r="K757" s="1">
        <v>630</v>
      </c>
      <c r="L757" s="3">
        <v>0.1</v>
      </c>
      <c r="N757" t="s">
        <v>3343</v>
      </c>
      <c r="P757">
        <v>6</v>
      </c>
      <c r="Q757">
        <v>14</v>
      </c>
      <c r="R757">
        <v>2014</v>
      </c>
      <c r="S757" s="4">
        <f t="shared" si="46"/>
        <v>41804</v>
      </c>
      <c r="T757" s="4">
        <f t="shared" si="44"/>
        <v>41804</v>
      </c>
      <c r="U757" s="4">
        <v>41804</v>
      </c>
    </row>
    <row r="758" spans="1:21" x14ac:dyDescent="0.3">
      <c r="A758" t="s">
        <v>1250</v>
      </c>
      <c r="B758" s="1" t="s">
        <v>70</v>
      </c>
      <c r="C758" s="1" t="s">
        <v>71</v>
      </c>
      <c r="D758" s="1" t="s">
        <v>35</v>
      </c>
      <c r="E758" s="2" t="s">
        <v>3344</v>
      </c>
      <c r="F758" s="2" t="b">
        <f t="shared" si="47"/>
        <v>0</v>
      </c>
      <c r="G758" s="2">
        <f t="shared" si="45"/>
        <v>43052</v>
      </c>
      <c r="H758" s="1" t="s">
        <v>14</v>
      </c>
      <c r="I758" s="1" t="s">
        <v>73</v>
      </c>
      <c r="J758" s="1">
        <v>80</v>
      </c>
      <c r="K758" s="1">
        <v>78</v>
      </c>
      <c r="L758" s="3">
        <v>2.5000000000000001E-2</v>
      </c>
      <c r="N758" t="s">
        <v>3344</v>
      </c>
      <c r="P758">
        <v>11</v>
      </c>
      <c r="Q758">
        <v>13</v>
      </c>
      <c r="R758">
        <v>2017</v>
      </c>
      <c r="S758" s="4">
        <f t="shared" si="46"/>
        <v>43052</v>
      </c>
      <c r="T758" s="4">
        <f t="shared" si="44"/>
        <v>43052</v>
      </c>
      <c r="U758" s="4">
        <v>43052</v>
      </c>
    </row>
    <row r="759" spans="1:21" x14ac:dyDescent="0.3">
      <c r="A759" t="s">
        <v>1251</v>
      </c>
      <c r="B759" s="1" t="s">
        <v>224</v>
      </c>
      <c r="C759" s="1" t="s">
        <v>50</v>
      </c>
      <c r="D759" s="1" t="s">
        <v>24</v>
      </c>
      <c r="E759" s="2">
        <v>42862</v>
      </c>
      <c r="F759" s="2" t="b">
        <f t="shared" si="47"/>
        <v>1</v>
      </c>
      <c r="G759" s="2">
        <f t="shared" si="45"/>
        <v>42862</v>
      </c>
      <c r="H759" s="1" t="s">
        <v>36</v>
      </c>
      <c r="I759" s="1" t="s">
        <v>1239</v>
      </c>
      <c r="J759" s="1">
        <v>50</v>
      </c>
      <c r="K759" s="1">
        <v>49</v>
      </c>
      <c r="L759" s="3">
        <v>0.02</v>
      </c>
      <c r="N759" t="s">
        <v>3763</v>
      </c>
      <c r="S759" s="4" t="e">
        <f t="shared" si="46"/>
        <v>#NUM!</v>
      </c>
      <c r="T759" s="4" t="str">
        <f t="shared" si="44"/>
        <v/>
      </c>
      <c r="U759" s="4" t="s">
        <v>3763</v>
      </c>
    </row>
    <row r="760" spans="1:21" x14ac:dyDescent="0.3">
      <c r="A760" t="s">
        <v>1252</v>
      </c>
      <c r="B760" s="1" t="s">
        <v>205</v>
      </c>
      <c r="C760" s="1" t="s">
        <v>206</v>
      </c>
      <c r="D760" s="1" t="s">
        <v>24</v>
      </c>
      <c r="E760" s="2" t="s">
        <v>3345</v>
      </c>
      <c r="F760" s="2" t="b">
        <f t="shared" si="47"/>
        <v>0</v>
      </c>
      <c r="G760" s="2">
        <f t="shared" si="45"/>
        <v>41881</v>
      </c>
      <c r="H760" s="1" t="s">
        <v>61</v>
      </c>
      <c r="I760" s="1" t="s">
        <v>207</v>
      </c>
      <c r="J760" s="1">
        <v>1000</v>
      </c>
      <c r="K760" s="1">
        <v>750</v>
      </c>
      <c r="L760" s="3">
        <v>0.25</v>
      </c>
      <c r="N760" t="s">
        <v>3345</v>
      </c>
      <c r="P760">
        <v>8</v>
      </c>
      <c r="Q760">
        <v>30</v>
      </c>
      <c r="R760">
        <v>2014</v>
      </c>
      <c r="S760" s="4">
        <f t="shared" si="46"/>
        <v>41881</v>
      </c>
      <c r="T760" s="4">
        <f t="shared" si="44"/>
        <v>41881</v>
      </c>
      <c r="U760" s="4">
        <v>41881</v>
      </c>
    </row>
    <row r="761" spans="1:21" x14ac:dyDescent="0.3">
      <c r="A761" t="s">
        <v>1253</v>
      </c>
      <c r="B761" s="1" t="s">
        <v>111</v>
      </c>
      <c r="C761" s="1" t="s">
        <v>82</v>
      </c>
      <c r="D761" s="1" t="s">
        <v>13</v>
      </c>
      <c r="E761" s="2">
        <v>41647</v>
      </c>
      <c r="F761" s="2" t="b">
        <f t="shared" si="47"/>
        <v>1</v>
      </c>
      <c r="G761" s="2">
        <f t="shared" si="45"/>
        <v>41647</v>
      </c>
      <c r="H761" s="1" t="s">
        <v>36</v>
      </c>
      <c r="I761" s="1" t="s">
        <v>112</v>
      </c>
      <c r="J761" s="1">
        <v>50</v>
      </c>
      <c r="K761" s="1">
        <v>37</v>
      </c>
      <c r="L761" s="3">
        <v>0.26</v>
      </c>
      <c r="N761" t="s">
        <v>3763</v>
      </c>
      <c r="S761" s="4" t="e">
        <f t="shared" si="46"/>
        <v>#NUM!</v>
      </c>
      <c r="T761" s="4" t="str">
        <f t="shared" si="44"/>
        <v/>
      </c>
      <c r="U761" s="4" t="s">
        <v>3763</v>
      </c>
    </row>
    <row r="762" spans="1:21" x14ac:dyDescent="0.3">
      <c r="A762" t="s">
        <v>1254</v>
      </c>
      <c r="B762" s="1" t="s">
        <v>170</v>
      </c>
      <c r="C762" s="1" t="s">
        <v>171</v>
      </c>
      <c r="D762" s="1" t="s">
        <v>13</v>
      </c>
      <c r="E762" s="2">
        <v>43412</v>
      </c>
      <c r="F762" s="2" t="b">
        <f t="shared" si="47"/>
        <v>1</v>
      </c>
      <c r="G762" s="2">
        <f t="shared" si="45"/>
        <v>43412</v>
      </c>
      <c r="H762" s="1" t="s">
        <v>41</v>
      </c>
      <c r="I762" s="1" t="s">
        <v>440</v>
      </c>
      <c r="J762" s="1">
        <v>30</v>
      </c>
      <c r="K762" s="1">
        <v>28</v>
      </c>
      <c r="L762" s="3">
        <v>6.6699999999999995E-2</v>
      </c>
      <c r="N762" t="s">
        <v>3763</v>
      </c>
      <c r="S762" s="4" t="e">
        <f t="shared" si="46"/>
        <v>#NUM!</v>
      </c>
      <c r="T762" s="4" t="str">
        <f t="shared" si="44"/>
        <v/>
      </c>
      <c r="U762" s="4" t="s">
        <v>3763</v>
      </c>
    </row>
    <row r="763" spans="1:21" x14ac:dyDescent="0.3">
      <c r="A763" t="s">
        <v>1255</v>
      </c>
      <c r="B763" s="1" t="s">
        <v>221</v>
      </c>
      <c r="C763" s="1" t="s">
        <v>40</v>
      </c>
      <c r="D763" s="1" t="s">
        <v>35</v>
      </c>
      <c r="E763" s="2" t="s">
        <v>3346</v>
      </c>
      <c r="F763" s="2" t="b">
        <f t="shared" si="47"/>
        <v>0</v>
      </c>
      <c r="G763" s="2">
        <f t="shared" si="45"/>
        <v>43152</v>
      </c>
      <c r="H763" s="1" t="s">
        <v>72</v>
      </c>
      <c r="I763" s="1" t="s">
        <v>245</v>
      </c>
      <c r="J763" s="1">
        <v>500</v>
      </c>
      <c r="K763" s="1">
        <v>500</v>
      </c>
      <c r="L763" s="3">
        <v>0</v>
      </c>
      <c r="N763" t="s">
        <v>3346</v>
      </c>
      <c r="P763">
        <v>2</v>
      </c>
      <c r="Q763">
        <v>21</v>
      </c>
      <c r="R763">
        <v>2018</v>
      </c>
      <c r="S763" s="4">
        <f t="shared" si="46"/>
        <v>43152</v>
      </c>
      <c r="T763" s="4">
        <f t="shared" si="44"/>
        <v>43152</v>
      </c>
      <c r="U763" s="4">
        <v>43152</v>
      </c>
    </row>
    <row r="764" spans="1:21" x14ac:dyDescent="0.3">
      <c r="A764" t="s">
        <v>1256</v>
      </c>
      <c r="B764" s="1" t="s">
        <v>64</v>
      </c>
      <c r="C764" s="1" t="s">
        <v>65</v>
      </c>
      <c r="D764" s="1" t="s">
        <v>35</v>
      </c>
      <c r="E764" s="2" t="s">
        <v>3347</v>
      </c>
      <c r="F764" s="2" t="b">
        <f t="shared" si="47"/>
        <v>0</v>
      </c>
      <c r="G764" s="2">
        <f t="shared" si="45"/>
        <v>43465</v>
      </c>
      <c r="H764" s="1" t="s">
        <v>41</v>
      </c>
      <c r="I764" s="1" t="s">
        <v>872</v>
      </c>
      <c r="J764" s="1">
        <v>30</v>
      </c>
      <c r="K764" s="1">
        <v>29</v>
      </c>
      <c r="L764" s="3">
        <v>3.3300000000000003E-2</v>
      </c>
      <c r="N764" t="s">
        <v>3347</v>
      </c>
      <c r="P764">
        <v>12</v>
      </c>
      <c r="Q764">
        <v>31</v>
      </c>
      <c r="R764">
        <v>2018</v>
      </c>
      <c r="S764" s="4">
        <f t="shared" si="46"/>
        <v>43465</v>
      </c>
      <c r="T764" s="4">
        <f t="shared" si="44"/>
        <v>43465</v>
      </c>
      <c r="U764" s="4">
        <v>43465</v>
      </c>
    </row>
    <row r="765" spans="1:21" x14ac:dyDescent="0.3">
      <c r="A765" t="s">
        <v>1257</v>
      </c>
      <c r="B765" s="1" t="s">
        <v>182</v>
      </c>
      <c r="C765" s="1" t="s">
        <v>108</v>
      </c>
      <c r="D765" s="1" t="s">
        <v>19</v>
      </c>
      <c r="E765" s="2" t="s">
        <v>3348</v>
      </c>
      <c r="F765" s="2" t="b">
        <f t="shared" si="47"/>
        <v>0</v>
      </c>
      <c r="G765" s="2">
        <f t="shared" si="45"/>
        <v>41905</v>
      </c>
      <c r="H765" s="1" t="s">
        <v>30</v>
      </c>
      <c r="I765" s="1" t="s">
        <v>1258</v>
      </c>
      <c r="J765" s="1">
        <v>150</v>
      </c>
      <c r="K765" s="1">
        <v>110</v>
      </c>
      <c r="L765" s="3">
        <v>0.26669999999999999</v>
      </c>
      <c r="N765" t="s">
        <v>3348</v>
      </c>
      <c r="P765">
        <v>9</v>
      </c>
      <c r="Q765">
        <v>23</v>
      </c>
      <c r="R765">
        <v>2014</v>
      </c>
      <c r="S765" s="4">
        <f t="shared" si="46"/>
        <v>41905</v>
      </c>
      <c r="T765" s="4">
        <f t="shared" si="44"/>
        <v>41905</v>
      </c>
      <c r="U765" s="4">
        <v>41905</v>
      </c>
    </row>
    <row r="766" spans="1:21" x14ac:dyDescent="0.3">
      <c r="A766" t="s">
        <v>1259</v>
      </c>
      <c r="B766" s="1" t="s">
        <v>59</v>
      </c>
      <c r="C766" s="1" t="s">
        <v>60</v>
      </c>
      <c r="D766" s="1" t="s">
        <v>13</v>
      </c>
      <c r="E766" s="2" t="s">
        <v>3349</v>
      </c>
      <c r="F766" s="2" t="b">
        <f t="shared" si="47"/>
        <v>0</v>
      </c>
      <c r="G766" s="2">
        <f t="shared" si="45"/>
        <v>42172</v>
      </c>
      <c r="H766" s="1" t="s">
        <v>104</v>
      </c>
      <c r="I766" s="1" t="s">
        <v>614</v>
      </c>
      <c r="J766" s="1">
        <v>70</v>
      </c>
      <c r="K766" s="1">
        <v>50</v>
      </c>
      <c r="L766" s="3">
        <v>0.28570000000000001</v>
      </c>
      <c r="N766" t="s">
        <v>3349</v>
      </c>
      <c r="P766">
        <v>6</v>
      </c>
      <c r="Q766">
        <v>17</v>
      </c>
      <c r="R766">
        <v>2015</v>
      </c>
      <c r="S766" s="4">
        <f t="shared" si="46"/>
        <v>42172</v>
      </c>
      <c r="T766" s="4">
        <f t="shared" si="44"/>
        <v>42172</v>
      </c>
      <c r="U766" s="4">
        <v>42172</v>
      </c>
    </row>
    <row r="767" spans="1:21" x14ac:dyDescent="0.3">
      <c r="A767" t="s">
        <v>1260</v>
      </c>
      <c r="B767" s="1" t="s">
        <v>127</v>
      </c>
      <c r="C767" s="1" t="s">
        <v>128</v>
      </c>
      <c r="D767" s="1" t="s">
        <v>13</v>
      </c>
      <c r="E767" s="2">
        <v>43253</v>
      </c>
      <c r="F767" s="2" t="b">
        <f t="shared" si="47"/>
        <v>1</v>
      </c>
      <c r="G767" s="2">
        <f t="shared" si="45"/>
        <v>43253</v>
      </c>
      <c r="H767" s="1" t="s">
        <v>55</v>
      </c>
      <c r="I767" s="1" t="s">
        <v>1261</v>
      </c>
      <c r="J767" s="1">
        <v>800</v>
      </c>
      <c r="K767" s="1">
        <v>760</v>
      </c>
      <c r="L767" s="3">
        <v>0.05</v>
      </c>
      <c r="N767" t="s">
        <v>3763</v>
      </c>
      <c r="S767" s="4" t="e">
        <f t="shared" si="46"/>
        <v>#NUM!</v>
      </c>
      <c r="T767" s="4" t="str">
        <f t="shared" si="44"/>
        <v/>
      </c>
      <c r="U767" s="4" t="s">
        <v>3763</v>
      </c>
    </row>
    <row r="768" spans="1:21" x14ac:dyDescent="0.3">
      <c r="A768" t="s">
        <v>1262</v>
      </c>
      <c r="B768" s="1" t="s">
        <v>174</v>
      </c>
      <c r="C768" s="1" t="s">
        <v>175</v>
      </c>
      <c r="D768" s="1" t="s">
        <v>13</v>
      </c>
      <c r="E768" s="2">
        <v>43230</v>
      </c>
      <c r="F768" s="2" t="b">
        <f t="shared" si="47"/>
        <v>1</v>
      </c>
      <c r="G768" s="2">
        <f t="shared" si="45"/>
        <v>43230</v>
      </c>
      <c r="H768" s="1" t="s">
        <v>104</v>
      </c>
      <c r="I768" s="1" t="s">
        <v>319</v>
      </c>
      <c r="J768" s="1">
        <v>70</v>
      </c>
      <c r="K768" s="1">
        <v>68</v>
      </c>
      <c r="L768" s="3">
        <v>2.86E-2</v>
      </c>
      <c r="N768" t="s">
        <v>3763</v>
      </c>
      <c r="S768" s="4" t="e">
        <f t="shared" si="46"/>
        <v>#NUM!</v>
      </c>
      <c r="T768" s="4" t="str">
        <f t="shared" si="44"/>
        <v/>
      </c>
      <c r="U768" s="4" t="s">
        <v>3763</v>
      </c>
    </row>
    <row r="769" spans="1:21" x14ac:dyDescent="0.3">
      <c r="A769" t="s">
        <v>1263</v>
      </c>
      <c r="B769" s="1" t="s">
        <v>49</v>
      </c>
      <c r="C769" s="1" t="s">
        <v>50</v>
      </c>
      <c r="D769" s="1" t="s">
        <v>24</v>
      </c>
      <c r="E769" s="2" t="s">
        <v>3350</v>
      </c>
      <c r="F769" s="2" t="b">
        <f t="shared" si="47"/>
        <v>0</v>
      </c>
      <c r="G769" s="2">
        <f t="shared" si="45"/>
        <v>42424</v>
      </c>
      <c r="H769" s="1" t="s">
        <v>61</v>
      </c>
      <c r="I769" s="1" t="s">
        <v>918</v>
      </c>
      <c r="J769" s="1">
        <v>1000</v>
      </c>
      <c r="K769" s="1">
        <v>960</v>
      </c>
      <c r="L769" s="3">
        <v>0.04</v>
      </c>
      <c r="N769" t="s">
        <v>3350</v>
      </c>
      <c r="P769">
        <v>2</v>
      </c>
      <c r="Q769">
        <v>24</v>
      </c>
      <c r="R769">
        <v>2016</v>
      </c>
      <c r="S769" s="4">
        <f t="shared" si="46"/>
        <v>42424</v>
      </c>
      <c r="T769" s="4">
        <f t="shared" si="44"/>
        <v>42424</v>
      </c>
      <c r="U769" s="4">
        <v>42424</v>
      </c>
    </row>
    <row r="770" spans="1:21" x14ac:dyDescent="0.3">
      <c r="A770" t="s">
        <v>1264</v>
      </c>
      <c r="B770" s="1" t="s">
        <v>114</v>
      </c>
      <c r="C770" s="1" t="s">
        <v>54</v>
      </c>
      <c r="D770" s="1" t="s">
        <v>13</v>
      </c>
      <c r="E770" s="2" t="s">
        <v>3351</v>
      </c>
      <c r="F770" s="2" t="b">
        <f t="shared" si="47"/>
        <v>0</v>
      </c>
      <c r="G770" s="2">
        <f t="shared" si="45"/>
        <v>43088</v>
      </c>
      <c r="H770" s="1" t="s">
        <v>14</v>
      </c>
      <c r="I770" s="1" t="s">
        <v>1221</v>
      </c>
      <c r="J770" s="1">
        <v>80</v>
      </c>
      <c r="K770" s="1">
        <v>80</v>
      </c>
      <c r="L770" s="3">
        <v>0</v>
      </c>
      <c r="N770" t="s">
        <v>3351</v>
      </c>
      <c r="P770">
        <v>12</v>
      </c>
      <c r="Q770">
        <v>19</v>
      </c>
      <c r="R770">
        <v>2017</v>
      </c>
      <c r="S770" s="4">
        <f t="shared" si="46"/>
        <v>43088</v>
      </c>
      <c r="T770" s="4">
        <f t="shared" si="44"/>
        <v>43088</v>
      </c>
      <c r="U770" s="4">
        <v>43088</v>
      </c>
    </row>
    <row r="771" spans="1:21" x14ac:dyDescent="0.3">
      <c r="A771" t="s">
        <v>1265</v>
      </c>
      <c r="B771" s="1" t="s">
        <v>255</v>
      </c>
      <c r="C771" s="1" t="s">
        <v>256</v>
      </c>
      <c r="D771" s="1" t="s">
        <v>13</v>
      </c>
      <c r="E771" s="2">
        <v>43109</v>
      </c>
      <c r="F771" s="2" t="b">
        <f t="shared" si="47"/>
        <v>1</v>
      </c>
      <c r="G771" s="2">
        <f t="shared" si="45"/>
        <v>43109</v>
      </c>
      <c r="H771" s="1" t="s">
        <v>55</v>
      </c>
      <c r="I771" s="1" t="s">
        <v>1266</v>
      </c>
      <c r="J771" s="1">
        <v>800</v>
      </c>
      <c r="K771" s="1">
        <v>776</v>
      </c>
      <c r="L771" s="3">
        <v>0.03</v>
      </c>
      <c r="N771" t="s">
        <v>3763</v>
      </c>
      <c r="S771" s="4" t="e">
        <f t="shared" si="46"/>
        <v>#NUM!</v>
      </c>
      <c r="T771" s="4" t="str">
        <f t="shared" ref="T771:T834" si="48">IF(AND(P771&lt;&gt;"",Q771&lt;&gt;"",R771&lt;&gt;""),IFERROR(DATE(R771,P771,Q771),""),"")</f>
        <v/>
      </c>
      <c r="U771" s="4" t="s">
        <v>3763</v>
      </c>
    </row>
    <row r="772" spans="1:21" x14ac:dyDescent="0.3">
      <c r="A772" t="s">
        <v>1267</v>
      </c>
      <c r="B772" s="1" t="s">
        <v>134</v>
      </c>
      <c r="C772" s="1" t="s">
        <v>92</v>
      </c>
      <c r="D772" s="1" t="s">
        <v>35</v>
      </c>
      <c r="E772" s="2" t="s">
        <v>3352</v>
      </c>
      <c r="F772" s="2" t="b">
        <f t="shared" si="47"/>
        <v>0</v>
      </c>
      <c r="G772" s="2">
        <f t="shared" ref="G772:G835" si="49">IF(F772=TRUE,E772,U772)</f>
        <v>42974</v>
      </c>
      <c r="H772" s="1" t="s">
        <v>55</v>
      </c>
      <c r="I772" s="1" t="s">
        <v>849</v>
      </c>
      <c r="J772" s="1">
        <v>800</v>
      </c>
      <c r="K772" s="1">
        <v>560</v>
      </c>
      <c r="L772" s="3">
        <v>0.3</v>
      </c>
      <c r="N772" t="s">
        <v>3352</v>
      </c>
      <c r="P772">
        <v>8</v>
      </c>
      <c r="Q772">
        <v>27</v>
      </c>
      <c r="R772">
        <v>2017</v>
      </c>
      <c r="S772" s="4">
        <f t="shared" ref="S772:S835" si="50">DATE(R772,P772,Q772)</f>
        <v>42974</v>
      </c>
      <c r="T772" s="4">
        <f t="shared" si="48"/>
        <v>42974</v>
      </c>
      <c r="U772" s="4">
        <v>42974</v>
      </c>
    </row>
    <row r="773" spans="1:21" x14ac:dyDescent="0.3">
      <c r="A773" t="s">
        <v>1268</v>
      </c>
      <c r="B773" s="1" t="s">
        <v>114</v>
      </c>
      <c r="C773" s="1" t="s">
        <v>54</v>
      </c>
      <c r="D773" s="1" t="s">
        <v>13</v>
      </c>
      <c r="E773" s="2" t="s">
        <v>3353</v>
      </c>
      <c r="F773" s="2" t="b">
        <f t="shared" ref="F773:F836" si="51">ISNUMBER(E773)</f>
        <v>0</v>
      </c>
      <c r="G773" s="2">
        <f t="shared" si="49"/>
        <v>43025</v>
      </c>
      <c r="H773" s="1" t="s">
        <v>122</v>
      </c>
      <c r="I773" s="1" t="s">
        <v>168</v>
      </c>
      <c r="J773" s="1">
        <v>50</v>
      </c>
      <c r="K773" s="1">
        <v>46</v>
      </c>
      <c r="L773" s="3">
        <v>0.08</v>
      </c>
      <c r="N773" t="s">
        <v>3353</v>
      </c>
      <c r="P773">
        <v>10</v>
      </c>
      <c r="Q773">
        <v>17</v>
      </c>
      <c r="R773">
        <v>2017</v>
      </c>
      <c r="S773" s="4">
        <f t="shared" si="50"/>
        <v>43025</v>
      </c>
      <c r="T773" s="4">
        <f t="shared" si="48"/>
        <v>43025</v>
      </c>
      <c r="U773" s="4">
        <v>43025</v>
      </c>
    </row>
    <row r="774" spans="1:21" x14ac:dyDescent="0.3">
      <c r="A774" t="s">
        <v>1269</v>
      </c>
      <c r="B774" s="1" t="s">
        <v>154</v>
      </c>
      <c r="C774" s="1" t="s">
        <v>108</v>
      </c>
      <c r="D774" s="1" t="s">
        <v>19</v>
      </c>
      <c r="E774" s="2" t="s">
        <v>3285</v>
      </c>
      <c r="F774" s="2" t="b">
        <f t="shared" si="51"/>
        <v>0</v>
      </c>
      <c r="G774" s="2">
        <f t="shared" si="49"/>
        <v>41755</v>
      </c>
      <c r="H774" s="1" t="s">
        <v>104</v>
      </c>
      <c r="I774" s="1" t="s">
        <v>737</v>
      </c>
      <c r="J774" s="1">
        <v>70</v>
      </c>
      <c r="K774" s="1">
        <v>57</v>
      </c>
      <c r="L774" s="3">
        <v>0.1857</v>
      </c>
      <c r="N774" t="s">
        <v>3285</v>
      </c>
      <c r="P774">
        <v>4</v>
      </c>
      <c r="Q774">
        <v>26</v>
      </c>
      <c r="R774">
        <v>2014</v>
      </c>
      <c r="S774" s="4">
        <f t="shared" si="50"/>
        <v>41755</v>
      </c>
      <c r="T774" s="4">
        <f t="shared" si="48"/>
        <v>41755</v>
      </c>
      <c r="U774" s="4">
        <v>41755</v>
      </c>
    </row>
    <row r="775" spans="1:21" x14ac:dyDescent="0.3">
      <c r="A775" t="s">
        <v>1270</v>
      </c>
      <c r="B775" s="1" t="s">
        <v>111</v>
      </c>
      <c r="C775" s="1" t="s">
        <v>82</v>
      </c>
      <c r="D775" s="1" t="s">
        <v>13</v>
      </c>
      <c r="E775" s="2">
        <v>42709</v>
      </c>
      <c r="F775" s="2" t="b">
        <f t="shared" si="51"/>
        <v>1</v>
      </c>
      <c r="G775" s="2">
        <f t="shared" si="49"/>
        <v>42709</v>
      </c>
      <c r="H775" s="1" t="s">
        <v>14</v>
      </c>
      <c r="I775" s="1" t="s">
        <v>456</v>
      </c>
      <c r="J775" s="1">
        <v>80</v>
      </c>
      <c r="K775" s="1">
        <v>78</v>
      </c>
      <c r="L775" s="3">
        <v>2.5000000000000001E-2</v>
      </c>
      <c r="N775" t="s">
        <v>3763</v>
      </c>
      <c r="S775" s="4" t="e">
        <f t="shared" si="50"/>
        <v>#NUM!</v>
      </c>
      <c r="T775" s="4" t="str">
        <f t="shared" si="48"/>
        <v/>
      </c>
      <c r="U775" s="4" t="s">
        <v>3763</v>
      </c>
    </row>
    <row r="776" spans="1:21" x14ac:dyDescent="0.3">
      <c r="A776" t="s">
        <v>1271</v>
      </c>
      <c r="B776" s="1" t="s">
        <v>95</v>
      </c>
      <c r="C776" s="1" t="s">
        <v>96</v>
      </c>
      <c r="D776" s="1" t="s">
        <v>13</v>
      </c>
      <c r="E776" s="2" t="s">
        <v>3354</v>
      </c>
      <c r="F776" s="2" t="b">
        <f t="shared" si="51"/>
        <v>0</v>
      </c>
      <c r="G776" s="2">
        <f t="shared" si="49"/>
        <v>43002</v>
      </c>
      <c r="H776" s="1" t="s">
        <v>14</v>
      </c>
      <c r="I776" s="1" t="s">
        <v>180</v>
      </c>
      <c r="J776" s="1">
        <v>80</v>
      </c>
      <c r="K776" s="1">
        <v>78</v>
      </c>
      <c r="L776" s="3">
        <v>2.5000000000000001E-2</v>
      </c>
      <c r="N776" t="s">
        <v>3354</v>
      </c>
      <c r="P776">
        <v>9</v>
      </c>
      <c r="Q776">
        <v>24</v>
      </c>
      <c r="R776">
        <v>2017</v>
      </c>
      <c r="S776" s="4">
        <f t="shared" si="50"/>
        <v>43002</v>
      </c>
      <c r="T776" s="4">
        <f t="shared" si="48"/>
        <v>43002</v>
      </c>
      <c r="U776" s="4">
        <v>43002</v>
      </c>
    </row>
    <row r="777" spans="1:21" x14ac:dyDescent="0.3">
      <c r="A777" t="s">
        <v>1272</v>
      </c>
      <c r="B777" s="1" t="s">
        <v>187</v>
      </c>
      <c r="C777" s="1" t="s">
        <v>188</v>
      </c>
      <c r="D777" s="1" t="s">
        <v>13</v>
      </c>
      <c r="E777" s="2" t="s">
        <v>3355</v>
      </c>
      <c r="F777" s="2" t="b">
        <f t="shared" si="51"/>
        <v>0</v>
      </c>
      <c r="G777" s="2">
        <f t="shared" si="49"/>
        <v>43310</v>
      </c>
      <c r="H777" s="1" t="s">
        <v>115</v>
      </c>
      <c r="I777" s="1" t="s">
        <v>415</v>
      </c>
      <c r="J777" s="1">
        <v>250</v>
      </c>
      <c r="K777" s="1">
        <v>250</v>
      </c>
      <c r="L777" s="3">
        <v>0</v>
      </c>
      <c r="N777" t="s">
        <v>3355</v>
      </c>
      <c r="P777">
        <v>7</v>
      </c>
      <c r="Q777">
        <v>29</v>
      </c>
      <c r="R777">
        <v>2018</v>
      </c>
      <c r="S777" s="4">
        <f t="shared" si="50"/>
        <v>43310</v>
      </c>
      <c r="T777" s="4">
        <f t="shared" si="48"/>
        <v>43310</v>
      </c>
      <c r="U777" s="4">
        <v>43310</v>
      </c>
    </row>
    <row r="778" spans="1:21" x14ac:dyDescent="0.3">
      <c r="A778" t="s">
        <v>1273</v>
      </c>
      <c r="B778" s="1" t="s">
        <v>131</v>
      </c>
      <c r="C778" s="1" t="s">
        <v>108</v>
      </c>
      <c r="D778" s="1" t="s">
        <v>19</v>
      </c>
      <c r="E778" s="2" t="s">
        <v>3356</v>
      </c>
      <c r="F778" s="2" t="b">
        <f t="shared" si="51"/>
        <v>0</v>
      </c>
      <c r="G778" s="2">
        <f t="shared" si="49"/>
        <v>41850</v>
      </c>
      <c r="H778" s="1" t="s">
        <v>41</v>
      </c>
      <c r="I778" s="1" t="s">
        <v>474</v>
      </c>
      <c r="J778" s="1">
        <v>30</v>
      </c>
      <c r="K778" s="1">
        <v>29</v>
      </c>
      <c r="L778" s="3">
        <v>3.3300000000000003E-2</v>
      </c>
      <c r="N778" t="s">
        <v>3356</v>
      </c>
      <c r="P778">
        <v>7</v>
      </c>
      <c r="Q778">
        <v>30</v>
      </c>
      <c r="R778">
        <v>2014</v>
      </c>
      <c r="S778" s="4">
        <f t="shared" si="50"/>
        <v>41850</v>
      </c>
      <c r="T778" s="4">
        <f t="shared" si="48"/>
        <v>41850</v>
      </c>
      <c r="U778" s="4">
        <v>41850</v>
      </c>
    </row>
    <row r="779" spans="1:21" x14ac:dyDescent="0.3">
      <c r="A779" t="s">
        <v>1274</v>
      </c>
      <c r="B779" s="1" t="s">
        <v>95</v>
      </c>
      <c r="C779" s="1" t="s">
        <v>96</v>
      </c>
      <c r="D779" s="1" t="s">
        <v>13</v>
      </c>
      <c r="E779" s="2">
        <v>42316</v>
      </c>
      <c r="F779" s="2" t="b">
        <f t="shared" si="51"/>
        <v>1</v>
      </c>
      <c r="G779" s="2">
        <f t="shared" si="49"/>
        <v>42316</v>
      </c>
      <c r="H779" s="1" t="s">
        <v>122</v>
      </c>
      <c r="I779" s="1" t="s">
        <v>1275</v>
      </c>
      <c r="J779" s="1">
        <v>50</v>
      </c>
      <c r="K779" s="1">
        <v>33</v>
      </c>
      <c r="L779" s="3">
        <v>0.34</v>
      </c>
      <c r="N779" t="s">
        <v>3763</v>
      </c>
      <c r="S779" s="4" t="e">
        <f t="shared" si="50"/>
        <v>#NUM!</v>
      </c>
      <c r="T779" s="4" t="str">
        <f t="shared" si="48"/>
        <v/>
      </c>
      <c r="U779" s="4" t="s">
        <v>3763</v>
      </c>
    </row>
    <row r="780" spans="1:21" x14ac:dyDescent="0.3">
      <c r="A780" t="s">
        <v>1276</v>
      </c>
      <c r="B780" s="1" t="s">
        <v>174</v>
      </c>
      <c r="C780" s="1" t="s">
        <v>175</v>
      </c>
      <c r="D780" s="1" t="s">
        <v>13</v>
      </c>
      <c r="E780" s="2">
        <v>42737</v>
      </c>
      <c r="F780" s="2" t="b">
        <f t="shared" si="51"/>
        <v>1</v>
      </c>
      <c r="G780" s="2">
        <f t="shared" si="49"/>
        <v>42737</v>
      </c>
      <c r="H780" s="1" t="s">
        <v>61</v>
      </c>
      <c r="I780" s="1" t="s">
        <v>1277</v>
      </c>
      <c r="J780" s="1">
        <v>1000</v>
      </c>
      <c r="K780" s="1">
        <v>880</v>
      </c>
      <c r="L780" s="3">
        <v>0.12</v>
      </c>
      <c r="N780" t="s">
        <v>3763</v>
      </c>
      <c r="S780" s="4" t="e">
        <f t="shared" si="50"/>
        <v>#NUM!</v>
      </c>
      <c r="T780" s="4" t="str">
        <f t="shared" si="48"/>
        <v/>
      </c>
      <c r="U780" s="4" t="s">
        <v>3763</v>
      </c>
    </row>
    <row r="781" spans="1:21" x14ac:dyDescent="0.3">
      <c r="A781" t="s">
        <v>1278</v>
      </c>
      <c r="B781" s="1" t="s">
        <v>91</v>
      </c>
      <c r="C781" s="1" t="s">
        <v>92</v>
      </c>
      <c r="D781" s="1" t="s">
        <v>35</v>
      </c>
      <c r="E781" s="2" t="s">
        <v>2978</v>
      </c>
      <c r="F781" s="2" t="b">
        <f t="shared" si="51"/>
        <v>0</v>
      </c>
      <c r="G781" s="2">
        <f t="shared" si="49"/>
        <v>42290</v>
      </c>
      <c r="H781" s="1" t="s">
        <v>46</v>
      </c>
      <c r="I781" s="1" t="s">
        <v>939</v>
      </c>
      <c r="J781" s="1">
        <v>500</v>
      </c>
      <c r="K781" s="1">
        <v>305</v>
      </c>
      <c r="L781" s="3">
        <v>0.39</v>
      </c>
      <c r="N781" t="s">
        <v>2978</v>
      </c>
      <c r="P781">
        <v>10</v>
      </c>
      <c r="Q781">
        <v>13</v>
      </c>
      <c r="R781">
        <v>2015</v>
      </c>
      <c r="S781" s="4">
        <f t="shared" si="50"/>
        <v>42290</v>
      </c>
      <c r="T781" s="4">
        <f t="shared" si="48"/>
        <v>42290</v>
      </c>
      <c r="U781" s="4">
        <v>42290</v>
      </c>
    </row>
    <row r="782" spans="1:21" x14ac:dyDescent="0.3">
      <c r="A782" t="s">
        <v>1279</v>
      </c>
      <c r="B782" s="1" t="s">
        <v>187</v>
      </c>
      <c r="C782" s="1" t="s">
        <v>188</v>
      </c>
      <c r="D782" s="1" t="s">
        <v>13</v>
      </c>
      <c r="E782" s="2" t="s">
        <v>3159</v>
      </c>
      <c r="F782" s="2" t="b">
        <f t="shared" si="51"/>
        <v>0</v>
      </c>
      <c r="G782" s="2">
        <f t="shared" si="49"/>
        <v>41817</v>
      </c>
      <c r="H782" s="1" t="s">
        <v>25</v>
      </c>
      <c r="I782" s="1" t="s">
        <v>791</v>
      </c>
      <c r="J782" s="1">
        <v>700</v>
      </c>
      <c r="K782" s="1">
        <v>665</v>
      </c>
      <c r="L782" s="3">
        <v>0.05</v>
      </c>
      <c r="N782" t="s">
        <v>3159</v>
      </c>
      <c r="P782">
        <v>6</v>
      </c>
      <c r="Q782">
        <v>27</v>
      </c>
      <c r="R782">
        <v>2014</v>
      </c>
      <c r="S782" s="4">
        <f t="shared" si="50"/>
        <v>41817</v>
      </c>
      <c r="T782" s="4">
        <f t="shared" si="48"/>
        <v>41817</v>
      </c>
      <c r="U782" s="4">
        <v>41817</v>
      </c>
    </row>
    <row r="783" spans="1:21" x14ac:dyDescent="0.3">
      <c r="A783" t="s">
        <v>1280</v>
      </c>
      <c r="B783" s="1" t="s">
        <v>400</v>
      </c>
      <c r="C783" s="1" t="s">
        <v>401</v>
      </c>
      <c r="D783" s="1" t="s">
        <v>13</v>
      </c>
      <c r="E783" s="2">
        <v>43345</v>
      </c>
      <c r="F783" s="2" t="b">
        <f t="shared" si="51"/>
        <v>1</v>
      </c>
      <c r="G783" s="2">
        <f t="shared" si="49"/>
        <v>43345</v>
      </c>
      <c r="H783" s="1" t="s">
        <v>46</v>
      </c>
      <c r="I783" s="1" t="s">
        <v>1281</v>
      </c>
      <c r="J783" s="1">
        <v>500</v>
      </c>
      <c r="K783" s="1">
        <v>100</v>
      </c>
      <c r="L783" s="3">
        <v>0.8</v>
      </c>
      <c r="N783" t="s">
        <v>3763</v>
      </c>
      <c r="S783" s="4" t="e">
        <f t="shared" si="50"/>
        <v>#NUM!</v>
      </c>
      <c r="T783" s="4" t="str">
        <f t="shared" si="48"/>
        <v/>
      </c>
      <c r="U783" s="4" t="s">
        <v>3763</v>
      </c>
    </row>
    <row r="784" spans="1:21" x14ac:dyDescent="0.3">
      <c r="A784" t="s">
        <v>1282</v>
      </c>
      <c r="B784" s="1" t="s">
        <v>99</v>
      </c>
      <c r="C784" s="1" t="s">
        <v>100</v>
      </c>
      <c r="D784" s="1" t="s">
        <v>13</v>
      </c>
      <c r="E784" s="2" t="s">
        <v>3357</v>
      </c>
      <c r="F784" s="2" t="b">
        <f t="shared" si="51"/>
        <v>0</v>
      </c>
      <c r="G784" s="2">
        <f t="shared" si="49"/>
        <v>42813</v>
      </c>
      <c r="H784" s="1" t="s">
        <v>72</v>
      </c>
      <c r="I784" s="1" t="s">
        <v>752</v>
      </c>
      <c r="J784" s="1">
        <v>500</v>
      </c>
      <c r="K784" s="1">
        <v>500</v>
      </c>
      <c r="L784" s="3">
        <v>0</v>
      </c>
      <c r="N784" t="s">
        <v>3357</v>
      </c>
      <c r="P784">
        <v>3</v>
      </c>
      <c r="Q784">
        <v>19</v>
      </c>
      <c r="R784">
        <v>2017</v>
      </c>
      <c r="S784" s="4">
        <f t="shared" si="50"/>
        <v>42813</v>
      </c>
      <c r="T784" s="4">
        <f t="shared" si="48"/>
        <v>42813</v>
      </c>
      <c r="U784" s="4">
        <v>42813</v>
      </c>
    </row>
    <row r="785" spans="1:21" x14ac:dyDescent="0.3">
      <c r="A785" t="s">
        <v>1283</v>
      </c>
      <c r="B785" s="1" t="s">
        <v>39</v>
      </c>
      <c r="C785" s="1" t="s">
        <v>40</v>
      </c>
      <c r="D785" s="1" t="s">
        <v>35</v>
      </c>
      <c r="E785" s="2" t="s">
        <v>3358</v>
      </c>
      <c r="F785" s="2" t="b">
        <f t="shared" si="51"/>
        <v>0</v>
      </c>
      <c r="G785" s="2">
        <f t="shared" si="49"/>
        <v>42302</v>
      </c>
      <c r="H785" s="1" t="s">
        <v>14</v>
      </c>
      <c r="I785" s="1" t="s">
        <v>1284</v>
      </c>
      <c r="J785" s="1">
        <v>80</v>
      </c>
      <c r="K785" s="1">
        <v>65</v>
      </c>
      <c r="L785" s="3">
        <v>0.1875</v>
      </c>
      <c r="N785" t="s">
        <v>3358</v>
      </c>
      <c r="P785">
        <v>10</v>
      </c>
      <c r="Q785">
        <v>25</v>
      </c>
      <c r="R785">
        <v>2015</v>
      </c>
      <c r="S785" s="4">
        <f t="shared" si="50"/>
        <v>42302</v>
      </c>
      <c r="T785" s="4">
        <f t="shared" si="48"/>
        <v>42302</v>
      </c>
      <c r="U785" s="4">
        <v>42302</v>
      </c>
    </row>
    <row r="786" spans="1:21" x14ac:dyDescent="0.3">
      <c r="A786" t="s">
        <v>1285</v>
      </c>
      <c r="B786" s="1" t="s">
        <v>157</v>
      </c>
      <c r="C786" s="1" t="s">
        <v>108</v>
      </c>
      <c r="D786" s="1" t="s">
        <v>19</v>
      </c>
      <c r="E786" s="2" t="s">
        <v>3270</v>
      </c>
      <c r="F786" s="2" t="b">
        <f t="shared" si="51"/>
        <v>0</v>
      </c>
      <c r="G786" s="2">
        <f t="shared" si="49"/>
        <v>42852</v>
      </c>
      <c r="H786" s="1" t="s">
        <v>25</v>
      </c>
      <c r="I786" s="1" t="s">
        <v>1286</v>
      </c>
      <c r="J786" s="1">
        <v>700</v>
      </c>
      <c r="K786" s="1">
        <v>651</v>
      </c>
      <c r="L786" s="3">
        <v>7.0000000000000007E-2</v>
      </c>
      <c r="N786" t="s">
        <v>3270</v>
      </c>
      <c r="P786">
        <v>4</v>
      </c>
      <c r="Q786">
        <v>27</v>
      </c>
      <c r="R786">
        <v>2017</v>
      </c>
      <c r="S786" s="4">
        <f t="shared" si="50"/>
        <v>42852</v>
      </c>
      <c r="T786" s="4">
        <f t="shared" si="48"/>
        <v>42852</v>
      </c>
      <c r="U786" s="4">
        <v>42852</v>
      </c>
    </row>
    <row r="787" spans="1:21" x14ac:dyDescent="0.3">
      <c r="A787" t="s">
        <v>1287</v>
      </c>
      <c r="B787" s="1" t="s">
        <v>124</v>
      </c>
      <c r="C787" s="1" t="s">
        <v>40</v>
      </c>
      <c r="D787" s="1" t="s">
        <v>35</v>
      </c>
      <c r="E787" s="2">
        <v>42952</v>
      </c>
      <c r="F787" s="2" t="b">
        <f t="shared" si="51"/>
        <v>1</v>
      </c>
      <c r="G787" s="2">
        <f t="shared" si="49"/>
        <v>42952</v>
      </c>
      <c r="H787" s="1" t="s">
        <v>30</v>
      </c>
      <c r="I787" s="1" t="s">
        <v>970</v>
      </c>
      <c r="J787" s="1">
        <v>150</v>
      </c>
      <c r="K787" s="1">
        <v>141</v>
      </c>
      <c r="L787" s="3">
        <v>0.06</v>
      </c>
      <c r="N787" t="s">
        <v>3763</v>
      </c>
      <c r="S787" s="4" t="e">
        <f t="shared" si="50"/>
        <v>#NUM!</v>
      </c>
      <c r="T787" s="4" t="str">
        <f t="shared" si="48"/>
        <v/>
      </c>
      <c r="U787" s="4" t="s">
        <v>3763</v>
      </c>
    </row>
    <row r="788" spans="1:21" x14ac:dyDescent="0.3">
      <c r="A788" t="s">
        <v>1288</v>
      </c>
      <c r="B788" s="1" t="s">
        <v>124</v>
      </c>
      <c r="C788" s="1" t="s">
        <v>40</v>
      </c>
      <c r="D788" s="1" t="s">
        <v>35</v>
      </c>
      <c r="E788" s="2" t="s">
        <v>2982</v>
      </c>
      <c r="F788" s="2" t="b">
        <f t="shared" si="51"/>
        <v>0</v>
      </c>
      <c r="G788" s="2">
        <f t="shared" si="49"/>
        <v>43327</v>
      </c>
      <c r="H788" s="1" t="s">
        <v>115</v>
      </c>
      <c r="I788" s="1" t="s">
        <v>863</v>
      </c>
      <c r="J788" s="1">
        <v>250</v>
      </c>
      <c r="K788" s="1">
        <v>240</v>
      </c>
      <c r="L788" s="3">
        <v>0.04</v>
      </c>
      <c r="N788" t="s">
        <v>2982</v>
      </c>
      <c r="P788">
        <v>8</v>
      </c>
      <c r="Q788">
        <v>15</v>
      </c>
      <c r="R788">
        <v>2018</v>
      </c>
      <c r="S788" s="4">
        <f t="shared" si="50"/>
        <v>43327</v>
      </c>
      <c r="T788" s="4">
        <f t="shared" si="48"/>
        <v>43327</v>
      </c>
      <c r="U788" s="4">
        <v>43327</v>
      </c>
    </row>
    <row r="789" spans="1:21" x14ac:dyDescent="0.3">
      <c r="A789" t="s">
        <v>1289</v>
      </c>
      <c r="B789" s="1" t="s">
        <v>39</v>
      </c>
      <c r="C789" s="1" t="s">
        <v>40</v>
      </c>
      <c r="D789" s="1" t="s">
        <v>35</v>
      </c>
      <c r="E789" s="2">
        <v>42047</v>
      </c>
      <c r="F789" s="2" t="b">
        <f t="shared" si="51"/>
        <v>1</v>
      </c>
      <c r="G789" s="2">
        <f t="shared" si="49"/>
        <v>42047</v>
      </c>
      <c r="H789" s="1" t="s">
        <v>104</v>
      </c>
      <c r="I789" s="1" t="s">
        <v>1290</v>
      </c>
      <c r="J789" s="1">
        <v>70</v>
      </c>
      <c r="K789" s="1">
        <v>57</v>
      </c>
      <c r="L789" s="3">
        <v>0.1857</v>
      </c>
      <c r="N789" t="s">
        <v>3763</v>
      </c>
      <c r="S789" s="4" t="e">
        <f t="shared" si="50"/>
        <v>#NUM!</v>
      </c>
      <c r="T789" s="4" t="str">
        <f t="shared" si="48"/>
        <v/>
      </c>
      <c r="U789" s="4" t="s">
        <v>3763</v>
      </c>
    </row>
    <row r="790" spans="1:21" x14ac:dyDescent="0.3">
      <c r="A790" t="s">
        <v>1291</v>
      </c>
      <c r="B790" s="1" t="s">
        <v>154</v>
      </c>
      <c r="C790" s="1" t="s">
        <v>108</v>
      </c>
      <c r="D790" s="1" t="s">
        <v>19</v>
      </c>
      <c r="E790" s="2" t="s">
        <v>3074</v>
      </c>
      <c r="F790" s="2" t="b">
        <f t="shared" si="51"/>
        <v>0</v>
      </c>
      <c r="G790" s="2">
        <f t="shared" si="49"/>
        <v>41903</v>
      </c>
      <c r="H790" s="1" t="s">
        <v>72</v>
      </c>
      <c r="I790" s="1" t="s">
        <v>1292</v>
      </c>
      <c r="J790" s="1">
        <v>500</v>
      </c>
      <c r="K790" s="1">
        <v>495</v>
      </c>
      <c r="L790" s="3">
        <v>0.01</v>
      </c>
      <c r="N790" t="s">
        <v>3074</v>
      </c>
      <c r="P790">
        <v>9</v>
      </c>
      <c r="Q790">
        <v>21</v>
      </c>
      <c r="R790">
        <v>2014</v>
      </c>
      <c r="S790" s="4">
        <f t="shared" si="50"/>
        <v>41903</v>
      </c>
      <c r="T790" s="4">
        <f t="shared" si="48"/>
        <v>41903</v>
      </c>
      <c r="U790" s="4">
        <v>41903</v>
      </c>
    </row>
    <row r="791" spans="1:21" x14ac:dyDescent="0.3">
      <c r="A791" t="s">
        <v>1293</v>
      </c>
      <c r="B791" s="1" t="s">
        <v>118</v>
      </c>
      <c r="C791" s="1" t="s">
        <v>119</v>
      </c>
      <c r="D791" s="1" t="s">
        <v>35</v>
      </c>
      <c r="E791" s="2" t="s">
        <v>3359</v>
      </c>
      <c r="F791" s="2" t="b">
        <f t="shared" si="51"/>
        <v>0</v>
      </c>
      <c r="G791" s="2">
        <f t="shared" si="49"/>
        <v>42810</v>
      </c>
      <c r="H791" s="1" t="s">
        <v>41</v>
      </c>
      <c r="I791" s="1" t="s">
        <v>847</v>
      </c>
      <c r="J791" s="1">
        <v>30</v>
      </c>
      <c r="K791" s="1">
        <v>29</v>
      </c>
      <c r="L791" s="3">
        <v>3.3300000000000003E-2</v>
      </c>
      <c r="N791" t="s">
        <v>3359</v>
      </c>
      <c r="P791">
        <v>3</v>
      </c>
      <c r="Q791">
        <v>16</v>
      </c>
      <c r="R791">
        <v>2017</v>
      </c>
      <c r="S791" s="4">
        <f t="shared" si="50"/>
        <v>42810</v>
      </c>
      <c r="T791" s="4">
        <f t="shared" si="48"/>
        <v>42810</v>
      </c>
      <c r="U791" s="4">
        <v>42810</v>
      </c>
    </row>
    <row r="792" spans="1:21" x14ac:dyDescent="0.3">
      <c r="A792" t="s">
        <v>1294</v>
      </c>
      <c r="B792" s="1" t="s">
        <v>182</v>
      </c>
      <c r="C792" s="1" t="s">
        <v>108</v>
      </c>
      <c r="D792" s="1" t="s">
        <v>19</v>
      </c>
      <c r="E792" s="2">
        <v>42592</v>
      </c>
      <c r="F792" s="2" t="b">
        <f t="shared" si="51"/>
        <v>1</v>
      </c>
      <c r="G792" s="2">
        <f t="shared" si="49"/>
        <v>42592</v>
      </c>
      <c r="H792" s="1" t="s">
        <v>25</v>
      </c>
      <c r="I792" s="1" t="s">
        <v>1295</v>
      </c>
      <c r="J792" s="1">
        <v>700</v>
      </c>
      <c r="K792" s="1">
        <v>595</v>
      </c>
      <c r="L792" s="3">
        <v>0.15</v>
      </c>
      <c r="N792" t="s">
        <v>3763</v>
      </c>
      <c r="S792" s="4" t="e">
        <f t="shared" si="50"/>
        <v>#NUM!</v>
      </c>
      <c r="T792" s="4" t="str">
        <f t="shared" si="48"/>
        <v/>
      </c>
      <c r="U792" s="4" t="s">
        <v>3763</v>
      </c>
    </row>
    <row r="793" spans="1:21" x14ac:dyDescent="0.3">
      <c r="A793" t="s">
        <v>1296</v>
      </c>
      <c r="B793" s="1" t="s">
        <v>150</v>
      </c>
      <c r="C793" s="1" t="s">
        <v>151</v>
      </c>
      <c r="D793" s="1" t="s">
        <v>13</v>
      </c>
      <c r="E793" s="2" t="s">
        <v>3205</v>
      </c>
      <c r="F793" s="2" t="b">
        <f t="shared" si="51"/>
        <v>0</v>
      </c>
      <c r="G793" s="2">
        <f t="shared" si="49"/>
        <v>42697</v>
      </c>
      <c r="H793" s="1" t="s">
        <v>115</v>
      </c>
      <c r="I793" s="1" t="s">
        <v>409</v>
      </c>
      <c r="J793" s="1">
        <v>250</v>
      </c>
      <c r="K793" s="1">
        <v>213</v>
      </c>
      <c r="L793" s="3">
        <v>0.14799999999999999</v>
      </c>
      <c r="N793" t="s">
        <v>3205</v>
      </c>
      <c r="P793">
        <v>11</v>
      </c>
      <c r="Q793">
        <v>23</v>
      </c>
      <c r="R793">
        <v>2016</v>
      </c>
      <c r="S793" s="4">
        <f t="shared" si="50"/>
        <v>42697</v>
      </c>
      <c r="T793" s="4">
        <f t="shared" si="48"/>
        <v>42697</v>
      </c>
      <c r="U793" s="4">
        <v>42697</v>
      </c>
    </row>
    <row r="794" spans="1:21" x14ac:dyDescent="0.3">
      <c r="A794" t="s">
        <v>1297</v>
      </c>
      <c r="B794" s="1" t="s">
        <v>70</v>
      </c>
      <c r="C794" s="1" t="s">
        <v>71</v>
      </c>
      <c r="D794" s="1" t="s">
        <v>35</v>
      </c>
      <c r="E794" s="2" t="s">
        <v>3360</v>
      </c>
      <c r="F794" s="2" t="b">
        <f t="shared" si="51"/>
        <v>0</v>
      </c>
      <c r="G794" s="2">
        <f t="shared" si="49"/>
        <v>43389</v>
      </c>
      <c r="H794" s="1" t="s">
        <v>30</v>
      </c>
      <c r="I794" s="1" t="s">
        <v>962</v>
      </c>
      <c r="J794" s="1">
        <v>150</v>
      </c>
      <c r="K794" s="1">
        <v>129</v>
      </c>
      <c r="L794" s="3">
        <v>0.14000000000000001</v>
      </c>
      <c r="N794" t="s">
        <v>3360</v>
      </c>
      <c r="P794">
        <v>10</v>
      </c>
      <c r="Q794">
        <v>16</v>
      </c>
      <c r="R794">
        <v>2018</v>
      </c>
      <c r="S794" s="4">
        <f t="shared" si="50"/>
        <v>43389</v>
      </c>
      <c r="T794" s="4">
        <f t="shared" si="48"/>
        <v>43389</v>
      </c>
      <c r="U794" s="4">
        <v>43389</v>
      </c>
    </row>
    <row r="795" spans="1:21" x14ac:dyDescent="0.3">
      <c r="A795" t="s">
        <v>1298</v>
      </c>
      <c r="B795" s="1" t="s">
        <v>118</v>
      </c>
      <c r="C795" s="1" t="s">
        <v>119</v>
      </c>
      <c r="D795" s="1" t="s">
        <v>35</v>
      </c>
      <c r="E795" s="2" t="s">
        <v>3199</v>
      </c>
      <c r="F795" s="2" t="b">
        <f t="shared" si="51"/>
        <v>0</v>
      </c>
      <c r="G795" s="2">
        <f t="shared" si="49"/>
        <v>42019</v>
      </c>
      <c r="H795" s="1" t="s">
        <v>41</v>
      </c>
      <c r="I795" s="1" t="s">
        <v>909</v>
      </c>
      <c r="J795" s="1">
        <v>30</v>
      </c>
      <c r="K795" s="1">
        <v>29</v>
      </c>
      <c r="L795" s="3">
        <v>3.3300000000000003E-2</v>
      </c>
      <c r="N795" t="s">
        <v>3199</v>
      </c>
      <c r="P795">
        <v>1</v>
      </c>
      <c r="Q795">
        <v>15</v>
      </c>
      <c r="R795">
        <v>2015</v>
      </c>
      <c r="S795" s="4">
        <f t="shared" si="50"/>
        <v>42019</v>
      </c>
      <c r="T795" s="4">
        <f t="shared" si="48"/>
        <v>42019</v>
      </c>
      <c r="U795" s="4">
        <v>42019</v>
      </c>
    </row>
    <row r="796" spans="1:21" x14ac:dyDescent="0.3">
      <c r="A796" t="s">
        <v>1299</v>
      </c>
      <c r="B796" s="1" t="s">
        <v>11</v>
      </c>
      <c r="C796" s="1" t="s">
        <v>12</v>
      </c>
      <c r="D796" s="1" t="s">
        <v>13</v>
      </c>
      <c r="E796" s="2">
        <v>43413</v>
      </c>
      <c r="F796" s="2" t="b">
        <f t="shared" si="51"/>
        <v>1</v>
      </c>
      <c r="G796" s="2">
        <f t="shared" si="49"/>
        <v>43413</v>
      </c>
      <c r="H796" s="1" t="s">
        <v>122</v>
      </c>
      <c r="I796" s="1" t="s">
        <v>348</v>
      </c>
      <c r="J796" s="1">
        <v>50</v>
      </c>
      <c r="K796" s="1">
        <v>49</v>
      </c>
      <c r="L796" s="3">
        <v>0.02</v>
      </c>
      <c r="N796" t="s">
        <v>3763</v>
      </c>
      <c r="S796" s="4" t="e">
        <f t="shared" si="50"/>
        <v>#NUM!</v>
      </c>
      <c r="T796" s="4" t="str">
        <f t="shared" si="48"/>
        <v/>
      </c>
      <c r="U796" s="4" t="s">
        <v>3763</v>
      </c>
    </row>
    <row r="797" spans="1:21" x14ac:dyDescent="0.3">
      <c r="A797" t="s">
        <v>1300</v>
      </c>
      <c r="B797" s="1" t="s">
        <v>146</v>
      </c>
      <c r="C797" s="1" t="s">
        <v>147</v>
      </c>
      <c r="D797" s="1" t="s">
        <v>13</v>
      </c>
      <c r="E797" s="2">
        <v>41949</v>
      </c>
      <c r="F797" s="2" t="b">
        <f t="shared" si="51"/>
        <v>1</v>
      </c>
      <c r="G797" s="2">
        <f t="shared" si="49"/>
        <v>41949</v>
      </c>
      <c r="H797" s="1" t="s">
        <v>46</v>
      </c>
      <c r="I797" s="1" t="s">
        <v>358</v>
      </c>
      <c r="J797" s="1">
        <v>500</v>
      </c>
      <c r="K797" s="1">
        <v>370</v>
      </c>
      <c r="L797" s="3">
        <v>0.26</v>
      </c>
      <c r="N797" t="s">
        <v>3763</v>
      </c>
      <c r="S797" s="4" t="e">
        <f t="shared" si="50"/>
        <v>#NUM!</v>
      </c>
      <c r="T797" s="4" t="str">
        <f t="shared" si="48"/>
        <v/>
      </c>
      <c r="U797" s="4" t="s">
        <v>3763</v>
      </c>
    </row>
    <row r="798" spans="1:21" x14ac:dyDescent="0.3">
      <c r="A798" t="s">
        <v>1301</v>
      </c>
      <c r="B798" s="1" t="s">
        <v>17</v>
      </c>
      <c r="C798" s="1" t="s">
        <v>18</v>
      </c>
      <c r="D798" s="1" t="s">
        <v>19</v>
      </c>
      <c r="E798" s="2" t="s">
        <v>3361</v>
      </c>
      <c r="F798" s="2" t="b">
        <f t="shared" si="51"/>
        <v>0</v>
      </c>
      <c r="G798" s="2">
        <f t="shared" si="49"/>
        <v>42399</v>
      </c>
      <c r="H798" s="1" t="s">
        <v>41</v>
      </c>
      <c r="I798" s="1" t="s">
        <v>493</v>
      </c>
      <c r="J798" s="1">
        <v>30</v>
      </c>
      <c r="K798" s="1">
        <v>26</v>
      </c>
      <c r="L798" s="3">
        <v>0.1333</v>
      </c>
      <c r="N798" t="s">
        <v>3361</v>
      </c>
      <c r="P798">
        <v>1</v>
      </c>
      <c r="Q798">
        <v>30</v>
      </c>
      <c r="R798">
        <v>2016</v>
      </c>
      <c r="S798" s="4">
        <f t="shared" si="50"/>
        <v>42399</v>
      </c>
      <c r="T798" s="4">
        <f t="shared" si="48"/>
        <v>42399</v>
      </c>
      <c r="U798" s="4">
        <v>42399</v>
      </c>
    </row>
    <row r="799" spans="1:21" x14ac:dyDescent="0.3">
      <c r="A799" t="s">
        <v>1302</v>
      </c>
      <c r="B799" s="1" t="s">
        <v>127</v>
      </c>
      <c r="C799" s="1" t="s">
        <v>128</v>
      </c>
      <c r="D799" s="1" t="s">
        <v>13</v>
      </c>
      <c r="E799" s="2">
        <v>42895</v>
      </c>
      <c r="F799" s="2" t="b">
        <f t="shared" si="51"/>
        <v>1</v>
      </c>
      <c r="G799" s="2">
        <f t="shared" si="49"/>
        <v>42895</v>
      </c>
      <c r="H799" s="1" t="s">
        <v>115</v>
      </c>
      <c r="I799" s="1" t="s">
        <v>385</v>
      </c>
      <c r="J799" s="1">
        <v>250</v>
      </c>
      <c r="K799" s="1">
        <v>243</v>
      </c>
      <c r="L799" s="3">
        <v>2.8000000000000001E-2</v>
      </c>
      <c r="N799" t="s">
        <v>3763</v>
      </c>
      <c r="S799" s="4" t="e">
        <f t="shared" si="50"/>
        <v>#NUM!</v>
      </c>
      <c r="T799" s="4" t="str">
        <f t="shared" si="48"/>
        <v/>
      </c>
      <c r="U799" s="4" t="s">
        <v>3763</v>
      </c>
    </row>
    <row r="800" spans="1:21" x14ac:dyDescent="0.3">
      <c r="A800" t="s">
        <v>1303</v>
      </c>
      <c r="B800" s="1" t="s">
        <v>39</v>
      </c>
      <c r="C800" s="1" t="s">
        <v>40</v>
      </c>
      <c r="D800" s="1" t="s">
        <v>35</v>
      </c>
      <c r="E800" s="2" t="s">
        <v>3193</v>
      </c>
      <c r="F800" s="2" t="b">
        <f t="shared" si="51"/>
        <v>0</v>
      </c>
      <c r="G800" s="2">
        <f t="shared" si="49"/>
        <v>42059</v>
      </c>
      <c r="H800" s="1" t="s">
        <v>61</v>
      </c>
      <c r="I800" s="1" t="s">
        <v>1304</v>
      </c>
      <c r="J800" s="1">
        <v>1000</v>
      </c>
      <c r="K800" s="1">
        <v>700</v>
      </c>
      <c r="L800" s="3">
        <v>0.3</v>
      </c>
      <c r="N800" t="s">
        <v>3193</v>
      </c>
      <c r="P800">
        <v>2</v>
      </c>
      <c r="Q800">
        <v>24</v>
      </c>
      <c r="R800">
        <v>2015</v>
      </c>
      <c r="S800" s="4">
        <f t="shared" si="50"/>
        <v>42059</v>
      </c>
      <c r="T800" s="4">
        <f t="shared" si="48"/>
        <v>42059</v>
      </c>
      <c r="U800" s="4">
        <v>42059</v>
      </c>
    </row>
    <row r="801" spans="1:21" x14ac:dyDescent="0.3">
      <c r="A801" t="s">
        <v>1305</v>
      </c>
      <c r="B801" s="1" t="s">
        <v>182</v>
      </c>
      <c r="C801" s="1" t="s">
        <v>108</v>
      </c>
      <c r="D801" s="1" t="s">
        <v>19</v>
      </c>
      <c r="E801" s="2" t="s">
        <v>3362</v>
      </c>
      <c r="F801" s="2" t="b">
        <f t="shared" si="51"/>
        <v>0</v>
      </c>
      <c r="G801" s="2">
        <f t="shared" si="49"/>
        <v>43422</v>
      </c>
      <c r="H801" s="1" t="s">
        <v>122</v>
      </c>
      <c r="I801" s="1" t="s">
        <v>673</v>
      </c>
      <c r="J801" s="1">
        <v>50</v>
      </c>
      <c r="K801" s="1">
        <v>43</v>
      </c>
      <c r="L801" s="3">
        <v>0.14000000000000001</v>
      </c>
      <c r="N801" t="s">
        <v>3362</v>
      </c>
      <c r="P801">
        <v>11</v>
      </c>
      <c r="Q801">
        <v>18</v>
      </c>
      <c r="R801">
        <v>2018</v>
      </c>
      <c r="S801" s="4">
        <f t="shared" si="50"/>
        <v>43422</v>
      </c>
      <c r="T801" s="4">
        <f t="shared" si="48"/>
        <v>43422</v>
      </c>
      <c r="U801" s="4">
        <v>43422</v>
      </c>
    </row>
    <row r="802" spans="1:21" x14ac:dyDescent="0.3">
      <c r="A802" t="s">
        <v>1306</v>
      </c>
      <c r="B802" s="1" t="s">
        <v>227</v>
      </c>
      <c r="C802" s="1" t="s">
        <v>228</v>
      </c>
      <c r="D802" s="1" t="s">
        <v>24</v>
      </c>
      <c r="E802" s="2" t="s">
        <v>3363</v>
      </c>
      <c r="F802" s="2" t="b">
        <f t="shared" si="51"/>
        <v>0</v>
      </c>
      <c r="G802" s="2">
        <f t="shared" si="49"/>
        <v>42930</v>
      </c>
      <c r="H802" s="1" t="s">
        <v>55</v>
      </c>
      <c r="I802" s="1" t="s">
        <v>937</v>
      </c>
      <c r="J802" s="1">
        <v>800</v>
      </c>
      <c r="K802" s="1">
        <v>440</v>
      </c>
      <c r="L802" s="3">
        <v>0.45</v>
      </c>
      <c r="N802" t="s">
        <v>3363</v>
      </c>
      <c r="P802">
        <v>7</v>
      </c>
      <c r="Q802">
        <v>14</v>
      </c>
      <c r="R802">
        <v>2017</v>
      </c>
      <c r="S802" s="4">
        <f t="shared" si="50"/>
        <v>42930</v>
      </c>
      <c r="T802" s="4">
        <f t="shared" si="48"/>
        <v>42930</v>
      </c>
      <c r="U802" s="4">
        <v>42930</v>
      </c>
    </row>
    <row r="803" spans="1:21" x14ac:dyDescent="0.3">
      <c r="A803" t="s">
        <v>1307</v>
      </c>
      <c r="B803" s="1" t="s">
        <v>53</v>
      </c>
      <c r="C803" s="1" t="s">
        <v>54</v>
      </c>
      <c r="D803" s="1" t="s">
        <v>13</v>
      </c>
      <c r="E803" s="2" t="s">
        <v>3364</v>
      </c>
      <c r="F803" s="2" t="b">
        <f t="shared" si="51"/>
        <v>0</v>
      </c>
      <c r="G803" s="2">
        <f t="shared" si="49"/>
        <v>42809</v>
      </c>
      <c r="H803" s="1" t="s">
        <v>14</v>
      </c>
      <c r="I803" s="1" t="s">
        <v>795</v>
      </c>
      <c r="J803" s="1">
        <v>80</v>
      </c>
      <c r="K803" s="1">
        <v>80</v>
      </c>
      <c r="L803" s="3">
        <v>0</v>
      </c>
      <c r="N803" t="s">
        <v>3364</v>
      </c>
      <c r="P803">
        <v>3</v>
      </c>
      <c r="Q803">
        <v>15</v>
      </c>
      <c r="R803">
        <v>2017</v>
      </c>
      <c r="S803" s="4">
        <f t="shared" si="50"/>
        <v>42809</v>
      </c>
      <c r="T803" s="4">
        <f t="shared" si="48"/>
        <v>42809</v>
      </c>
      <c r="U803" s="4">
        <v>42809</v>
      </c>
    </row>
    <row r="804" spans="1:21" x14ac:dyDescent="0.3">
      <c r="A804" t="s">
        <v>1308</v>
      </c>
      <c r="B804" s="1" t="s">
        <v>131</v>
      </c>
      <c r="C804" s="1" t="s">
        <v>108</v>
      </c>
      <c r="D804" s="1" t="s">
        <v>19</v>
      </c>
      <c r="E804" s="2">
        <v>42072</v>
      </c>
      <c r="F804" s="2" t="b">
        <f t="shared" si="51"/>
        <v>1</v>
      </c>
      <c r="G804" s="2">
        <f t="shared" si="49"/>
        <v>42072</v>
      </c>
      <c r="H804" s="1" t="s">
        <v>104</v>
      </c>
      <c r="I804" s="1" t="s">
        <v>793</v>
      </c>
      <c r="J804" s="1">
        <v>70</v>
      </c>
      <c r="K804" s="1">
        <v>63</v>
      </c>
      <c r="L804" s="3">
        <v>0.1</v>
      </c>
      <c r="N804" t="s">
        <v>3763</v>
      </c>
      <c r="S804" s="4" t="e">
        <f t="shared" si="50"/>
        <v>#NUM!</v>
      </c>
      <c r="T804" s="4" t="str">
        <f t="shared" si="48"/>
        <v/>
      </c>
      <c r="U804" s="4" t="s">
        <v>3763</v>
      </c>
    </row>
    <row r="805" spans="1:21" x14ac:dyDescent="0.3">
      <c r="A805" t="s">
        <v>1309</v>
      </c>
      <c r="B805" s="1" t="s">
        <v>81</v>
      </c>
      <c r="C805" s="1" t="s">
        <v>82</v>
      </c>
      <c r="D805" s="1" t="s">
        <v>13</v>
      </c>
      <c r="E805" s="2">
        <v>41883</v>
      </c>
      <c r="F805" s="2" t="b">
        <f t="shared" si="51"/>
        <v>1</v>
      </c>
      <c r="G805" s="2">
        <f t="shared" si="49"/>
        <v>41883</v>
      </c>
      <c r="H805" s="1" t="s">
        <v>25</v>
      </c>
      <c r="I805" s="1" t="s">
        <v>1047</v>
      </c>
      <c r="J805" s="1">
        <v>700</v>
      </c>
      <c r="K805" s="1">
        <v>672</v>
      </c>
      <c r="L805" s="3">
        <v>0.04</v>
      </c>
      <c r="N805" t="s">
        <v>3763</v>
      </c>
      <c r="S805" s="4" t="e">
        <f t="shared" si="50"/>
        <v>#NUM!</v>
      </c>
      <c r="T805" s="4" t="str">
        <f t="shared" si="48"/>
        <v/>
      </c>
      <c r="U805" s="4" t="s">
        <v>3763</v>
      </c>
    </row>
    <row r="806" spans="1:21" x14ac:dyDescent="0.3">
      <c r="A806" t="s">
        <v>1310</v>
      </c>
      <c r="B806" s="1" t="s">
        <v>22</v>
      </c>
      <c r="C806" s="1" t="s">
        <v>23</v>
      </c>
      <c r="D806" s="1" t="s">
        <v>24</v>
      </c>
      <c r="E806" s="2">
        <v>43315</v>
      </c>
      <c r="F806" s="2" t="b">
        <f t="shared" si="51"/>
        <v>1</v>
      </c>
      <c r="G806" s="2">
        <f t="shared" si="49"/>
        <v>43315</v>
      </c>
      <c r="H806" s="1" t="s">
        <v>72</v>
      </c>
      <c r="I806" s="1" t="s">
        <v>144</v>
      </c>
      <c r="J806" s="1">
        <v>500</v>
      </c>
      <c r="K806" s="1">
        <v>490</v>
      </c>
      <c r="L806" s="3">
        <v>0.02</v>
      </c>
      <c r="N806" t="s">
        <v>3763</v>
      </c>
      <c r="S806" s="4" t="e">
        <f t="shared" si="50"/>
        <v>#NUM!</v>
      </c>
      <c r="T806" s="4" t="str">
        <f t="shared" si="48"/>
        <v/>
      </c>
      <c r="U806" s="4" t="s">
        <v>3763</v>
      </c>
    </row>
    <row r="807" spans="1:21" x14ac:dyDescent="0.3">
      <c r="A807" t="s">
        <v>1311</v>
      </c>
      <c r="B807" s="1" t="s">
        <v>127</v>
      </c>
      <c r="C807" s="1" t="s">
        <v>128</v>
      </c>
      <c r="D807" s="1" t="s">
        <v>13</v>
      </c>
      <c r="E807" s="2" t="s">
        <v>3365</v>
      </c>
      <c r="F807" s="2" t="b">
        <f t="shared" si="51"/>
        <v>0</v>
      </c>
      <c r="G807" s="2">
        <f t="shared" si="49"/>
        <v>42331</v>
      </c>
      <c r="H807" s="1" t="s">
        <v>55</v>
      </c>
      <c r="I807" s="1" t="s">
        <v>1261</v>
      </c>
      <c r="J807" s="1">
        <v>800</v>
      </c>
      <c r="K807" s="1">
        <v>592</v>
      </c>
      <c r="L807" s="3">
        <v>0.26</v>
      </c>
      <c r="N807" t="s">
        <v>3365</v>
      </c>
      <c r="P807">
        <v>11</v>
      </c>
      <c r="Q807">
        <v>23</v>
      </c>
      <c r="R807">
        <v>2015</v>
      </c>
      <c r="S807" s="4">
        <f t="shared" si="50"/>
        <v>42331</v>
      </c>
      <c r="T807" s="4">
        <f t="shared" si="48"/>
        <v>42331</v>
      </c>
      <c r="U807" s="4">
        <v>42331</v>
      </c>
    </row>
    <row r="808" spans="1:21" x14ac:dyDescent="0.3">
      <c r="A808" t="s">
        <v>1312</v>
      </c>
      <c r="B808" s="1" t="s">
        <v>127</v>
      </c>
      <c r="C808" s="1" t="s">
        <v>128</v>
      </c>
      <c r="D808" s="1" t="s">
        <v>13</v>
      </c>
      <c r="E808" s="2" t="s">
        <v>3000</v>
      </c>
      <c r="F808" s="2" t="b">
        <f t="shared" si="51"/>
        <v>0</v>
      </c>
      <c r="G808" s="2">
        <f t="shared" si="49"/>
        <v>42783</v>
      </c>
      <c r="H808" s="1" t="s">
        <v>36</v>
      </c>
      <c r="I808" s="1" t="s">
        <v>920</v>
      </c>
      <c r="J808" s="1">
        <v>50</v>
      </c>
      <c r="K808" s="1">
        <v>46</v>
      </c>
      <c r="L808" s="3">
        <v>0.08</v>
      </c>
      <c r="N808" t="s">
        <v>3000</v>
      </c>
      <c r="P808">
        <v>2</v>
      </c>
      <c r="Q808">
        <v>17</v>
      </c>
      <c r="R808">
        <v>2017</v>
      </c>
      <c r="S808" s="4">
        <f t="shared" si="50"/>
        <v>42783</v>
      </c>
      <c r="T808" s="4">
        <f t="shared" si="48"/>
        <v>42783</v>
      </c>
      <c r="U808" s="4">
        <v>42783</v>
      </c>
    </row>
    <row r="809" spans="1:21" x14ac:dyDescent="0.3">
      <c r="A809" t="s">
        <v>1313</v>
      </c>
      <c r="B809" s="1" t="s">
        <v>44</v>
      </c>
      <c r="C809" s="1" t="s">
        <v>45</v>
      </c>
      <c r="D809" s="1" t="s">
        <v>24</v>
      </c>
      <c r="E809" s="2" t="s">
        <v>3366</v>
      </c>
      <c r="F809" s="2" t="b">
        <f t="shared" si="51"/>
        <v>0</v>
      </c>
      <c r="G809" s="2">
        <f t="shared" si="49"/>
        <v>42789</v>
      </c>
      <c r="H809" s="1" t="s">
        <v>122</v>
      </c>
      <c r="I809" s="1" t="s">
        <v>301</v>
      </c>
      <c r="J809" s="1">
        <v>50</v>
      </c>
      <c r="K809" s="1">
        <v>50</v>
      </c>
      <c r="L809" s="3">
        <v>0</v>
      </c>
      <c r="N809" t="s">
        <v>3366</v>
      </c>
      <c r="P809">
        <v>2</v>
      </c>
      <c r="Q809">
        <v>23</v>
      </c>
      <c r="R809">
        <v>2017</v>
      </c>
      <c r="S809" s="4">
        <f t="shared" si="50"/>
        <v>42789</v>
      </c>
      <c r="T809" s="4">
        <f t="shared" si="48"/>
        <v>42789</v>
      </c>
      <c r="U809" s="4">
        <v>42789</v>
      </c>
    </row>
    <row r="810" spans="1:21" x14ac:dyDescent="0.3">
      <c r="A810" t="s">
        <v>1314</v>
      </c>
      <c r="B810" s="1" t="s">
        <v>157</v>
      </c>
      <c r="C810" s="1" t="s">
        <v>108</v>
      </c>
      <c r="D810" s="1" t="s">
        <v>19</v>
      </c>
      <c r="E810" s="2">
        <v>43104</v>
      </c>
      <c r="F810" s="2" t="b">
        <f t="shared" si="51"/>
        <v>1</v>
      </c>
      <c r="G810" s="2">
        <f t="shared" si="49"/>
        <v>43104</v>
      </c>
      <c r="H810" s="1" t="s">
        <v>122</v>
      </c>
      <c r="I810" s="1" t="s">
        <v>1286</v>
      </c>
      <c r="J810" s="1">
        <v>50</v>
      </c>
      <c r="K810" s="1">
        <v>48</v>
      </c>
      <c r="L810" s="3">
        <v>0.04</v>
      </c>
      <c r="N810" t="s">
        <v>3763</v>
      </c>
      <c r="S810" s="4" t="e">
        <f t="shared" si="50"/>
        <v>#NUM!</v>
      </c>
      <c r="T810" s="4" t="str">
        <f t="shared" si="48"/>
        <v/>
      </c>
      <c r="U810" s="4" t="s">
        <v>3763</v>
      </c>
    </row>
    <row r="811" spans="1:21" x14ac:dyDescent="0.3">
      <c r="A811" t="s">
        <v>1315</v>
      </c>
      <c r="B811" s="1" t="s">
        <v>33</v>
      </c>
      <c r="C811" s="1" t="s">
        <v>34</v>
      </c>
      <c r="D811" s="1" t="s">
        <v>35</v>
      </c>
      <c r="E811" s="2">
        <v>42895</v>
      </c>
      <c r="F811" s="2" t="b">
        <f t="shared" si="51"/>
        <v>1</v>
      </c>
      <c r="G811" s="2">
        <f t="shared" si="49"/>
        <v>42895</v>
      </c>
      <c r="H811" s="1" t="s">
        <v>122</v>
      </c>
      <c r="I811" s="1" t="s">
        <v>1243</v>
      </c>
      <c r="J811" s="1">
        <v>50</v>
      </c>
      <c r="K811" s="1">
        <v>47</v>
      </c>
      <c r="L811" s="3">
        <v>0.06</v>
      </c>
      <c r="N811" t="s">
        <v>3763</v>
      </c>
      <c r="S811" s="4" t="e">
        <f t="shared" si="50"/>
        <v>#NUM!</v>
      </c>
      <c r="T811" s="4" t="str">
        <f t="shared" si="48"/>
        <v/>
      </c>
      <c r="U811" s="4" t="s">
        <v>3763</v>
      </c>
    </row>
    <row r="812" spans="1:21" x14ac:dyDescent="0.3">
      <c r="A812" t="s">
        <v>1316</v>
      </c>
      <c r="B812" s="1" t="s">
        <v>44</v>
      </c>
      <c r="C812" s="1" t="s">
        <v>45</v>
      </c>
      <c r="D812" s="1" t="s">
        <v>24</v>
      </c>
      <c r="E812" s="2">
        <v>41646</v>
      </c>
      <c r="F812" s="2" t="b">
        <f t="shared" si="51"/>
        <v>1</v>
      </c>
      <c r="G812" s="2">
        <f t="shared" si="49"/>
        <v>41646</v>
      </c>
      <c r="H812" s="1" t="s">
        <v>104</v>
      </c>
      <c r="I812" s="1" t="s">
        <v>1035</v>
      </c>
      <c r="J812" s="1">
        <v>70</v>
      </c>
      <c r="K812" s="1">
        <v>63</v>
      </c>
      <c r="L812" s="3">
        <v>0.1</v>
      </c>
      <c r="N812" t="s">
        <v>3763</v>
      </c>
      <c r="S812" s="4" t="e">
        <f t="shared" si="50"/>
        <v>#NUM!</v>
      </c>
      <c r="T812" s="4" t="str">
        <f t="shared" si="48"/>
        <v/>
      </c>
      <c r="U812" s="4" t="s">
        <v>3763</v>
      </c>
    </row>
    <row r="813" spans="1:21" x14ac:dyDescent="0.3">
      <c r="A813" t="s">
        <v>1317</v>
      </c>
      <c r="B813" s="1" t="s">
        <v>146</v>
      </c>
      <c r="C813" s="1" t="s">
        <v>147</v>
      </c>
      <c r="D813" s="1" t="s">
        <v>13</v>
      </c>
      <c r="E813" s="2" t="s">
        <v>3367</v>
      </c>
      <c r="F813" s="2" t="b">
        <f t="shared" si="51"/>
        <v>0</v>
      </c>
      <c r="G813" s="2">
        <f t="shared" si="49"/>
        <v>43456</v>
      </c>
      <c r="H813" s="1" t="s">
        <v>115</v>
      </c>
      <c r="I813" s="1" t="s">
        <v>1318</v>
      </c>
      <c r="J813" s="1">
        <v>250</v>
      </c>
      <c r="K813" s="1">
        <v>243</v>
      </c>
      <c r="L813" s="3">
        <v>2.8000000000000001E-2</v>
      </c>
      <c r="N813" t="s">
        <v>3367</v>
      </c>
      <c r="P813">
        <v>12</v>
      </c>
      <c r="Q813">
        <v>22</v>
      </c>
      <c r="R813">
        <v>2018</v>
      </c>
      <c r="S813" s="4">
        <f t="shared" si="50"/>
        <v>43456</v>
      </c>
      <c r="T813" s="4">
        <f t="shared" si="48"/>
        <v>43456</v>
      </c>
      <c r="U813" s="4">
        <v>43456</v>
      </c>
    </row>
    <row r="814" spans="1:21" x14ac:dyDescent="0.3">
      <c r="A814" t="s">
        <v>1319</v>
      </c>
      <c r="B814" s="1" t="s">
        <v>182</v>
      </c>
      <c r="C814" s="1" t="s">
        <v>108</v>
      </c>
      <c r="D814" s="1" t="s">
        <v>19</v>
      </c>
      <c r="E814" s="2" t="s">
        <v>3368</v>
      </c>
      <c r="F814" s="2" t="b">
        <f t="shared" si="51"/>
        <v>0</v>
      </c>
      <c r="G814" s="2">
        <f t="shared" si="49"/>
        <v>42504</v>
      </c>
      <c r="H814" s="1" t="s">
        <v>72</v>
      </c>
      <c r="I814" s="1" t="s">
        <v>505</v>
      </c>
      <c r="J814" s="1">
        <v>500</v>
      </c>
      <c r="K814" s="1">
        <v>500</v>
      </c>
      <c r="L814" s="3">
        <v>0</v>
      </c>
      <c r="N814" t="s">
        <v>3368</v>
      </c>
      <c r="P814">
        <v>5</v>
      </c>
      <c r="Q814">
        <v>14</v>
      </c>
      <c r="R814">
        <v>2016</v>
      </c>
      <c r="S814" s="4">
        <f t="shared" si="50"/>
        <v>42504</v>
      </c>
      <c r="T814" s="4">
        <f t="shared" si="48"/>
        <v>42504</v>
      </c>
      <c r="U814" s="4">
        <v>42504</v>
      </c>
    </row>
    <row r="815" spans="1:21" x14ac:dyDescent="0.3">
      <c r="A815" t="s">
        <v>1320</v>
      </c>
      <c r="B815" s="1" t="s">
        <v>95</v>
      </c>
      <c r="C815" s="1" t="s">
        <v>96</v>
      </c>
      <c r="D815" s="1" t="s">
        <v>13</v>
      </c>
      <c r="E815" s="2" t="s">
        <v>3369</v>
      </c>
      <c r="F815" s="2" t="b">
        <f t="shared" si="51"/>
        <v>0</v>
      </c>
      <c r="G815" s="2">
        <f t="shared" si="49"/>
        <v>42700</v>
      </c>
      <c r="H815" s="1" t="s">
        <v>72</v>
      </c>
      <c r="I815" s="1" t="s">
        <v>769</v>
      </c>
      <c r="J815" s="1">
        <v>500</v>
      </c>
      <c r="K815" s="1">
        <v>495</v>
      </c>
      <c r="L815" s="3">
        <v>0.01</v>
      </c>
      <c r="N815" t="s">
        <v>3369</v>
      </c>
      <c r="P815">
        <v>11</v>
      </c>
      <c r="Q815">
        <v>26</v>
      </c>
      <c r="R815">
        <v>2016</v>
      </c>
      <c r="S815" s="4">
        <f t="shared" si="50"/>
        <v>42700</v>
      </c>
      <c r="T815" s="4">
        <f t="shared" si="48"/>
        <v>42700</v>
      </c>
      <c r="U815" s="4">
        <v>42700</v>
      </c>
    </row>
    <row r="816" spans="1:21" x14ac:dyDescent="0.3">
      <c r="A816" t="s">
        <v>1321</v>
      </c>
      <c r="B816" s="1" t="s">
        <v>221</v>
      </c>
      <c r="C816" s="1" t="s">
        <v>40</v>
      </c>
      <c r="D816" s="1" t="s">
        <v>35</v>
      </c>
      <c r="E816" s="2">
        <v>41919</v>
      </c>
      <c r="F816" s="2" t="b">
        <f t="shared" si="51"/>
        <v>1</v>
      </c>
      <c r="G816" s="2">
        <f t="shared" si="49"/>
        <v>41919</v>
      </c>
      <c r="H816" s="1" t="s">
        <v>55</v>
      </c>
      <c r="I816" s="1" t="s">
        <v>1322</v>
      </c>
      <c r="J816" s="1">
        <v>800</v>
      </c>
      <c r="K816" s="1">
        <v>648</v>
      </c>
      <c r="L816" s="3">
        <v>0.19</v>
      </c>
      <c r="N816" t="s">
        <v>3763</v>
      </c>
      <c r="S816" s="4" t="e">
        <f t="shared" si="50"/>
        <v>#NUM!</v>
      </c>
      <c r="T816" s="4" t="str">
        <f t="shared" si="48"/>
        <v/>
      </c>
      <c r="U816" s="4" t="s">
        <v>3763</v>
      </c>
    </row>
    <row r="817" spans="1:21" x14ac:dyDescent="0.3">
      <c r="A817" t="s">
        <v>1323</v>
      </c>
      <c r="B817" s="1" t="s">
        <v>227</v>
      </c>
      <c r="C817" s="1" t="s">
        <v>228</v>
      </c>
      <c r="D817" s="1" t="s">
        <v>24</v>
      </c>
      <c r="E817" s="2" t="s">
        <v>3370</v>
      </c>
      <c r="F817" s="2" t="b">
        <f t="shared" si="51"/>
        <v>0</v>
      </c>
      <c r="G817" s="2">
        <f t="shared" si="49"/>
        <v>42084</v>
      </c>
      <c r="H817" s="1" t="s">
        <v>41</v>
      </c>
      <c r="I817" s="1" t="s">
        <v>438</v>
      </c>
      <c r="J817" s="1">
        <v>30</v>
      </c>
      <c r="K817" s="1">
        <v>20</v>
      </c>
      <c r="L817" s="3">
        <v>0.33329999999999999</v>
      </c>
      <c r="N817" t="s">
        <v>3370</v>
      </c>
      <c r="P817">
        <v>3</v>
      </c>
      <c r="Q817">
        <v>21</v>
      </c>
      <c r="R817">
        <v>2015</v>
      </c>
      <c r="S817" s="4">
        <f t="shared" si="50"/>
        <v>42084</v>
      </c>
      <c r="T817" s="4">
        <f t="shared" si="48"/>
        <v>42084</v>
      </c>
      <c r="U817" s="4">
        <v>42084</v>
      </c>
    </row>
    <row r="818" spans="1:21" x14ac:dyDescent="0.3">
      <c r="A818" t="s">
        <v>1324</v>
      </c>
      <c r="B818" s="1" t="s">
        <v>124</v>
      </c>
      <c r="C818" s="1" t="s">
        <v>40</v>
      </c>
      <c r="D818" s="1" t="s">
        <v>35</v>
      </c>
      <c r="E818" s="2">
        <v>42280</v>
      </c>
      <c r="F818" s="2" t="b">
        <f t="shared" si="51"/>
        <v>1</v>
      </c>
      <c r="G818" s="2">
        <f t="shared" si="49"/>
        <v>42280</v>
      </c>
      <c r="H818" s="1" t="s">
        <v>25</v>
      </c>
      <c r="I818" s="1" t="s">
        <v>1017</v>
      </c>
      <c r="J818" s="1">
        <v>700</v>
      </c>
      <c r="K818" s="1">
        <v>462</v>
      </c>
      <c r="L818" s="3">
        <v>0.34</v>
      </c>
      <c r="N818" t="s">
        <v>3763</v>
      </c>
      <c r="S818" s="4" t="e">
        <f t="shared" si="50"/>
        <v>#NUM!</v>
      </c>
      <c r="T818" s="4" t="str">
        <f t="shared" si="48"/>
        <v/>
      </c>
      <c r="U818" s="4" t="s">
        <v>3763</v>
      </c>
    </row>
    <row r="819" spans="1:21" x14ac:dyDescent="0.3">
      <c r="A819" t="s">
        <v>1325</v>
      </c>
      <c r="B819" s="1" t="s">
        <v>400</v>
      </c>
      <c r="C819" s="1" t="s">
        <v>401</v>
      </c>
      <c r="D819" s="1" t="s">
        <v>13</v>
      </c>
      <c r="E819" s="2" t="s">
        <v>3007</v>
      </c>
      <c r="F819" s="2" t="b">
        <f t="shared" si="51"/>
        <v>0</v>
      </c>
      <c r="G819" s="2">
        <f t="shared" si="49"/>
        <v>42568</v>
      </c>
      <c r="H819" s="1" t="s">
        <v>41</v>
      </c>
      <c r="I819" s="1" t="s">
        <v>856</v>
      </c>
      <c r="J819" s="1">
        <v>30</v>
      </c>
      <c r="K819" s="1">
        <v>29</v>
      </c>
      <c r="L819" s="3">
        <v>3.3300000000000003E-2</v>
      </c>
      <c r="N819" t="s">
        <v>3007</v>
      </c>
      <c r="P819">
        <v>7</v>
      </c>
      <c r="Q819">
        <v>17</v>
      </c>
      <c r="R819">
        <v>2016</v>
      </c>
      <c r="S819" s="4">
        <f t="shared" si="50"/>
        <v>42568</v>
      </c>
      <c r="T819" s="4">
        <f t="shared" si="48"/>
        <v>42568</v>
      </c>
      <c r="U819" s="4">
        <v>42568</v>
      </c>
    </row>
    <row r="820" spans="1:21" x14ac:dyDescent="0.3">
      <c r="A820" t="s">
        <v>1326</v>
      </c>
      <c r="B820" s="1" t="s">
        <v>127</v>
      </c>
      <c r="C820" s="1" t="s">
        <v>128</v>
      </c>
      <c r="D820" s="1" t="s">
        <v>13</v>
      </c>
      <c r="E820" s="2" t="s">
        <v>3269</v>
      </c>
      <c r="F820" s="2" t="b">
        <f t="shared" si="51"/>
        <v>0</v>
      </c>
      <c r="G820" s="2">
        <f t="shared" si="49"/>
        <v>42751</v>
      </c>
      <c r="H820" s="1" t="s">
        <v>104</v>
      </c>
      <c r="I820" s="1" t="s">
        <v>920</v>
      </c>
      <c r="J820" s="1">
        <v>70</v>
      </c>
      <c r="K820" s="1">
        <v>66</v>
      </c>
      <c r="L820" s="3">
        <v>5.7099999999999998E-2</v>
      </c>
      <c r="N820" t="s">
        <v>3269</v>
      </c>
      <c r="P820">
        <v>1</v>
      </c>
      <c r="Q820">
        <v>16</v>
      </c>
      <c r="R820">
        <v>2017</v>
      </c>
      <c r="S820" s="4">
        <f t="shared" si="50"/>
        <v>42751</v>
      </c>
      <c r="T820" s="4">
        <f t="shared" si="48"/>
        <v>42751</v>
      </c>
      <c r="U820" s="4">
        <v>42751</v>
      </c>
    </row>
    <row r="821" spans="1:21" x14ac:dyDescent="0.3">
      <c r="A821" t="s">
        <v>1327</v>
      </c>
      <c r="B821" s="1" t="s">
        <v>400</v>
      </c>
      <c r="C821" s="1" t="s">
        <v>401</v>
      </c>
      <c r="D821" s="1" t="s">
        <v>13</v>
      </c>
      <c r="E821" s="2" t="s">
        <v>3371</v>
      </c>
      <c r="F821" s="2" t="b">
        <f t="shared" si="51"/>
        <v>0</v>
      </c>
      <c r="G821" s="2">
        <f t="shared" si="49"/>
        <v>42960</v>
      </c>
      <c r="H821" s="1" t="s">
        <v>61</v>
      </c>
      <c r="I821" s="1" t="s">
        <v>693</v>
      </c>
      <c r="J821" s="1">
        <v>1000</v>
      </c>
      <c r="K821" s="1">
        <v>690</v>
      </c>
      <c r="L821" s="3">
        <v>0.31</v>
      </c>
      <c r="N821" t="s">
        <v>3371</v>
      </c>
      <c r="P821">
        <v>8</v>
      </c>
      <c r="Q821">
        <v>13</v>
      </c>
      <c r="R821">
        <v>2017</v>
      </c>
      <c r="S821" s="4">
        <f t="shared" si="50"/>
        <v>42960</v>
      </c>
      <c r="T821" s="4">
        <f t="shared" si="48"/>
        <v>42960</v>
      </c>
      <c r="U821" s="4">
        <v>42960</v>
      </c>
    </row>
    <row r="822" spans="1:21" x14ac:dyDescent="0.3">
      <c r="A822" t="s">
        <v>1328</v>
      </c>
      <c r="B822" s="1" t="s">
        <v>224</v>
      </c>
      <c r="C822" s="1" t="s">
        <v>50</v>
      </c>
      <c r="D822" s="1" t="s">
        <v>24</v>
      </c>
      <c r="E822" s="2">
        <v>42410</v>
      </c>
      <c r="F822" s="2" t="b">
        <f t="shared" si="51"/>
        <v>1</v>
      </c>
      <c r="G822" s="2">
        <f t="shared" si="49"/>
        <v>42410</v>
      </c>
      <c r="H822" s="1" t="s">
        <v>104</v>
      </c>
      <c r="I822" s="1" t="s">
        <v>225</v>
      </c>
      <c r="J822" s="1">
        <v>70</v>
      </c>
      <c r="K822" s="1">
        <v>69</v>
      </c>
      <c r="L822" s="3">
        <v>1.43E-2</v>
      </c>
      <c r="N822" t="s">
        <v>3763</v>
      </c>
      <c r="S822" s="4" t="e">
        <f t="shared" si="50"/>
        <v>#NUM!</v>
      </c>
      <c r="T822" s="4" t="str">
        <f t="shared" si="48"/>
        <v/>
      </c>
      <c r="U822" s="4" t="s">
        <v>3763</v>
      </c>
    </row>
    <row r="823" spans="1:21" x14ac:dyDescent="0.3">
      <c r="A823" t="s">
        <v>1329</v>
      </c>
      <c r="B823" s="1" t="s">
        <v>170</v>
      </c>
      <c r="C823" s="1" t="s">
        <v>171</v>
      </c>
      <c r="D823" s="1" t="s">
        <v>13</v>
      </c>
      <c r="E823" s="2" t="s">
        <v>3081</v>
      </c>
      <c r="F823" s="2" t="b">
        <f t="shared" si="51"/>
        <v>0</v>
      </c>
      <c r="G823" s="2">
        <f t="shared" si="49"/>
        <v>43064</v>
      </c>
      <c r="H823" s="1" t="s">
        <v>41</v>
      </c>
      <c r="I823" s="1" t="s">
        <v>172</v>
      </c>
      <c r="J823" s="1">
        <v>30</v>
      </c>
      <c r="K823" s="1">
        <v>27</v>
      </c>
      <c r="L823" s="3">
        <v>0.1</v>
      </c>
      <c r="N823" t="s">
        <v>3081</v>
      </c>
      <c r="P823">
        <v>11</v>
      </c>
      <c r="Q823">
        <v>25</v>
      </c>
      <c r="R823">
        <v>2017</v>
      </c>
      <c r="S823" s="4">
        <f t="shared" si="50"/>
        <v>43064</v>
      </c>
      <c r="T823" s="4">
        <f t="shared" si="48"/>
        <v>43064</v>
      </c>
      <c r="U823" s="4">
        <v>43064</v>
      </c>
    </row>
    <row r="824" spans="1:21" x14ac:dyDescent="0.3">
      <c r="A824" t="s">
        <v>1330</v>
      </c>
      <c r="B824" s="1" t="s">
        <v>221</v>
      </c>
      <c r="C824" s="1" t="s">
        <v>40</v>
      </c>
      <c r="D824" s="1" t="s">
        <v>35</v>
      </c>
      <c r="E824" s="2" t="s">
        <v>3134</v>
      </c>
      <c r="F824" s="2" t="b">
        <f t="shared" si="51"/>
        <v>0</v>
      </c>
      <c r="G824" s="2">
        <f t="shared" si="49"/>
        <v>42994</v>
      </c>
      <c r="H824" s="1" t="s">
        <v>115</v>
      </c>
      <c r="I824" s="1" t="s">
        <v>260</v>
      </c>
      <c r="J824" s="1">
        <v>250</v>
      </c>
      <c r="K824" s="1">
        <v>225</v>
      </c>
      <c r="L824" s="3">
        <v>0.1</v>
      </c>
      <c r="N824" t="s">
        <v>3134</v>
      </c>
      <c r="P824">
        <v>9</v>
      </c>
      <c r="Q824">
        <v>16</v>
      </c>
      <c r="R824">
        <v>2017</v>
      </c>
      <c r="S824" s="4">
        <f t="shared" si="50"/>
        <v>42994</v>
      </c>
      <c r="T824" s="4">
        <f t="shared" si="48"/>
        <v>42994</v>
      </c>
      <c r="U824" s="4">
        <v>42994</v>
      </c>
    </row>
    <row r="825" spans="1:21" x14ac:dyDescent="0.3">
      <c r="A825" t="s">
        <v>1331</v>
      </c>
      <c r="B825" s="1" t="s">
        <v>227</v>
      </c>
      <c r="C825" s="1" t="s">
        <v>228</v>
      </c>
      <c r="D825" s="1" t="s">
        <v>24</v>
      </c>
      <c r="E825" s="2" t="s">
        <v>3372</v>
      </c>
      <c r="F825" s="2" t="b">
        <f t="shared" si="51"/>
        <v>0</v>
      </c>
      <c r="G825" s="2">
        <f t="shared" si="49"/>
        <v>42749</v>
      </c>
      <c r="H825" s="1" t="s">
        <v>72</v>
      </c>
      <c r="I825" s="1" t="s">
        <v>870</v>
      </c>
      <c r="J825" s="1">
        <v>500</v>
      </c>
      <c r="K825" s="1">
        <v>500</v>
      </c>
      <c r="L825" s="3">
        <v>0</v>
      </c>
      <c r="N825" t="s">
        <v>3372</v>
      </c>
      <c r="P825">
        <v>1</v>
      </c>
      <c r="Q825">
        <v>14</v>
      </c>
      <c r="R825">
        <v>2017</v>
      </c>
      <c r="S825" s="4">
        <f t="shared" si="50"/>
        <v>42749</v>
      </c>
      <c r="T825" s="4">
        <f t="shared" si="48"/>
        <v>42749</v>
      </c>
      <c r="U825" s="4">
        <v>42749</v>
      </c>
    </row>
    <row r="826" spans="1:21" x14ac:dyDescent="0.3">
      <c r="A826" t="s">
        <v>1332</v>
      </c>
      <c r="B826" s="1" t="s">
        <v>111</v>
      </c>
      <c r="C826" s="1" t="s">
        <v>82</v>
      </c>
      <c r="D826" s="1" t="s">
        <v>13</v>
      </c>
      <c r="E826" s="2">
        <v>42531</v>
      </c>
      <c r="F826" s="2" t="b">
        <f t="shared" si="51"/>
        <v>1</v>
      </c>
      <c r="G826" s="2">
        <f t="shared" si="49"/>
        <v>42531</v>
      </c>
      <c r="H826" s="1" t="s">
        <v>122</v>
      </c>
      <c r="I826" s="1" t="s">
        <v>456</v>
      </c>
      <c r="J826" s="1">
        <v>50</v>
      </c>
      <c r="K826" s="1">
        <v>45</v>
      </c>
      <c r="L826" s="3">
        <v>0.1</v>
      </c>
      <c r="N826" t="s">
        <v>3763</v>
      </c>
      <c r="S826" s="4" t="e">
        <f t="shared" si="50"/>
        <v>#NUM!</v>
      </c>
      <c r="T826" s="4" t="str">
        <f t="shared" si="48"/>
        <v/>
      </c>
      <c r="U826" s="4" t="s">
        <v>3763</v>
      </c>
    </row>
    <row r="827" spans="1:21" x14ac:dyDescent="0.3">
      <c r="A827" t="s">
        <v>1333</v>
      </c>
      <c r="B827" s="1" t="s">
        <v>146</v>
      </c>
      <c r="C827" s="1" t="s">
        <v>147</v>
      </c>
      <c r="D827" s="1" t="s">
        <v>13</v>
      </c>
      <c r="E827" s="2">
        <v>41794</v>
      </c>
      <c r="F827" s="2" t="b">
        <f t="shared" si="51"/>
        <v>1</v>
      </c>
      <c r="G827" s="2">
        <f t="shared" si="49"/>
        <v>41794</v>
      </c>
      <c r="H827" s="1" t="s">
        <v>30</v>
      </c>
      <c r="I827" s="1" t="s">
        <v>1334</v>
      </c>
      <c r="J827" s="1">
        <v>150</v>
      </c>
      <c r="K827" s="1">
        <v>137</v>
      </c>
      <c r="L827" s="3">
        <v>8.6699999999999999E-2</v>
      </c>
      <c r="N827" t="s">
        <v>3763</v>
      </c>
      <c r="S827" s="4" t="e">
        <f t="shared" si="50"/>
        <v>#NUM!</v>
      </c>
      <c r="T827" s="4" t="str">
        <f t="shared" si="48"/>
        <v/>
      </c>
      <c r="U827" s="4" t="s">
        <v>3763</v>
      </c>
    </row>
    <row r="828" spans="1:21" x14ac:dyDescent="0.3">
      <c r="A828" t="s">
        <v>1335</v>
      </c>
      <c r="B828" s="1" t="s">
        <v>28</v>
      </c>
      <c r="C828" s="1" t="s">
        <v>29</v>
      </c>
      <c r="D828" s="1" t="s">
        <v>13</v>
      </c>
      <c r="E828" s="2">
        <v>42858</v>
      </c>
      <c r="F828" s="2" t="b">
        <f t="shared" si="51"/>
        <v>1</v>
      </c>
      <c r="G828" s="2">
        <f t="shared" si="49"/>
        <v>42858</v>
      </c>
      <c r="H828" s="1" t="s">
        <v>46</v>
      </c>
      <c r="I828" s="1" t="s">
        <v>249</v>
      </c>
      <c r="J828" s="1">
        <v>500</v>
      </c>
      <c r="K828" s="1">
        <v>455</v>
      </c>
      <c r="L828" s="3">
        <v>0.09</v>
      </c>
      <c r="N828" t="s">
        <v>3763</v>
      </c>
      <c r="S828" s="4" t="e">
        <f t="shared" si="50"/>
        <v>#NUM!</v>
      </c>
      <c r="T828" s="4" t="str">
        <f t="shared" si="48"/>
        <v/>
      </c>
      <c r="U828" s="4" t="s">
        <v>3763</v>
      </c>
    </row>
    <row r="829" spans="1:21" x14ac:dyDescent="0.3">
      <c r="A829" t="s">
        <v>1336</v>
      </c>
      <c r="B829" s="1" t="s">
        <v>114</v>
      </c>
      <c r="C829" s="1" t="s">
        <v>54</v>
      </c>
      <c r="D829" s="1" t="s">
        <v>13</v>
      </c>
      <c r="E829" s="2" t="s">
        <v>3373</v>
      </c>
      <c r="F829" s="2" t="b">
        <f t="shared" si="51"/>
        <v>0</v>
      </c>
      <c r="G829" s="2">
        <f t="shared" si="49"/>
        <v>43451</v>
      </c>
      <c r="H829" s="1" t="s">
        <v>72</v>
      </c>
      <c r="I829" s="1" t="s">
        <v>168</v>
      </c>
      <c r="J829" s="1">
        <v>500</v>
      </c>
      <c r="K829" s="1">
        <v>500</v>
      </c>
      <c r="L829" s="3">
        <v>0</v>
      </c>
      <c r="N829" t="s">
        <v>3373</v>
      </c>
      <c r="P829">
        <v>12</v>
      </c>
      <c r="Q829">
        <v>17</v>
      </c>
      <c r="R829">
        <v>2018</v>
      </c>
      <c r="S829" s="4">
        <f t="shared" si="50"/>
        <v>43451</v>
      </c>
      <c r="T829" s="4">
        <f t="shared" si="48"/>
        <v>43451</v>
      </c>
      <c r="U829" s="4">
        <v>43451</v>
      </c>
    </row>
    <row r="830" spans="1:21" x14ac:dyDescent="0.3">
      <c r="A830" t="s">
        <v>1337</v>
      </c>
      <c r="B830" s="1" t="s">
        <v>134</v>
      </c>
      <c r="C830" s="1" t="s">
        <v>92</v>
      </c>
      <c r="D830" s="1" t="s">
        <v>35</v>
      </c>
      <c r="E830" s="2" t="s">
        <v>3244</v>
      </c>
      <c r="F830" s="2" t="b">
        <f t="shared" si="51"/>
        <v>0</v>
      </c>
      <c r="G830" s="2">
        <f t="shared" si="49"/>
        <v>42731</v>
      </c>
      <c r="H830" s="1" t="s">
        <v>25</v>
      </c>
      <c r="I830" s="1" t="s">
        <v>702</v>
      </c>
      <c r="J830" s="1">
        <v>700</v>
      </c>
      <c r="K830" s="1">
        <v>644</v>
      </c>
      <c r="L830" s="3">
        <v>0.08</v>
      </c>
      <c r="N830" t="s">
        <v>3244</v>
      </c>
      <c r="P830">
        <v>12</v>
      </c>
      <c r="Q830">
        <v>27</v>
      </c>
      <c r="R830">
        <v>2016</v>
      </c>
      <c r="S830" s="4">
        <f t="shared" si="50"/>
        <v>42731</v>
      </c>
      <c r="T830" s="4">
        <f t="shared" si="48"/>
        <v>42731</v>
      </c>
      <c r="U830" s="4">
        <v>42731</v>
      </c>
    </row>
    <row r="831" spans="1:21" x14ac:dyDescent="0.3">
      <c r="A831" t="s">
        <v>1338</v>
      </c>
      <c r="B831" s="1" t="s">
        <v>124</v>
      </c>
      <c r="C831" s="1" t="s">
        <v>40</v>
      </c>
      <c r="D831" s="1" t="s">
        <v>35</v>
      </c>
      <c r="E831" s="2">
        <v>41791</v>
      </c>
      <c r="F831" s="2" t="b">
        <f t="shared" si="51"/>
        <v>1</v>
      </c>
      <c r="G831" s="2">
        <f t="shared" si="49"/>
        <v>41791</v>
      </c>
      <c r="H831" s="1" t="s">
        <v>30</v>
      </c>
      <c r="I831" s="1" t="s">
        <v>863</v>
      </c>
      <c r="J831" s="1">
        <v>150</v>
      </c>
      <c r="K831" s="1">
        <v>123</v>
      </c>
      <c r="L831" s="3">
        <v>0.18</v>
      </c>
      <c r="N831" t="s">
        <v>3763</v>
      </c>
      <c r="S831" s="4" t="e">
        <f t="shared" si="50"/>
        <v>#NUM!</v>
      </c>
      <c r="T831" s="4" t="str">
        <f t="shared" si="48"/>
        <v/>
      </c>
      <c r="U831" s="4" t="s">
        <v>3763</v>
      </c>
    </row>
    <row r="832" spans="1:21" x14ac:dyDescent="0.3">
      <c r="A832" t="s">
        <v>1339</v>
      </c>
      <c r="B832" s="1" t="s">
        <v>11</v>
      </c>
      <c r="C832" s="1" t="s">
        <v>12</v>
      </c>
      <c r="D832" s="1" t="s">
        <v>13</v>
      </c>
      <c r="E832" s="2" t="s">
        <v>3374</v>
      </c>
      <c r="F832" s="2" t="b">
        <f t="shared" si="51"/>
        <v>0</v>
      </c>
      <c r="G832" s="2">
        <f t="shared" si="49"/>
        <v>42694</v>
      </c>
      <c r="H832" s="1" t="s">
        <v>46</v>
      </c>
      <c r="I832" s="1" t="s">
        <v>193</v>
      </c>
      <c r="J832" s="1">
        <v>500</v>
      </c>
      <c r="K832" s="1">
        <v>475</v>
      </c>
      <c r="L832" s="3">
        <v>0.05</v>
      </c>
      <c r="N832" t="s">
        <v>3374</v>
      </c>
      <c r="P832">
        <v>11</v>
      </c>
      <c r="Q832">
        <v>20</v>
      </c>
      <c r="R832">
        <v>2016</v>
      </c>
      <c r="S832" s="4">
        <f t="shared" si="50"/>
        <v>42694</v>
      </c>
      <c r="T832" s="4">
        <f t="shared" si="48"/>
        <v>42694</v>
      </c>
      <c r="U832" s="4">
        <v>42694</v>
      </c>
    </row>
    <row r="833" spans="1:21" x14ac:dyDescent="0.3">
      <c r="A833" t="s">
        <v>1340</v>
      </c>
      <c r="B833" s="1" t="s">
        <v>255</v>
      </c>
      <c r="C833" s="1" t="s">
        <v>256</v>
      </c>
      <c r="D833" s="1" t="s">
        <v>13</v>
      </c>
      <c r="E833" s="2" t="s">
        <v>3375</v>
      </c>
      <c r="F833" s="2" t="b">
        <f t="shared" si="51"/>
        <v>0</v>
      </c>
      <c r="G833" s="2">
        <f t="shared" si="49"/>
        <v>43128</v>
      </c>
      <c r="H833" s="1" t="s">
        <v>61</v>
      </c>
      <c r="I833" s="1" t="s">
        <v>1341</v>
      </c>
      <c r="J833" s="1">
        <v>1000</v>
      </c>
      <c r="K833" s="1">
        <v>750</v>
      </c>
      <c r="L833" s="3">
        <v>0.25</v>
      </c>
      <c r="N833" t="s">
        <v>3375</v>
      </c>
      <c r="P833">
        <v>1</v>
      </c>
      <c r="Q833">
        <v>28</v>
      </c>
      <c r="R833">
        <v>2018</v>
      </c>
      <c r="S833" s="4">
        <f t="shared" si="50"/>
        <v>43128</v>
      </c>
      <c r="T833" s="4">
        <f t="shared" si="48"/>
        <v>43128</v>
      </c>
      <c r="U833" s="4">
        <v>43128</v>
      </c>
    </row>
    <row r="834" spans="1:21" x14ac:dyDescent="0.3">
      <c r="A834" t="s">
        <v>1342</v>
      </c>
      <c r="B834" s="1" t="s">
        <v>91</v>
      </c>
      <c r="C834" s="1" t="s">
        <v>92</v>
      </c>
      <c r="D834" s="1" t="s">
        <v>35</v>
      </c>
      <c r="E834" s="2" t="s">
        <v>3026</v>
      </c>
      <c r="F834" s="2" t="b">
        <f t="shared" si="51"/>
        <v>0</v>
      </c>
      <c r="G834" s="2">
        <f t="shared" si="49"/>
        <v>43207</v>
      </c>
      <c r="H834" s="1" t="s">
        <v>30</v>
      </c>
      <c r="I834" s="1" t="s">
        <v>1343</v>
      </c>
      <c r="J834" s="1">
        <v>150</v>
      </c>
      <c r="K834" s="1">
        <v>150</v>
      </c>
      <c r="L834" s="3">
        <v>0</v>
      </c>
      <c r="N834" t="s">
        <v>3026</v>
      </c>
      <c r="P834">
        <v>4</v>
      </c>
      <c r="Q834">
        <v>17</v>
      </c>
      <c r="R834">
        <v>2018</v>
      </c>
      <c r="S834" s="4">
        <f t="shared" si="50"/>
        <v>43207</v>
      </c>
      <c r="T834" s="4">
        <f t="shared" si="48"/>
        <v>43207</v>
      </c>
      <c r="U834" s="4">
        <v>43207</v>
      </c>
    </row>
    <row r="835" spans="1:21" x14ac:dyDescent="0.3">
      <c r="A835" t="s">
        <v>1344</v>
      </c>
      <c r="B835" s="1" t="s">
        <v>255</v>
      </c>
      <c r="C835" s="1" t="s">
        <v>256</v>
      </c>
      <c r="D835" s="1" t="s">
        <v>13</v>
      </c>
      <c r="E835" s="2" t="s">
        <v>3376</v>
      </c>
      <c r="F835" s="2" t="b">
        <f t="shared" si="51"/>
        <v>0</v>
      </c>
      <c r="G835" s="2">
        <f t="shared" si="49"/>
        <v>43449</v>
      </c>
      <c r="H835" s="1" t="s">
        <v>104</v>
      </c>
      <c r="I835" s="1" t="s">
        <v>1345</v>
      </c>
      <c r="J835" s="1">
        <v>70</v>
      </c>
      <c r="K835" s="1">
        <v>63</v>
      </c>
      <c r="L835" s="3">
        <v>0.1</v>
      </c>
      <c r="N835" t="s">
        <v>3376</v>
      </c>
      <c r="P835">
        <v>12</v>
      </c>
      <c r="Q835">
        <v>15</v>
      </c>
      <c r="R835">
        <v>2018</v>
      </c>
      <c r="S835" s="4">
        <f t="shared" si="50"/>
        <v>43449</v>
      </c>
      <c r="T835" s="4">
        <f t="shared" ref="T835:T898" si="52">IF(AND(P835&lt;&gt;"",Q835&lt;&gt;"",R835&lt;&gt;""),IFERROR(DATE(R835,P835,Q835),""),"")</f>
        <v>43449</v>
      </c>
      <c r="U835" s="4">
        <v>43449</v>
      </c>
    </row>
    <row r="836" spans="1:21" x14ac:dyDescent="0.3">
      <c r="A836" t="s">
        <v>1346</v>
      </c>
      <c r="B836" s="1" t="s">
        <v>95</v>
      </c>
      <c r="C836" s="1" t="s">
        <v>96</v>
      </c>
      <c r="D836" s="1" t="s">
        <v>13</v>
      </c>
      <c r="E836" s="2">
        <v>42320</v>
      </c>
      <c r="F836" s="2" t="b">
        <f t="shared" si="51"/>
        <v>1</v>
      </c>
      <c r="G836" s="2">
        <f t="shared" ref="G836:G899" si="53">IF(F836=TRUE,E836,U836)</f>
        <v>42320</v>
      </c>
      <c r="H836" s="1" t="s">
        <v>104</v>
      </c>
      <c r="I836" s="1" t="s">
        <v>460</v>
      </c>
      <c r="J836" s="1">
        <v>70</v>
      </c>
      <c r="K836" s="1">
        <v>57</v>
      </c>
      <c r="L836" s="3">
        <v>0.1857</v>
      </c>
      <c r="N836" t="s">
        <v>3763</v>
      </c>
      <c r="S836" s="4" t="e">
        <f t="shared" ref="S836:S899" si="54">DATE(R836,P836,Q836)</f>
        <v>#NUM!</v>
      </c>
      <c r="T836" s="4" t="str">
        <f t="shared" si="52"/>
        <v/>
      </c>
      <c r="U836" s="4" t="s">
        <v>3763</v>
      </c>
    </row>
    <row r="837" spans="1:21" x14ac:dyDescent="0.3">
      <c r="A837" t="s">
        <v>1347</v>
      </c>
      <c r="B837" s="1" t="s">
        <v>146</v>
      </c>
      <c r="C837" s="1" t="s">
        <v>147</v>
      </c>
      <c r="D837" s="1" t="s">
        <v>13</v>
      </c>
      <c r="E837" s="2">
        <v>43102</v>
      </c>
      <c r="F837" s="2" t="b">
        <f t="shared" ref="F837:F900" si="55">ISNUMBER(E837)</f>
        <v>1</v>
      </c>
      <c r="G837" s="2">
        <f t="shared" si="53"/>
        <v>43102</v>
      </c>
      <c r="H837" s="1" t="s">
        <v>30</v>
      </c>
      <c r="I837" s="1" t="s">
        <v>1348</v>
      </c>
      <c r="J837" s="1">
        <v>150</v>
      </c>
      <c r="K837" s="1">
        <v>143</v>
      </c>
      <c r="L837" s="3">
        <v>4.6699999999999998E-2</v>
      </c>
      <c r="N837" t="s">
        <v>3763</v>
      </c>
      <c r="S837" s="4" t="e">
        <f t="shared" si="54"/>
        <v>#NUM!</v>
      </c>
      <c r="T837" s="4" t="str">
        <f t="shared" si="52"/>
        <v/>
      </c>
      <c r="U837" s="4" t="s">
        <v>3763</v>
      </c>
    </row>
    <row r="838" spans="1:21" x14ac:dyDescent="0.3">
      <c r="A838" t="s">
        <v>1349</v>
      </c>
      <c r="B838" s="1" t="s">
        <v>17</v>
      </c>
      <c r="C838" s="1" t="s">
        <v>18</v>
      </c>
      <c r="D838" s="1" t="s">
        <v>19</v>
      </c>
      <c r="E838" s="2" t="s">
        <v>3377</v>
      </c>
      <c r="F838" s="2" t="b">
        <f t="shared" si="55"/>
        <v>0</v>
      </c>
      <c r="G838" s="2">
        <f t="shared" si="53"/>
        <v>43300</v>
      </c>
      <c r="H838" s="1" t="s">
        <v>41</v>
      </c>
      <c r="I838" s="1" t="s">
        <v>89</v>
      </c>
      <c r="J838" s="1">
        <v>30</v>
      </c>
      <c r="K838" s="1">
        <v>27</v>
      </c>
      <c r="L838" s="3">
        <v>0.1</v>
      </c>
      <c r="N838" t="s">
        <v>3377</v>
      </c>
      <c r="P838">
        <v>7</v>
      </c>
      <c r="Q838">
        <v>19</v>
      </c>
      <c r="R838">
        <v>2018</v>
      </c>
      <c r="S838" s="4">
        <f t="shared" si="54"/>
        <v>43300</v>
      </c>
      <c r="T838" s="4">
        <f t="shared" si="52"/>
        <v>43300</v>
      </c>
      <c r="U838" s="4">
        <v>43300</v>
      </c>
    </row>
    <row r="839" spans="1:21" x14ac:dyDescent="0.3">
      <c r="A839" t="s">
        <v>1350</v>
      </c>
      <c r="B839" s="1" t="s">
        <v>150</v>
      </c>
      <c r="C839" s="1" t="s">
        <v>151</v>
      </c>
      <c r="D839" s="1" t="s">
        <v>13</v>
      </c>
      <c r="E839" s="2">
        <v>42829</v>
      </c>
      <c r="F839" s="2" t="b">
        <f t="shared" si="55"/>
        <v>1</v>
      </c>
      <c r="G839" s="2">
        <f t="shared" si="53"/>
        <v>42829</v>
      </c>
      <c r="H839" s="1" t="s">
        <v>55</v>
      </c>
      <c r="I839" s="1" t="s">
        <v>1351</v>
      </c>
      <c r="J839" s="1">
        <v>800</v>
      </c>
      <c r="K839" s="1">
        <v>648</v>
      </c>
      <c r="L839" s="3">
        <v>0.19</v>
      </c>
      <c r="N839" t="s">
        <v>3763</v>
      </c>
      <c r="S839" s="4" t="e">
        <f t="shared" si="54"/>
        <v>#NUM!</v>
      </c>
      <c r="T839" s="4" t="str">
        <f t="shared" si="52"/>
        <v/>
      </c>
      <c r="U839" s="4" t="s">
        <v>3763</v>
      </c>
    </row>
    <row r="840" spans="1:21" x14ac:dyDescent="0.3">
      <c r="A840" t="s">
        <v>1352</v>
      </c>
      <c r="B840" s="1" t="s">
        <v>187</v>
      </c>
      <c r="C840" s="1" t="s">
        <v>188</v>
      </c>
      <c r="D840" s="1" t="s">
        <v>13</v>
      </c>
      <c r="E840" s="2" t="s">
        <v>3378</v>
      </c>
      <c r="F840" s="2" t="b">
        <f t="shared" si="55"/>
        <v>0</v>
      </c>
      <c r="G840" s="2">
        <f t="shared" si="53"/>
        <v>42035</v>
      </c>
      <c r="H840" s="1" t="s">
        <v>61</v>
      </c>
      <c r="I840" s="1" t="s">
        <v>797</v>
      </c>
      <c r="J840" s="1">
        <v>1000</v>
      </c>
      <c r="K840" s="1">
        <v>970</v>
      </c>
      <c r="L840" s="3">
        <v>0.03</v>
      </c>
      <c r="N840" t="s">
        <v>3378</v>
      </c>
      <c r="P840">
        <v>1</v>
      </c>
      <c r="Q840">
        <v>31</v>
      </c>
      <c r="R840">
        <v>2015</v>
      </c>
      <c r="S840" s="4">
        <f t="shared" si="54"/>
        <v>42035</v>
      </c>
      <c r="T840" s="4">
        <f t="shared" si="52"/>
        <v>42035</v>
      </c>
      <c r="U840" s="4">
        <v>42035</v>
      </c>
    </row>
    <row r="841" spans="1:21" x14ac:dyDescent="0.3">
      <c r="A841" t="s">
        <v>1353</v>
      </c>
      <c r="B841" s="1" t="s">
        <v>205</v>
      </c>
      <c r="C841" s="1" t="s">
        <v>206</v>
      </c>
      <c r="D841" s="1" t="s">
        <v>24</v>
      </c>
      <c r="E841" s="2" t="s">
        <v>3379</v>
      </c>
      <c r="F841" s="2" t="b">
        <f t="shared" si="55"/>
        <v>0</v>
      </c>
      <c r="G841" s="2">
        <f t="shared" si="53"/>
        <v>42540</v>
      </c>
      <c r="H841" s="1" t="s">
        <v>104</v>
      </c>
      <c r="I841" s="1" t="s">
        <v>759</v>
      </c>
      <c r="J841" s="1">
        <v>70</v>
      </c>
      <c r="K841" s="1">
        <v>67</v>
      </c>
      <c r="L841" s="3">
        <v>4.2900000000000001E-2</v>
      </c>
      <c r="N841" t="s">
        <v>3379</v>
      </c>
      <c r="P841">
        <v>6</v>
      </c>
      <c r="Q841">
        <v>19</v>
      </c>
      <c r="R841">
        <v>2016</v>
      </c>
      <c r="S841" s="4">
        <f t="shared" si="54"/>
        <v>42540</v>
      </c>
      <c r="T841" s="4">
        <f t="shared" si="52"/>
        <v>42540</v>
      </c>
      <c r="U841" s="4">
        <v>42540</v>
      </c>
    </row>
    <row r="842" spans="1:21" x14ac:dyDescent="0.3">
      <c r="A842" t="s">
        <v>1354</v>
      </c>
      <c r="B842" s="1" t="s">
        <v>134</v>
      </c>
      <c r="C842" s="1" t="s">
        <v>92</v>
      </c>
      <c r="D842" s="1" t="s">
        <v>35</v>
      </c>
      <c r="E842" s="2" t="s">
        <v>3309</v>
      </c>
      <c r="F842" s="2" t="b">
        <f t="shared" si="55"/>
        <v>0</v>
      </c>
      <c r="G842" s="2">
        <f t="shared" si="53"/>
        <v>42965</v>
      </c>
      <c r="H842" s="1" t="s">
        <v>61</v>
      </c>
      <c r="I842" s="1" t="s">
        <v>538</v>
      </c>
      <c r="J842" s="1">
        <v>1000</v>
      </c>
      <c r="K842" s="1">
        <v>890</v>
      </c>
      <c r="L842" s="3">
        <v>0.11</v>
      </c>
      <c r="N842" t="s">
        <v>3309</v>
      </c>
      <c r="P842">
        <v>8</v>
      </c>
      <c r="Q842">
        <v>18</v>
      </c>
      <c r="R842">
        <v>2017</v>
      </c>
      <c r="S842" s="4">
        <f t="shared" si="54"/>
        <v>42965</v>
      </c>
      <c r="T842" s="4">
        <f t="shared" si="52"/>
        <v>42965</v>
      </c>
      <c r="U842" s="4">
        <v>42965</v>
      </c>
    </row>
    <row r="843" spans="1:21" x14ac:dyDescent="0.3">
      <c r="A843" t="s">
        <v>1355</v>
      </c>
      <c r="B843" s="1" t="s">
        <v>157</v>
      </c>
      <c r="C843" s="1" t="s">
        <v>108</v>
      </c>
      <c r="D843" s="1" t="s">
        <v>19</v>
      </c>
      <c r="E843" s="2">
        <v>42071</v>
      </c>
      <c r="F843" s="2" t="b">
        <f t="shared" si="55"/>
        <v>1</v>
      </c>
      <c r="G843" s="2">
        <f t="shared" si="53"/>
        <v>42071</v>
      </c>
      <c r="H843" s="1" t="s">
        <v>25</v>
      </c>
      <c r="I843" s="1" t="s">
        <v>304</v>
      </c>
      <c r="J843" s="1">
        <v>700</v>
      </c>
      <c r="K843" s="1">
        <v>476</v>
      </c>
      <c r="L843" s="3">
        <v>0.32</v>
      </c>
      <c r="N843" t="s">
        <v>3763</v>
      </c>
      <c r="S843" s="4" t="e">
        <f t="shared" si="54"/>
        <v>#NUM!</v>
      </c>
      <c r="T843" s="4" t="str">
        <f t="shared" si="52"/>
        <v/>
      </c>
      <c r="U843" s="4" t="s">
        <v>3763</v>
      </c>
    </row>
    <row r="844" spans="1:21" x14ac:dyDescent="0.3">
      <c r="A844" t="s">
        <v>1356</v>
      </c>
      <c r="B844" s="1" t="s">
        <v>99</v>
      </c>
      <c r="C844" s="1" t="s">
        <v>100</v>
      </c>
      <c r="D844" s="1" t="s">
        <v>13</v>
      </c>
      <c r="E844" s="2">
        <v>42011</v>
      </c>
      <c r="F844" s="2" t="b">
        <f t="shared" si="55"/>
        <v>1</v>
      </c>
      <c r="G844" s="2">
        <f t="shared" si="53"/>
        <v>42011</v>
      </c>
      <c r="H844" s="1" t="s">
        <v>104</v>
      </c>
      <c r="I844" s="1" t="s">
        <v>1090</v>
      </c>
      <c r="J844" s="1">
        <v>70</v>
      </c>
      <c r="K844" s="1">
        <v>52</v>
      </c>
      <c r="L844" s="3">
        <v>0.2571</v>
      </c>
      <c r="N844" t="s">
        <v>3763</v>
      </c>
      <c r="S844" s="4" t="e">
        <f t="shared" si="54"/>
        <v>#NUM!</v>
      </c>
      <c r="T844" s="4" t="str">
        <f t="shared" si="52"/>
        <v/>
      </c>
      <c r="U844" s="4" t="s">
        <v>3763</v>
      </c>
    </row>
    <row r="845" spans="1:21" x14ac:dyDescent="0.3">
      <c r="A845" t="s">
        <v>1357</v>
      </c>
      <c r="B845" s="1" t="s">
        <v>134</v>
      </c>
      <c r="C845" s="1" t="s">
        <v>92</v>
      </c>
      <c r="D845" s="1" t="s">
        <v>35</v>
      </c>
      <c r="E845" s="2">
        <v>43353</v>
      </c>
      <c r="F845" s="2" t="b">
        <f t="shared" si="55"/>
        <v>1</v>
      </c>
      <c r="G845" s="2">
        <f t="shared" si="53"/>
        <v>43353</v>
      </c>
      <c r="H845" s="1" t="s">
        <v>25</v>
      </c>
      <c r="I845" s="1" t="s">
        <v>1135</v>
      </c>
      <c r="J845" s="1">
        <v>700</v>
      </c>
      <c r="K845" s="1">
        <v>686</v>
      </c>
      <c r="L845" s="3">
        <v>0.02</v>
      </c>
      <c r="N845" t="s">
        <v>3763</v>
      </c>
      <c r="S845" s="4" t="e">
        <f t="shared" si="54"/>
        <v>#NUM!</v>
      </c>
      <c r="T845" s="4" t="str">
        <f t="shared" si="52"/>
        <v/>
      </c>
      <c r="U845" s="4" t="s">
        <v>3763</v>
      </c>
    </row>
    <row r="846" spans="1:21" x14ac:dyDescent="0.3">
      <c r="A846" t="s">
        <v>1358</v>
      </c>
      <c r="B846" s="1" t="s">
        <v>157</v>
      </c>
      <c r="C846" s="1" t="s">
        <v>108</v>
      </c>
      <c r="D846" s="1" t="s">
        <v>19</v>
      </c>
      <c r="E846" s="2">
        <v>43317</v>
      </c>
      <c r="F846" s="2" t="b">
        <f t="shared" si="55"/>
        <v>1</v>
      </c>
      <c r="G846" s="2">
        <f t="shared" si="53"/>
        <v>43317</v>
      </c>
      <c r="H846" s="1" t="s">
        <v>61</v>
      </c>
      <c r="I846" s="1" t="s">
        <v>464</v>
      </c>
      <c r="J846" s="1">
        <v>1000</v>
      </c>
      <c r="K846" s="1">
        <v>640</v>
      </c>
      <c r="L846" s="3">
        <v>0.36</v>
      </c>
      <c r="N846" t="s">
        <v>3763</v>
      </c>
      <c r="S846" s="4" t="e">
        <f t="shared" si="54"/>
        <v>#NUM!</v>
      </c>
      <c r="T846" s="4" t="str">
        <f t="shared" si="52"/>
        <v/>
      </c>
      <c r="U846" s="4" t="s">
        <v>3763</v>
      </c>
    </row>
    <row r="847" spans="1:21" x14ac:dyDescent="0.3">
      <c r="A847" t="s">
        <v>1359</v>
      </c>
      <c r="B847" s="1" t="s">
        <v>134</v>
      </c>
      <c r="C847" s="1" t="s">
        <v>92</v>
      </c>
      <c r="D847" s="1" t="s">
        <v>35</v>
      </c>
      <c r="E847" s="2" t="s">
        <v>3380</v>
      </c>
      <c r="F847" s="2" t="b">
        <f t="shared" si="55"/>
        <v>0</v>
      </c>
      <c r="G847" s="2">
        <f t="shared" si="53"/>
        <v>42413</v>
      </c>
      <c r="H847" s="1" t="s">
        <v>46</v>
      </c>
      <c r="I847" s="1" t="s">
        <v>1019</v>
      </c>
      <c r="J847" s="1">
        <v>500</v>
      </c>
      <c r="K847" s="1">
        <v>440</v>
      </c>
      <c r="L847" s="3">
        <v>0.12</v>
      </c>
      <c r="N847" t="s">
        <v>3380</v>
      </c>
      <c r="P847">
        <v>2</v>
      </c>
      <c r="Q847">
        <v>13</v>
      </c>
      <c r="R847">
        <v>2016</v>
      </c>
      <c r="S847" s="4">
        <f t="shared" si="54"/>
        <v>42413</v>
      </c>
      <c r="T847" s="4">
        <f t="shared" si="52"/>
        <v>42413</v>
      </c>
      <c r="U847" s="4">
        <v>42413</v>
      </c>
    </row>
    <row r="848" spans="1:21" x14ac:dyDescent="0.3">
      <c r="A848" t="s">
        <v>1360</v>
      </c>
      <c r="B848" s="1" t="s">
        <v>77</v>
      </c>
      <c r="C848" s="1" t="s">
        <v>78</v>
      </c>
      <c r="D848" s="1" t="s">
        <v>35</v>
      </c>
      <c r="E848" s="2" t="s">
        <v>3186</v>
      </c>
      <c r="F848" s="2" t="b">
        <f t="shared" si="55"/>
        <v>0</v>
      </c>
      <c r="G848" s="2">
        <f t="shared" si="53"/>
        <v>42719</v>
      </c>
      <c r="H848" s="1" t="s">
        <v>14</v>
      </c>
      <c r="I848" s="1" t="s">
        <v>317</v>
      </c>
      <c r="J848" s="1">
        <v>80</v>
      </c>
      <c r="K848" s="1">
        <v>75</v>
      </c>
      <c r="L848" s="3">
        <v>6.25E-2</v>
      </c>
      <c r="N848" t="s">
        <v>3186</v>
      </c>
      <c r="P848">
        <v>12</v>
      </c>
      <c r="Q848">
        <v>15</v>
      </c>
      <c r="R848">
        <v>2016</v>
      </c>
      <c r="S848" s="4">
        <f t="shared" si="54"/>
        <v>42719</v>
      </c>
      <c r="T848" s="4">
        <f t="shared" si="52"/>
        <v>42719</v>
      </c>
      <c r="U848" s="4">
        <v>42719</v>
      </c>
    </row>
    <row r="849" spans="1:21" x14ac:dyDescent="0.3">
      <c r="A849" t="s">
        <v>1361</v>
      </c>
      <c r="B849" s="1" t="s">
        <v>28</v>
      </c>
      <c r="C849" s="1" t="s">
        <v>29</v>
      </c>
      <c r="D849" s="1" t="s">
        <v>13</v>
      </c>
      <c r="E849" s="2" t="s">
        <v>3081</v>
      </c>
      <c r="F849" s="2" t="b">
        <f t="shared" si="55"/>
        <v>0</v>
      </c>
      <c r="G849" s="2">
        <f t="shared" si="53"/>
        <v>43064</v>
      </c>
      <c r="H849" s="1" t="s">
        <v>30</v>
      </c>
      <c r="I849" s="1" t="s">
        <v>445</v>
      </c>
      <c r="J849" s="1">
        <v>150</v>
      </c>
      <c r="K849" s="1">
        <v>144</v>
      </c>
      <c r="L849" s="3">
        <v>0.04</v>
      </c>
      <c r="N849" t="s">
        <v>3081</v>
      </c>
      <c r="P849">
        <v>11</v>
      </c>
      <c r="Q849">
        <v>25</v>
      </c>
      <c r="R849">
        <v>2017</v>
      </c>
      <c r="S849" s="4">
        <f t="shared" si="54"/>
        <v>43064</v>
      </c>
      <c r="T849" s="4">
        <f t="shared" si="52"/>
        <v>43064</v>
      </c>
      <c r="U849" s="4">
        <v>43064</v>
      </c>
    </row>
    <row r="850" spans="1:21" x14ac:dyDescent="0.3">
      <c r="A850" t="s">
        <v>1362</v>
      </c>
      <c r="B850" s="1" t="s">
        <v>434</v>
      </c>
      <c r="C850" s="1" t="s">
        <v>435</v>
      </c>
      <c r="D850" s="1" t="s">
        <v>24</v>
      </c>
      <c r="E850" s="2">
        <v>42655</v>
      </c>
      <c r="F850" s="2" t="b">
        <f t="shared" si="55"/>
        <v>1</v>
      </c>
      <c r="G850" s="2">
        <f t="shared" si="53"/>
        <v>42655</v>
      </c>
      <c r="H850" s="1" t="s">
        <v>41</v>
      </c>
      <c r="I850" s="1" t="s">
        <v>436</v>
      </c>
      <c r="J850" s="1">
        <v>30</v>
      </c>
      <c r="K850" s="1">
        <v>26</v>
      </c>
      <c r="L850" s="3">
        <v>0.1333</v>
      </c>
      <c r="N850" t="s">
        <v>3763</v>
      </c>
      <c r="S850" s="4" t="e">
        <f t="shared" si="54"/>
        <v>#NUM!</v>
      </c>
      <c r="T850" s="4" t="str">
        <f t="shared" si="52"/>
        <v/>
      </c>
      <c r="U850" s="4" t="s">
        <v>3763</v>
      </c>
    </row>
    <row r="851" spans="1:21" x14ac:dyDescent="0.3">
      <c r="A851" t="s">
        <v>1363</v>
      </c>
      <c r="B851" s="1" t="s">
        <v>134</v>
      </c>
      <c r="C851" s="1" t="s">
        <v>92</v>
      </c>
      <c r="D851" s="1" t="s">
        <v>35</v>
      </c>
      <c r="E851" s="2" t="s">
        <v>3381</v>
      </c>
      <c r="F851" s="2" t="b">
        <f t="shared" si="55"/>
        <v>0</v>
      </c>
      <c r="G851" s="2">
        <f t="shared" si="53"/>
        <v>43115</v>
      </c>
      <c r="H851" s="1" t="s">
        <v>14</v>
      </c>
      <c r="I851" s="1" t="s">
        <v>1062</v>
      </c>
      <c r="J851" s="1">
        <v>80</v>
      </c>
      <c r="K851" s="1">
        <v>74</v>
      </c>
      <c r="L851" s="3">
        <v>7.4999999999999997E-2</v>
      </c>
      <c r="N851" t="s">
        <v>3381</v>
      </c>
      <c r="P851">
        <v>1</v>
      </c>
      <c r="Q851">
        <v>15</v>
      </c>
      <c r="R851">
        <v>2018</v>
      </c>
      <c r="S851" s="4">
        <f t="shared" si="54"/>
        <v>43115</v>
      </c>
      <c r="T851" s="4">
        <f t="shared" si="52"/>
        <v>43115</v>
      </c>
      <c r="U851" s="4">
        <v>43115</v>
      </c>
    </row>
    <row r="852" spans="1:21" x14ac:dyDescent="0.3">
      <c r="A852" t="s">
        <v>1364</v>
      </c>
      <c r="B852" s="1" t="s">
        <v>124</v>
      </c>
      <c r="C852" s="1" t="s">
        <v>40</v>
      </c>
      <c r="D852" s="1" t="s">
        <v>35</v>
      </c>
      <c r="E852" s="2" t="s">
        <v>3382</v>
      </c>
      <c r="F852" s="2" t="b">
        <f t="shared" si="55"/>
        <v>0</v>
      </c>
      <c r="G852" s="2">
        <f t="shared" si="53"/>
        <v>43297</v>
      </c>
      <c r="H852" s="1" t="s">
        <v>115</v>
      </c>
      <c r="I852" s="1" t="s">
        <v>125</v>
      </c>
      <c r="J852" s="1">
        <v>250</v>
      </c>
      <c r="K852" s="1">
        <v>245</v>
      </c>
      <c r="L852" s="3">
        <v>0.02</v>
      </c>
      <c r="N852" t="s">
        <v>3382</v>
      </c>
      <c r="P852">
        <v>7</v>
      </c>
      <c r="Q852">
        <v>16</v>
      </c>
      <c r="R852">
        <v>2018</v>
      </c>
      <c r="S852" s="4">
        <f t="shared" si="54"/>
        <v>43297</v>
      </c>
      <c r="T852" s="4">
        <f t="shared" si="52"/>
        <v>43297</v>
      </c>
      <c r="U852" s="4">
        <v>43297</v>
      </c>
    </row>
    <row r="853" spans="1:21" x14ac:dyDescent="0.3">
      <c r="A853" t="s">
        <v>1365</v>
      </c>
      <c r="B853" s="1" t="s">
        <v>127</v>
      </c>
      <c r="C853" s="1" t="s">
        <v>128</v>
      </c>
      <c r="D853" s="1" t="s">
        <v>13</v>
      </c>
      <c r="E853" s="2" t="s">
        <v>3383</v>
      </c>
      <c r="F853" s="2" t="b">
        <f t="shared" si="55"/>
        <v>0</v>
      </c>
      <c r="G853" s="2">
        <f t="shared" si="53"/>
        <v>42550</v>
      </c>
      <c r="H853" s="1" t="s">
        <v>61</v>
      </c>
      <c r="I853" s="1" t="s">
        <v>526</v>
      </c>
      <c r="J853" s="1">
        <v>1000</v>
      </c>
      <c r="K853" s="1">
        <v>940</v>
      </c>
      <c r="L853" s="3">
        <v>0.06</v>
      </c>
      <c r="N853" t="s">
        <v>3383</v>
      </c>
      <c r="P853">
        <v>6</v>
      </c>
      <c r="Q853">
        <v>29</v>
      </c>
      <c r="R853">
        <v>2016</v>
      </c>
      <c r="S853" s="4">
        <f t="shared" si="54"/>
        <v>42550</v>
      </c>
      <c r="T853" s="4">
        <f t="shared" si="52"/>
        <v>42550</v>
      </c>
      <c r="U853" s="4">
        <v>42550</v>
      </c>
    </row>
    <row r="854" spans="1:21" x14ac:dyDescent="0.3">
      <c r="A854" t="s">
        <v>1366</v>
      </c>
      <c r="B854" s="1" t="s">
        <v>255</v>
      </c>
      <c r="C854" s="1" t="s">
        <v>256</v>
      </c>
      <c r="D854" s="1" t="s">
        <v>13</v>
      </c>
      <c r="E854" s="2">
        <v>43045</v>
      </c>
      <c r="F854" s="2" t="b">
        <f t="shared" si="55"/>
        <v>1</v>
      </c>
      <c r="G854" s="2">
        <f t="shared" si="53"/>
        <v>43045</v>
      </c>
      <c r="H854" s="1" t="s">
        <v>36</v>
      </c>
      <c r="I854" s="1" t="s">
        <v>805</v>
      </c>
      <c r="J854" s="1">
        <v>50</v>
      </c>
      <c r="K854" s="1">
        <v>50</v>
      </c>
      <c r="L854" s="3">
        <v>0</v>
      </c>
      <c r="N854" t="s">
        <v>3763</v>
      </c>
      <c r="S854" s="4" t="e">
        <f t="shared" si="54"/>
        <v>#NUM!</v>
      </c>
      <c r="T854" s="4" t="str">
        <f t="shared" si="52"/>
        <v/>
      </c>
      <c r="U854" s="4" t="s">
        <v>3763</v>
      </c>
    </row>
    <row r="855" spans="1:21" x14ac:dyDescent="0.3">
      <c r="A855" t="s">
        <v>1367</v>
      </c>
      <c r="B855" s="1" t="s">
        <v>77</v>
      </c>
      <c r="C855" s="1" t="s">
        <v>78</v>
      </c>
      <c r="D855" s="1" t="s">
        <v>35</v>
      </c>
      <c r="E855" s="2" t="s">
        <v>3383</v>
      </c>
      <c r="F855" s="2" t="b">
        <f t="shared" si="55"/>
        <v>0</v>
      </c>
      <c r="G855" s="2">
        <f t="shared" si="53"/>
        <v>42550</v>
      </c>
      <c r="H855" s="1" t="s">
        <v>36</v>
      </c>
      <c r="I855" s="1" t="s">
        <v>1072</v>
      </c>
      <c r="J855" s="1">
        <v>50</v>
      </c>
      <c r="K855" s="1">
        <v>46</v>
      </c>
      <c r="L855" s="3">
        <v>0.08</v>
      </c>
      <c r="N855" t="s">
        <v>3383</v>
      </c>
      <c r="P855">
        <v>6</v>
      </c>
      <c r="Q855">
        <v>29</v>
      </c>
      <c r="R855">
        <v>2016</v>
      </c>
      <c r="S855" s="4">
        <f t="shared" si="54"/>
        <v>42550</v>
      </c>
      <c r="T855" s="4">
        <f t="shared" si="52"/>
        <v>42550</v>
      </c>
      <c r="U855" s="4">
        <v>42550</v>
      </c>
    </row>
    <row r="856" spans="1:21" x14ac:dyDescent="0.3">
      <c r="A856" t="s">
        <v>1368</v>
      </c>
      <c r="B856" s="1" t="s">
        <v>400</v>
      </c>
      <c r="C856" s="1" t="s">
        <v>401</v>
      </c>
      <c r="D856" s="1" t="s">
        <v>13</v>
      </c>
      <c r="E856" s="2">
        <v>43077</v>
      </c>
      <c r="F856" s="2" t="b">
        <f t="shared" si="55"/>
        <v>1</v>
      </c>
      <c r="G856" s="2">
        <f t="shared" si="53"/>
        <v>43077</v>
      </c>
      <c r="H856" s="1" t="s">
        <v>25</v>
      </c>
      <c r="I856" s="1" t="s">
        <v>486</v>
      </c>
      <c r="J856" s="1">
        <v>700</v>
      </c>
      <c r="K856" s="1">
        <v>665</v>
      </c>
      <c r="L856" s="3">
        <v>0.05</v>
      </c>
      <c r="N856" t="s">
        <v>3763</v>
      </c>
      <c r="S856" s="4" t="e">
        <f t="shared" si="54"/>
        <v>#NUM!</v>
      </c>
      <c r="T856" s="4" t="str">
        <f t="shared" si="52"/>
        <v/>
      </c>
      <c r="U856" s="4" t="s">
        <v>3763</v>
      </c>
    </row>
    <row r="857" spans="1:21" x14ac:dyDescent="0.3">
      <c r="A857" t="s">
        <v>1369</v>
      </c>
      <c r="B857" s="1" t="s">
        <v>114</v>
      </c>
      <c r="C857" s="1" t="s">
        <v>54</v>
      </c>
      <c r="D857" s="1" t="s">
        <v>13</v>
      </c>
      <c r="E857" s="2">
        <v>41732</v>
      </c>
      <c r="F857" s="2" t="b">
        <f t="shared" si="55"/>
        <v>1</v>
      </c>
      <c r="G857" s="2">
        <f t="shared" si="53"/>
        <v>41732</v>
      </c>
      <c r="H857" s="1" t="s">
        <v>61</v>
      </c>
      <c r="I857" s="1" t="s">
        <v>1068</v>
      </c>
      <c r="J857" s="1">
        <v>1000</v>
      </c>
      <c r="K857" s="1">
        <v>950</v>
      </c>
      <c r="L857" s="3">
        <v>0.05</v>
      </c>
      <c r="N857" t="s">
        <v>3763</v>
      </c>
      <c r="S857" s="4" t="e">
        <f t="shared" si="54"/>
        <v>#NUM!</v>
      </c>
      <c r="T857" s="4" t="str">
        <f t="shared" si="52"/>
        <v/>
      </c>
      <c r="U857" s="4" t="s">
        <v>3763</v>
      </c>
    </row>
    <row r="858" spans="1:21" x14ac:dyDescent="0.3">
      <c r="A858" t="s">
        <v>1370</v>
      </c>
      <c r="B858" s="1" t="s">
        <v>170</v>
      </c>
      <c r="C858" s="1" t="s">
        <v>171</v>
      </c>
      <c r="D858" s="1" t="s">
        <v>13</v>
      </c>
      <c r="E858" s="2">
        <v>41915</v>
      </c>
      <c r="F858" s="2" t="b">
        <f t="shared" si="55"/>
        <v>1</v>
      </c>
      <c r="G858" s="2">
        <f t="shared" si="53"/>
        <v>41915</v>
      </c>
      <c r="H858" s="1" t="s">
        <v>30</v>
      </c>
      <c r="I858" s="1" t="s">
        <v>941</v>
      </c>
      <c r="J858" s="1">
        <v>150</v>
      </c>
      <c r="K858" s="1">
        <v>135</v>
      </c>
      <c r="L858" s="3">
        <v>0.1</v>
      </c>
      <c r="N858" t="s">
        <v>3763</v>
      </c>
      <c r="S858" s="4" t="e">
        <f t="shared" si="54"/>
        <v>#NUM!</v>
      </c>
      <c r="T858" s="4" t="str">
        <f t="shared" si="52"/>
        <v/>
      </c>
      <c r="U858" s="4" t="s">
        <v>3763</v>
      </c>
    </row>
    <row r="859" spans="1:21" x14ac:dyDescent="0.3">
      <c r="A859" t="s">
        <v>1371</v>
      </c>
      <c r="B859" s="1" t="s">
        <v>131</v>
      </c>
      <c r="C859" s="1" t="s">
        <v>108</v>
      </c>
      <c r="D859" s="1" t="s">
        <v>19</v>
      </c>
      <c r="E859" s="2" t="s">
        <v>3140</v>
      </c>
      <c r="F859" s="2" t="b">
        <f t="shared" si="55"/>
        <v>0</v>
      </c>
      <c r="G859" s="2">
        <f t="shared" si="53"/>
        <v>42825</v>
      </c>
      <c r="H859" s="1" t="s">
        <v>41</v>
      </c>
      <c r="I859" s="1" t="s">
        <v>132</v>
      </c>
      <c r="J859" s="1">
        <v>30</v>
      </c>
      <c r="K859" s="1">
        <v>29</v>
      </c>
      <c r="L859" s="3">
        <v>3.3300000000000003E-2</v>
      </c>
      <c r="N859" t="s">
        <v>3140</v>
      </c>
      <c r="P859">
        <v>3</v>
      </c>
      <c r="Q859">
        <v>31</v>
      </c>
      <c r="R859">
        <v>2017</v>
      </c>
      <c r="S859" s="4">
        <f t="shared" si="54"/>
        <v>42825</v>
      </c>
      <c r="T859" s="4">
        <f t="shared" si="52"/>
        <v>42825</v>
      </c>
      <c r="U859" s="4">
        <v>42825</v>
      </c>
    </row>
    <row r="860" spans="1:21" x14ac:dyDescent="0.3">
      <c r="A860" t="s">
        <v>1372</v>
      </c>
      <c r="B860" s="1" t="s">
        <v>255</v>
      </c>
      <c r="C860" s="1" t="s">
        <v>256</v>
      </c>
      <c r="D860" s="1" t="s">
        <v>13</v>
      </c>
      <c r="E860" s="2" t="s">
        <v>3189</v>
      </c>
      <c r="F860" s="2" t="b">
        <f t="shared" si="55"/>
        <v>0</v>
      </c>
      <c r="G860" s="2">
        <f t="shared" si="53"/>
        <v>42944</v>
      </c>
      <c r="H860" s="1" t="s">
        <v>115</v>
      </c>
      <c r="I860" s="1" t="s">
        <v>1373</v>
      </c>
      <c r="J860" s="1">
        <v>250</v>
      </c>
      <c r="K860" s="1">
        <v>243</v>
      </c>
      <c r="L860" s="3">
        <v>2.8000000000000001E-2</v>
      </c>
      <c r="N860" t="s">
        <v>3189</v>
      </c>
      <c r="P860">
        <v>7</v>
      </c>
      <c r="Q860">
        <v>28</v>
      </c>
      <c r="R860">
        <v>2017</v>
      </c>
      <c r="S860" s="4">
        <f t="shared" si="54"/>
        <v>42944</v>
      </c>
      <c r="T860" s="4">
        <f t="shared" si="52"/>
        <v>42944</v>
      </c>
      <c r="U860" s="4">
        <v>42944</v>
      </c>
    </row>
    <row r="861" spans="1:21" x14ac:dyDescent="0.3">
      <c r="A861" t="s">
        <v>1374</v>
      </c>
      <c r="B861" s="1" t="s">
        <v>134</v>
      </c>
      <c r="C861" s="1" t="s">
        <v>92</v>
      </c>
      <c r="D861" s="1" t="s">
        <v>35</v>
      </c>
      <c r="E861" s="2" t="s">
        <v>3384</v>
      </c>
      <c r="F861" s="2" t="b">
        <f t="shared" si="55"/>
        <v>0</v>
      </c>
      <c r="G861" s="2">
        <f t="shared" si="53"/>
        <v>43203</v>
      </c>
      <c r="H861" s="1" t="s">
        <v>41</v>
      </c>
      <c r="I861" s="1" t="s">
        <v>135</v>
      </c>
      <c r="J861" s="1">
        <v>30</v>
      </c>
      <c r="K861" s="1">
        <v>29</v>
      </c>
      <c r="L861" s="3">
        <v>3.3300000000000003E-2</v>
      </c>
      <c r="N861" t="s">
        <v>3384</v>
      </c>
      <c r="P861">
        <v>4</v>
      </c>
      <c r="Q861">
        <v>13</v>
      </c>
      <c r="R861">
        <v>2018</v>
      </c>
      <c r="S861" s="4">
        <f t="shared" si="54"/>
        <v>43203</v>
      </c>
      <c r="T861" s="4">
        <f t="shared" si="52"/>
        <v>43203</v>
      </c>
      <c r="U861" s="4">
        <v>43203</v>
      </c>
    </row>
    <row r="862" spans="1:21" x14ac:dyDescent="0.3">
      <c r="A862" t="s">
        <v>1375</v>
      </c>
      <c r="B862" s="1" t="s">
        <v>124</v>
      </c>
      <c r="C862" s="1" t="s">
        <v>40</v>
      </c>
      <c r="D862" s="1" t="s">
        <v>35</v>
      </c>
      <c r="E862" s="2" t="s">
        <v>3385</v>
      </c>
      <c r="F862" s="2" t="b">
        <f t="shared" si="55"/>
        <v>0</v>
      </c>
      <c r="G862" s="2">
        <f t="shared" si="53"/>
        <v>42353</v>
      </c>
      <c r="H862" s="1" t="s">
        <v>46</v>
      </c>
      <c r="I862" s="1" t="s">
        <v>970</v>
      </c>
      <c r="J862" s="1">
        <v>500</v>
      </c>
      <c r="K862" s="1">
        <v>490</v>
      </c>
      <c r="L862" s="3">
        <v>0.02</v>
      </c>
      <c r="N862" t="s">
        <v>3385</v>
      </c>
      <c r="P862">
        <v>12</v>
      </c>
      <c r="Q862">
        <v>15</v>
      </c>
      <c r="R862">
        <v>2015</v>
      </c>
      <c r="S862" s="4">
        <f t="shared" si="54"/>
        <v>42353</v>
      </c>
      <c r="T862" s="4">
        <f t="shared" si="52"/>
        <v>42353</v>
      </c>
      <c r="U862" s="4">
        <v>42353</v>
      </c>
    </row>
    <row r="863" spans="1:21" x14ac:dyDescent="0.3">
      <c r="A863" t="s">
        <v>1376</v>
      </c>
      <c r="B863" s="1" t="s">
        <v>17</v>
      </c>
      <c r="C863" s="1" t="s">
        <v>18</v>
      </c>
      <c r="D863" s="1" t="s">
        <v>19</v>
      </c>
      <c r="E863" s="2" t="s">
        <v>3386</v>
      </c>
      <c r="F863" s="2" t="b">
        <f t="shared" si="55"/>
        <v>0</v>
      </c>
      <c r="G863" s="2">
        <f t="shared" si="53"/>
        <v>43069</v>
      </c>
      <c r="H863" s="1" t="s">
        <v>25</v>
      </c>
      <c r="I863" s="1" t="s">
        <v>89</v>
      </c>
      <c r="J863" s="1">
        <v>700</v>
      </c>
      <c r="K863" s="1">
        <v>686</v>
      </c>
      <c r="L863" s="3">
        <v>0.02</v>
      </c>
      <c r="N863" t="s">
        <v>3386</v>
      </c>
      <c r="P863">
        <v>11</v>
      </c>
      <c r="Q863">
        <v>30</v>
      </c>
      <c r="R863">
        <v>2017</v>
      </c>
      <c r="S863" s="4">
        <f t="shared" si="54"/>
        <v>43069</v>
      </c>
      <c r="T863" s="4">
        <f t="shared" si="52"/>
        <v>43069</v>
      </c>
      <c r="U863" s="4">
        <v>43069</v>
      </c>
    </row>
    <row r="864" spans="1:21" x14ac:dyDescent="0.3">
      <c r="A864" t="s">
        <v>1377</v>
      </c>
      <c r="B864" s="1" t="s">
        <v>103</v>
      </c>
      <c r="C864" s="1" t="s">
        <v>71</v>
      </c>
      <c r="D864" s="1" t="s">
        <v>35</v>
      </c>
      <c r="E864" s="2" t="s">
        <v>3387</v>
      </c>
      <c r="F864" s="2" t="b">
        <f t="shared" si="55"/>
        <v>0</v>
      </c>
      <c r="G864" s="2">
        <f t="shared" si="53"/>
        <v>42873</v>
      </c>
      <c r="H864" s="1" t="s">
        <v>14</v>
      </c>
      <c r="I864" s="1" t="s">
        <v>603</v>
      </c>
      <c r="J864" s="1">
        <v>80</v>
      </c>
      <c r="K864" s="1">
        <v>75</v>
      </c>
      <c r="L864" s="3">
        <v>6.25E-2</v>
      </c>
      <c r="N864" t="s">
        <v>3387</v>
      </c>
      <c r="P864">
        <v>5</v>
      </c>
      <c r="Q864">
        <v>18</v>
      </c>
      <c r="R864">
        <v>2017</v>
      </c>
      <c r="S864" s="4">
        <f t="shared" si="54"/>
        <v>42873</v>
      </c>
      <c r="T864" s="4">
        <f t="shared" si="52"/>
        <v>42873</v>
      </c>
      <c r="U864" s="4">
        <v>42873</v>
      </c>
    </row>
    <row r="865" spans="1:21" x14ac:dyDescent="0.3">
      <c r="A865" t="s">
        <v>1378</v>
      </c>
      <c r="B865" s="1" t="s">
        <v>70</v>
      </c>
      <c r="C865" s="1" t="s">
        <v>71</v>
      </c>
      <c r="D865" s="1" t="s">
        <v>35</v>
      </c>
      <c r="E865" s="2">
        <v>43378</v>
      </c>
      <c r="F865" s="2" t="b">
        <f t="shared" si="55"/>
        <v>1</v>
      </c>
      <c r="G865" s="2">
        <f t="shared" si="53"/>
        <v>43378</v>
      </c>
      <c r="H865" s="1" t="s">
        <v>115</v>
      </c>
      <c r="I865" s="1" t="s">
        <v>670</v>
      </c>
      <c r="J865" s="1">
        <v>250</v>
      </c>
      <c r="K865" s="1">
        <v>223</v>
      </c>
      <c r="L865" s="3">
        <v>0.108</v>
      </c>
      <c r="N865" t="s">
        <v>3763</v>
      </c>
      <c r="S865" s="4" t="e">
        <f t="shared" si="54"/>
        <v>#NUM!</v>
      </c>
      <c r="T865" s="4" t="str">
        <f t="shared" si="52"/>
        <v/>
      </c>
      <c r="U865" s="4" t="s">
        <v>3763</v>
      </c>
    </row>
    <row r="866" spans="1:21" x14ac:dyDescent="0.3">
      <c r="A866" t="s">
        <v>1379</v>
      </c>
      <c r="B866" s="1" t="s">
        <v>114</v>
      </c>
      <c r="C866" s="1" t="s">
        <v>54</v>
      </c>
      <c r="D866" s="1" t="s">
        <v>13</v>
      </c>
      <c r="E866" s="2">
        <v>42525</v>
      </c>
      <c r="F866" s="2" t="b">
        <f t="shared" si="55"/>
        <v>1</v>
      </c>
      <c r="G866" s="2">
        <f t="shared" si="53"/>
        <v>42525</v>
      </c>
      <c r="H866" s="1" t="s">
        <v>46</v>
      </c>
      <c r="I866" s="1" t="s">
        <v>1068</v>
      </c>
      <c r="J866" s="1">
        <v>500</v>
      </c>
      <c r="K866" s="1">
        <v>480</v>
      </c>
      <c r="L866" s="3">
        <v>0.04</v>
      </c>
      <c r="N866" t="s">
        <v>3763</v>
      </c>
      <c r="S866" s="4" t="e">
        <f t="shared" si="54"/>
        <v>#NUM!</v>
      </c>
      <c r="T866" s="4" t="str">
        <f t="shared" si="52"/>
        <v/>
      </c>
      <c r="U866" s="4" t="s">
        <v>3763</v>
      </c>
    </row>
    <row r="867" spans="1:21" x14ac:dyDescent="0.3">
      <c r="A867" t="s">
        <v>1380</v>
      </c>
      <c r="B867" s="1" t="s">
        <v>91</v>
      </c>
      <c r="C867" s="1" t="s">
        <v>92</v>
      </c>
      <c r="D867" s="1" t="s">
        <v>35</v>
      </c>
      <c r="E867" s="2">
        <v>43043</v>
      </c>
      <c r="F867" s="2" t="b">
        <f t="shared" si="55"/>
        <v>1</v>
      </c>
      <c r="G867" s="2">
        <f t="shared" si="53"/>
        <v>43043</v>
      </c>
      <c r="H867" s="1" t="s">
        <v>122</v>
      </c>
      <c r="I867" s="1" t="s">
        <v>93</v>
      </c>
      <c r="J867" s="1">
        <v>50</v>
      </c>
      <c r="K867" s="1">
        <v>50</v>
      </c>
      <c r="L867" s="3">
        <v>0</v>
      </c>
      <c r="N867" t="s">
        <v>3763</v>
      </c>
      <c r="S867" s="4" t="e">
        <f t="shared" si="54"/>
        <v>#NUM!</v>
      </c>
      <c r="T867" s="4" t="str">
        <f t="shared" si="52"/>
        <v/>
      </c>
      <c r="U867" s="4" t="s">
        <v>3763</v>
      </c>
    </row>
    <row r="868" spans="1:21" x14ac:dyDescent="0.3">
      <c r="A868" t="s">
        <v>1381</v>
      </c>
      <c r="B868" s="1" t="s">
        <v>124</v>
      </c>
      <c r="C868" s="1" t="s">
        <v>40</v>
      </c>
      <c r="D868" s="1" t="s">
        <v>35</v>
      </c>
      <c r="E868" s="2" t="s">
        <v>3218</v>
      </c>
      <c r="F868" s="2" t="b">
        <f t="shared" si="55"/>
        <v>0</v>
      </c>
      <c r="G868" s="2">
        <f t="shared" si="53"/>
        <v>41899</v>
      </c>
      <c r="H868" s="1" t="s">
        <v>36</v>
      </c>
      <c r="I868" s="1" t="s">
        <v>863</v>
      </c>
      <c r="J868" s="1">
        <v>50</v>
      </c>
      <c r="K868" s="1">
        <v>42</v>
      </c>
      <c r="L868" s="3">
        <v>0.16</v>
      </c>
      <c r="N868" t="s">
        <v>3218</v>
      </c>
      <c r="P868">
        <v>9</v>
      </c>
      <c r="Q868">
        <v>17</v>
      </c>
      <c r="R868">
        <v>2014</v>
      </c>
      <c r="S868" s="4">
        <f t="shared" si="54"/>
        <v>41899</v>
      </c>
      <c r="T868" s="4">
        <f t="shared" si="52"/>
        <v>41899</v>
      </c>
      <c r="U868" s="4">
        <v>41899</v>
      </c>
    </row>
    <row r="869" spans="1:21" x14ac:dyDescent="0.3">
      <c r="A869" t="s">
        <v>1382</v>
      </c>
      <c r="B869" s="1" t="s">
        <v>17</v>
      </c>
      <c r="C869" s="1" t="s">
        <v>18</v>
      </c>
      <c r="D869" s="1" t="s">
        <v>19</v>
      </c>
      <c r="E869" s="2" t="s">
        <v>3388</v>
      </c>
      <c r="F869" s="2" t="b">
        <f t="shared" si="55"/>
        <v>0</v>
      </c>
      <c r="G869" s="2">
        <f t="shared" si="53"/>
        <v>41658</v>
      </c>
      <c r="H869" s="1" t="s">
        <v>41</v>
      </c>
      <c r="I869" s="1" t="s">
        <v>493</v>
      </c>
      <c r="J869" s="1">
        <v>30</v>
      </c>
      <c r="K869" s="1">
        <v>21</v>
      </c>
      <c r="L869" s="3">
        <v>0.3</v>
      </c>
      <c r="N869" t="s">
        <v>3388</v>
      </c>
      <c r="P869">
        <v>1</v>
      </c>
      <c r="Q869">
        <v>19</v>
      </c>
      <c r="R869">
        <v>2014</v>
      </c>
      <c r="S869" s="4">
        <f t="shared" si="54"/>
        <v>41658</v>
      </c>
      <c r="T869" s="4">
        <f t="shared" si="52"/>
        <v>41658</v>
      </c>
      <c r="U869" s="4">
        <v>41658</v>
      </c>
    </row>
    <row r="870" spans="1:21" x14ac:dyDescent="0.3">
      <c r="A870" t="s">
        <v>1383</v>
      </c>
      <c r="B870" s="1" t="s">
        <v>182</v>
      </c>
      <c r="C870" s="1" t="s">
        <v>108</v>
      </c>
      <c r="D870" s="1" t="s">
        <v>19</v>
      </c>
      <c r="E870" s="2" t="s">
        <v>3389</v>
      </c>
      <c r="F870" s="2" t="b">
        <f t="shared" si="55"/>
        <v>0</v>
      </c>
      <c r="G870" s="2">
        <f t="shared" si="53"/>
        <v>42945</v>
      </c>
      <c r="H870" s="1" t="s">
        <v>72</v>
      </c>
      <c r="I870" s="1" t="s">
        <v>203</v>
      </c>
      <c r="J870" s="1">
        <v>500</v>
      </c>
      <c r="K870" s="1">
        <v>500</v>
      </c>
      <c r="L870" s="3">
        <v>0</v>
      </c>
      <c r="N870" t="s">
        <v>3389</v>
      </c>
      <c r="P870">
        <v>7</v>
      </c>
      <c r="Q870">
        <v>29</v>
      </c>
      <c r="R870">
        <v>2017</v>
      </c>
      <c r="S870" s="4">
        <f t="shared" si="54"/>
        <v>42945</v>
      </c>
      <c r="T870" s="4">
        <f t="shared" si="52"/>
        <v>42945</v>
      </c>
      <c r="U870" s="4">
        <v>42945</v>
      </c>
    </row>
    <row r="871" spans="1:21" x14ac:dyDescent="0.3">
      <c r="A871" t="s">
        <v>1384</v>
      </c>
      <c r="B871" s="1" t="s">
        <v>182</v>
      </c>
      <c r="C871" s="1" t="s">
        <v>108</v>
      </c>
      <c r="D871" s="1" t="s">
        <v>19</v>
      </c>
      <c r="E871" s="2" t="s">
        <v>3390</v>
      </c>
      <c r="F871" s="2" t="b">
        <f t="shared" si="55"/>
        <v>0</v>
      </c>
      <c r="G871" s="2">
        <f t="shared" si="53"/>
        <v>43087</v>
      </c>
      <c r="H871" s="1" t="s">
        <v>55</v>
      </c>
      <c r="I871" s="1" t="s">
        <v>505</v>
      </c>
      <c r="J871" s="1">
        <v>800</v>
      </c>
      <c r="K871" s="1">
        <v>632</v>
      </c>
      <c r="L871" s="3">
        <v>0.21</v>
      </c>
      <c r="N871" t="s">
        <v>3390</v>
      </c>
      <c r="P871">
        <v>12</v>
      </c>
      <c r="Q871">
        <v>18</v>
      </c>
      <c r="R871">
        <v>2017</v>
      </c>
      <c r="S871" s="4">
        <f t="shared" si="54"/>
        <v>43087</v>
      </c>
      <c r="T871" s="4">
        <f t="shared" si="52"/>
        <v>43087</v>
      </c>
      <c r="U871" s="4">
        <v>43087</v>
      </c>
    </row>
    <row r="872" spans="1:21" x14ac:dyDescent="0.3">
      <c r="A872" t="s">
        <v>1385</v>
      </c>
      <c r="B872" s="1" t="s">
        <v>134</v>
      </c>
      <c r="C872" s="1" t="s">
        <v>92</v>
      </c>
      <c r="D872" s="1" t="s">
        <v>35</v>
      </c>
      <c r="E872" s="2" t="s">
        <v>3391</v>
      </c>
      <c r="F872" s="2" t="b">
        <f t="shared" si="55"/>
        <v>0</v>
      </c>
      <c r="G872" s="2">
        <f t="shared" si="53"/>
        <v>42792</v>
      </c>
      <c r="H872" s="1" t="s">
        <v>122</v>
      </c>
      <c r="I872" s="1" t="s">
        <v>678</v>
      </c>
      <c r="J872" s="1">
        <v>50</v>
      </c>
      <c r="K872" s="1">
        <v>46</v>
      </c>
      <c r="L872" s="3">
        <v>0.08</v>
      </c>
      <c r="N872" t="s">
        <v>3391</v>
      </c>
      <c r="P872">
        <v>2</v>
      </c>
      <c r="Q872">
        <v>26</v>
      </c>
      <c r="R872">
        <v>2017</v>
      </c>
      <c r="S872" s="4">
        <f t="shared" si="54"/>
        <v>42792</v>
      </c>
      <c r="T872" s="4">
        <f t="shared" si="52"/>
        <v>42792</v>
      </c>
      <c r="U872" s="4">
        <v>42792</v>
      </c>
    </row>
    <row r="873" spans="1:21" x14ac:dyDescent="0.3">
      <c r="A873" t="s">
        <v>1386</v>
      </c>
      <c r="B873" s="1" t="s">
        <v>124</v>
      </c>
      <c r="C873" s="1" t="s">
        <v>40</v>
      </c>
      <c r="D873" s="1" t="s">
        <v>35</v>
      </c>
      <c r="E873" s="2" t="s">
        <v>3034</v>
      </c>
      <c r="F873" s="2" t="b">
        <f t="shared" si="55"/>
        <v>0</v>
      </c>
      <c r="G873" s="2">
        <f t="shared" si="53"/>
        <v>43024</v>
      </c>
      <c r="H873" s="1" t="s">
        <v>36</v>
      </c>
      <c r="I873" s="1" t="s">
        <v>125</v>
      </c>
      <c r="J873" s="1">
        <v>50</v>
      </c>
      <c r="K873" s="1">
        <v>48</v>
      </c>
      <c r="L873" s="3">
        <v>0.04</v>
      </c>
      <c r="N873" t="s">
        <v>3034</v>
      </c>
      <c r="P873">
        <v>10</v>
      </c>
      <c r="Q873">
        <v>16</v>
      </c>
      <c r="R873">
        <v>2017</v>
      </c>
      <c r="S873" s="4">
        <f t="shared" si="54"/>
        <v>43024</v>
      </c>
      <c r="T873" s="4">
        <f t="shared" si="52"/>
        <v>43024</v>
      </c>
      <c r="U873" s="4">
        <v>43024</v>
      </c>
    </row>
    <row r="874" spans="1:21" x14ac:dyDescent="0.3">
      <c r="A874" t="s">
        <v>1387</v>
      </c>
      <c r="B874" s="1" t="s">
        <v>154</v>
      </c>
      <c r="C874" s="1" t="s">
        <v>108</v>
      </c>
      <c r="D874" s="1" t="s">
        <v>19</v>
      </c>
      <c r="E874" s="2" t="s">
        <v>3013</v>
      </c>
      <c r="F874" s="2" t="b">
        <f t="shared" si="55"/>
        <v>0</v>
      </c>
      <c r="G874" s="2">
        <f t="shared" si="53"/>
        <v>42240</v>
      </c>
      <c r="H874" s="1" t="s">
        <v>55</v>
      </c>
      <c r="I874" s="1" t="s">
        <v>155</v>
      </c>
      <c r="J874" s="1">
        <v>800</v>
      </c>
      <c r="K874" s="1">
        <v>528</v>
      </c>
      <c r="L874" s="3">
        <v>0.34</v>
      </c>
      <c r="N874" t="s">
        <v>3013</v>
      </c>
      <c r="P874">
        <v>8</v>
      </c>
      <c r="Q874">
        <v>24</v>
      </c>
      <c r="R874">
        <v>2015</v>
      </c>
      <c r="S874" s="4">
        <f t="shared" si="54"/>
        <v>42240</v>
      </c>
      <c r="T874" s="4">
        <f t="shared" si="52"/>
        <v>42240</v>
      </c>
      <c r="U874" s="4">
        <v>42240</v>
      </c>
    </row>
    <row r="875" spans="1:21" x14ac:dyDescent="0.3">
      <c r="A875" t="s">
        <v>1388</v>
      </c>
      <c r="B875" s="1" t="s">
        <v>187</v>
      </c>
      <c r="C875" s="1" t="s">
        <v>188</v>
      </c>
      <c r="D875" s="1" t="s">
        <v>13</v>
      </c>
      <c r="E875" s="2">
        <v>42614</v>
      </c>
      <c r="F875" s="2" t="b">
        <f t="shared" si="55"/>
        <v>1</v>
      </c>
      <c r="G875" s="2">
        <f t="shared" si="53"/>
        <v>42614</v>
      </c>
      <c r="H875" s="1" t="s">
        <v>122</v>
      </c>
      <c r="I875" s="1" t="s">
        <v>1150</v>
      </c>
      <c r="J875" s="1">
        <v>50</v>
      </c>
      <c r="K875" s="1">
        <v>47</v>
      </c>
      <c r="L875" s="3">
        <v>0.06</v>
      </c>
      <c r="N875" t="s">
        <v>3763</v>
      </c>
      <c r="S875" s="4" t="e">
        <f t="shared" si="54"/>
        <v>#NUM!</v>
      </c>
      <c r="T875" s="4" t="str">
        <f t="shared" si="52"/>
        <v/>
      </c>
      <c r="U875" s="4" t="s">
        <v>3763</v>
      </c>
    </row>
    <row r="876" spans="1:21" x14ac:dyDescent="0.3">
      <c r="A876" t="s">
        <v>1389</v>
      </c>
      <c r="B876" s="1" t="s">
        <v>221</v>
      </c>
      <c r="C876" s="1" t="s">
        <v>40</v>
      </c>
      <c r="D876" s="1" t="s">
        <v>35</v>
      </c>
      <c r="E876" s="2" t="s">
        <v>3392</v>
      </c>
      <c r="F876" s="2" t="b">
        <f t="shared" si="55"/>
        <v>0</v>
      </c>
      <c r="G876" s="2">
        <f t="shared" si="53"/>
        <v>42393</v>
      </c>
      <c r="H876" s="1" t="s">
        <v>30</v>
      </c>
      <c r="I876" s="1" t="s">
        <v>1179</v>
      </c>
      <c r="J876" s="1">
        <v>150</v>
      </c>
      <c r="K876" s="1">
        <v>129</v>
      </c>
      <c r="L876" s="3">
        <v>0.14000000000000001</v>
      </c>
      <c r="N876" t="s">
        <v>3392</v>
      </c>
      <c r="P876">
        <v>1</v>
      </c>
      <c r="Q876">
        <v>24</v>
      </c>
      <c r="R876">
        <v>2016</v>
      </c>
      <c r="S876" s="4">
        <f t="shared" si="54"/>
        <v>42393</v>
      </c>
      <c r="T876" s="4">
        <f t="shared" si="52"/>
        <v>42393</v>
      </c>
      <c r="U876" s="4">
        <v>42393</v>
      </c>
    </row>
    <row r="877" spans="1:21" x14ac:dyDescent="0.3">
      <c r="A877" t="s">
        <v>1390</v>
      </c>
      <c r="B877" s="1" t="s">
        <v>227</v>
      </c>
      <c r="C877" s="1" t="s">
        <v>228</v>
      </c>
      <c r="D877" s="1" t="s">
        <v>24</v>
      </c>
      <c r="E877" s="2" t="s">
        <v>3393</v>
      </c>
      <c r="F877" s="2" t="b">
        <f t="shared" si="55"/>
        <v>0</v>
      </c>
      <c r="G877" s="2">
        <f t="shared" si="53"/>
        <v>41967</v>
      </c>
      <c r="H877" s="1" t="s">
        <v>25</v>
      </c>
      <c r="I877" s="1" t="s">
        <v>229</v>
      </c>
      <c r="J877" s="1">
        <v>700</v>
      </c>
      <c r="K877" s="1">
        <v>581</v>
      </c>
      <c r="L877" s="3">
        <v>0.17</v>
      </c>
      <c r="N877" t="s">
        <v>3393</v>
      </c>
      <c r="P877">
        <v>11</v>
      </c>
      <c r="Q877">
        <v>24</v>
      </c>
      <c r="R877">
        <v>2014</v>
      </c>
      <c r="S877" s="4">
        <f t="shared" si="54"/>
        <v>41967</v>
      </c>
      <c r="T877" s="4">
        <f t="shared" si="52"/>
        <v>41967</v>
      </c>
      <c r="U877" s="4">
        <v>41967</v>
      </c>
    </row>
    <row r="878" spans="1:21" x14ac:dyDescent="0.3">
      <c r="A878" t="s">
        <v>1391</v>
      </c>
      <c r="B878" s="1" t="s">
        <v>221</v>
      </c>
      <c r="C878" s="1" t="s">
        <v>40</v>
      </c>
      <c r="D878" s="1" t="s">
        <v>35</v>
      </c>
      <c r="E878" s="2" t="s">
        <v>3394</v>
      </c>
      <c r="F878" s="2" t="b">
        <f t="shared" si="55"/>
        <v>0</v>
      </c>
      <c r="G878" s="2">
        <f t="shared" si="53"/>
        <v>41652</v>
      </c>
      <c r="H878" s="1" t="s">
        <v>41</v>
      </c>
      <c r="I878" s="1" t="s">
        <v>260</v>
      </c>
      <c r="J878" s="1">
        <v>30</v>
      </c>
      <c r="K878" s="1">
        <v>27</v>
      </c>
      <c r="L878" s="3">
        <v>0.1</v>
      </c>
      <c r="N878" t="s">
        <v>3394</v>
      </c>
      <c r="P878">
        <v>1</v>
      </c>
      <c r="Q878">
        <v>13</v>
      </c>
      <c r="R878">
        <v>2014</v>
      </c>
      <c r="S878" s="4">
        <f t="shared" si="54"/>
        <v>41652</v>
      </c>
      <c r="T878" s="4">
        <f t="shared" si="52"/>
        <v>41652</v>
      </c>
      <c r="U878" s="4">
        <v>41652</v>
      </c>
    </row>
    <row r="879" spans="1:21" x14ac:dyDescent="0.3">
      <c r="A879" t="s">
        <v>1392</v>
      </c>
      <c r="B879" s="1" t="s">
        <v>134</v>
      </c>
      <c r="C879" s="1" t="s">
        <v>92</v>
      </c>
      <c r="D879" s="1" t="s">
        <v>35</v>
      </c>
      <c r="E879" s="2" t="s">
        <v>3395</v>
      </c>
      <c r="F879" s="2" t="b">
        <f t="shared" si="55"/>
        <v>0</v>
      </c>
      <c r="G879" s="2">
        <f t="shared" si="53"/>
        <v>42688</v>
      </c>
      <c r="H879" s="1" t="s">
        <v>14</v>
      </c>
      <c r="I879" s="1" t="s">
        <v>1062</v>
      </c>
      <c r="J879" s="1">
        <v>80</v>
      </c>
      <c r="K879" s="1">
        <v>75</v>
      </c>
      <c r="L879" s="3">
        <v>6.25E-2</v>
      </c>
      <c r="N879" t="s">
        <v>3395</v>
      </c>
      <c r="P879">
        <v>11</v>
      </c>
      <c r="Q879">
        <v>14</v>
      </c>
      <c r="R879">
        <v>2016</v>
      </c>
      <c r="S879" s="4">
        <f t="shared" si="54"/>
        <v>42688</v>
      </c>
      <c r="T879" s="4">
        <f t="shared" si="52"/>
        <v>42688</v>
      </c>
      <c r="U879" s="4">
        <v>42688</v>
      </c>
    </row>
    <row r="880" spans="1:21" x14ac:dyDescent="0.3">
      <c r="A880" t="s">
        <v>1393</v>
      </c>
      <c r="B880" s="1" t="s">
        <v>134</v>
      </c>
      <c r="C880" s="1" t="s">
        <v>92</v>
      </c>
      <c r="D880" s="1" t="s">
        <v>35</v>
      </c>
      <c r="E880" s="2" t="s">
        <v>3396</v>
      </c>
      <c r="F880" s="2" t="b">
        <f t="shared" si="55"/>
        <v>0</v>
      </c>
      <c r="G880" s="2">
        <f t="shared" si="53"/>
        <v>43023</v>
      </c>
      <c r="H880" s="1" t="s">
        <v>55</v>
      </c>
      <c r="I880" s="1" t="s">
        <v>849</v>
      </c>
      <c r="J880" s="1">
        <v>800</v>
      </c>
      <c r="K880" s="1">
        <v>736</v>
      </c>
      <c r="L880" s="3">
        <v>0.08</v>
      </c>
      <c r="N880" t="s">
        <v>3396</v>
      </c>
      <c r="P880">
        <v>10</v>
      </c>
      <c r="Q880">
        <v>15</v>
      </c>
      <c r="R880">
        <v>2017</v>
      </c>
      <c r="S880" s="4">
        <f t="shared" si="54"/>
        <v>43023</v>
      </c>
      <c r="T880" s="4">
        <f t="shared" si="52"/>
        <v>43023</v>
      </c>
      <c r="U880" s="4">
        <v>43023</v>
      </c>
    </row>
    <row r="881" spans="1:21" x14ac:dyDescent="0.3">
      <c r="A881" t="s">
        <v>1394</v>
      </c>
      <c r="B881" s="1" t="s">
        <v>118</v>
      </c>
      <c r="C881" s="1" t="s">
        <v>119</v>
      </c>
      <c r="D881" s="1" t="s">
        <v>35</v>
      </c>
      <c r="E881" s="2" t="s">
        <v>3140</v>
      </c>
      <c r="F881" s="2" t="b">
        <f t="shared" si="55"/>
        <v>0</v>
      </c>
      <c r="G881" s="2">
        <f t="shared" si="53"/>
        <v>42825</v>
      </c>
      <c r="H881" s="1" t="s">
        <v>61</v>
      </c>
      <c r="I881" s="1" t="s">
        <v>909</v>
      </c>
      <c r="J881" s="1">
        <v>1000</v>
      </c>
      <c r="K881" s="1">
        <v>880</v>
      </c>
      <c r="L881" s="3">
        <v>0.12</v>
      </c>
      <c r="N881" t="s">
        <v>3140</v>
      </c>
      <c r="P881">
        <v>3</v>
      </c>
      <c r="Q881">
        <v>31</v>
      </c>
      <c r="R881">
        <v>2017</v>
      </c>
      <c r="S881" s="4">
        <f t="shared" si="54"/>
        <v>42825</v>
      </c>
      <c r="T881" s="4">
        <f t="shared" si="52"/>
        <v>42825</v>
      </c>
      <c r="U881" s="4">
        <v>42825</v>
      </c>
    </row>
    <row r="882" spans="1:21" x14ac:dyDescent="0.3">
      <c r="A882" t="s">
        <v>1395</v>
      </c>
      <c r="B882" s="1" t="s">
        <v>85</v>
      </c>
      <c r="C882" s="1" t="s">
        <v>86</v>
      </c>
      <c r="D882" s="1" t="s">
        <v>13</v>
      </c>
      <c r="E882" s="2" t="s">
        <v>3397</v>
      </c>
      <c r="F882" s="2" t="b">
        <f t="shared" si="55"/>
        <v>0</v>
      </c>
      <c r="G882" s="2">
        <f t="shared" si="53"/>
        <v>41873</v>
      </c>
      <c r="H882" s="1" t="s">
        <v>36</v>
      </c>
      <c r="I882" s="1" t="s">
        <v>516</v>
      </c>
      <c r="J882" s="1">
        <v>50</v>
      </c>
      <c r="K882" s="1">
        <v>48</v>
      </c>
      <c r="L882" s="3">
        <v>0.04</v>
      </c>
      <c r="N882" t="s">
        <v>3397</v>
      </c>
      <c r="P882">
        <v>8</v>
      </c>
      <c r="Q882">
        <v>22</v>
      </c>
      <c r="R882">
        <v>2014</v>
      </c>
      <c r="S882" s="4">
        <f t="shared" si="54"/>
        <v>41873</v>
      </c>
      <c r="T882" s="4">
        <f t="shared" si="52"/>
        <v>41873</v>
      </c>
      <c r="U882" s="4">
        <v>41873</v>
      </c>
    </row>
    <row r="883" spans="1:21" x14ac:dyDescent="0.3">
      <c r="A883" t="s">
        <v>1396</v>
      </c>
      <c r="B883" s="1" t="s">
        <v>224</v>
      </c>
      <c r="C883" s="1" t="s">
        <v>50</v>
      </c>
      <c r="D883" s="1" t="s">
        <v>24</v>
      </c>
      <c r="E883" s="2" t="s">
        <v>3003</v>
      </c>
      <c r="F883" s="2" t="b">
        <f t="shared" si="55"/>
        <v>0</v>
      </c>
      <c r="G883" s="2">
        <f t="shared" si="53"/>
        <v>42628</v>
      </c>
      <c r="H883" s="1" t="s">
        <v>122</v>
      </c>
      <c r="I883" s="1" t="s">
        <v>225</v>
      </c>
      <c r="J883" s="1">
        <v>50</v>
      </c>
      <c r="K883" s="1">
        <v>49</v>
      </c>
      <c r="L883" s="3">
        <v>0.02</v>
      </c>
      <c r="N883" t="s">
        <v>3003</v>
      </c>
      <c r="P883">
        <v>9</v>
      </c>
      <c r="Q883">
        <v>15</v>
      </c>
      <c r="R883">
        <v>2016</v>
      </c>
      <c r="S883" s="4">
        <f t="shared" si="54"/>
        <v>42628</v>
      </c>
      <c r="T883" s="4">
        <f t="shared" si="52"/>
        <v>42628</v>
      </c>
      <c r="U883" s="4">
        <v>42628</v>
      </c>
    </row>
    <row r="884" spans="1:21" x14ac:dyDescent="0.3">
      <c r="A884" t="s">
        <v>1397</v>
      </c>
      <c r="B884" s="1" t="s">
        <v>44</v>
      </c>
      <c r="C884" s="1" t="s">
        <v>45</v>
      </c>
      <c r="D884" s="1" t="s">
        <v>24</v>
      </c>
      <c r="E884" s="2">
        <v>41855</v>
      </c>
      <c r="F884" s="2" t="b">
        <f t="shared" si="55"/>
        <v>1</v>
      </c>
      <c r="G884" s="2">
        <f t="shared" si="53"/>
        <v>41855</v>
      </c>
      <c r="H884" s="1" t="s">
        <v>41</v>
      </c>
      <c r="I884" s="1" t="s">
        <v>321</v>
      </c>
      <c r="J884" s="1">
        <v>30</v>
      </c>
      <c r="K884" s="1">
        <v>27</v>
      </c>
      <c r="L884" s="3">
        <v>0.1</v>
      </c>
      <c r="N884" t="s">
        <v>3763</v>
      </c>
      <c r="S884" s="4" t="e">
        <f t="shared" si="54"/>
        <v>#NUM!</v>
      </c>
      <c r="T884" s="4" t="str">
        <f t="shared" si="52"/>
        <v/>
      </c>
      <c r="U884" s="4" t="s">
        <v>3763</v>
      </c>
    </row>
    <row r="885" spans="1:21" x14ac:dyDescent="0.3">
      <c r="A885" t="s">
        <v>1398</v>
      </c>
      <c r="B885" s="1" t="s">
        <v>81</v>
      </c>
      <c r="C885" s="1" t="s">
        <v>82</v>
      </c>
      <c r="D885" s="1" t="s">
        <v>13</v>
      </c>
      <c r="E885" s="2" t="s">
        <v>3398</v>
      </c>
      <c r="F885" s="2" t="b">
        <f t="shared" si="55"/>
        <v>0</v>
      </c>
      <c r="G885" s="2">
        <f t="shared" si="53"/>
        <v>43423</v>
      </c>
      <c r="H885" s="1" t="s">
        <v>61</v>
      </c>
      <c r="I885" s="1" t="s">
        <v>195</v>
      </c>
      <c r="J885" s="1">
        <v>1000</v>
      </c>
      <c r="K885" s="1">
        <v>850</v>
      </c>
      <c r="L885" s="3">
        <v>0.15</v>
      </c>
      <c r="N885" t="s">
        <v>3398</v>
      </c>
      <c r="P885">
        <v>11</v>
      </c>
      <c r="Q885">
        <v>19</v>
      </c>
      <c r="R885">
        <v>2018</v>
      </c>
      <c r="S885" s="4">
        <f t="shared" si="54"/>
        <v>43423</v>
      </c>
      <c r="T885" s="4">
        <f t="shared" si="52"/>
        <v>43423</v>
      </c>
      <c r="U885" s="4">
        <v>43423</v>
      </c>
    </row>
    <row r="886" spans="1:21" x14ac:dyDescent="0.3">
      <c r="A886" t="s">
        <v>1399</v>
      </c>
      <c r="B886" s="1" t="s">
        <v>227</v>
      </c>
      <c r="C886" s="1" t="s">
        <v>228</v>
      </c>
      <c r="D886" s="1" t="s">
        <v>24</v>
      </c>
      <c r="E886" s="2" t="s">
        <v>3049</v>
      </c>
      <c r="F886" s="2" t="b">
        <f t="shared" si="55"/>
        <v>0</v>
      </c>
      <c r="G886" s="2">
        <f t="shared" si="53"/>
        <v>42855</v>
      </c>
      <c r="H886" s="1" t="s">
        <v>61</v>
      </c>
      <c r="I886" s="1" t="s">
        <v>1400</v>
      </c>
      <c r="J886" s="1">
        <v>1000</v>
      </c>
      <c r="K886" s="1">
        <v>560</v>
      </c>
      <c r="L886" s="3">
        <v>0.44</v>
      </c>
      <c r="N886" t="s">
        <v>3049</v>
      </c>
      <c r="P886">
        <v>4</v>
      </c>
      <c r="Q886">
        <v>30</v>
      </c>
      <c r="R886">
        <v>2017</v>
      </c>
      <c r="S886" s="4">
        <f t="shared" si="54"/>
        <v>42855</v>
      </c>
      <c r="T886" s="4">
        <f t="shared" si="52"/>
        <v>42855</v>
      </c>
      <c r="U886" s="4">
        <v>42855</v>
      </c>
    </row>
    <row r="887" spans="1:21" x14ac:dyDescent="0.3">
      <c r="A887" t="s">
        <v>1401</v>
      </c>
      <c r="B887" s="1" t="s">
        <v>103</v>
      </c>
      <c r="C887" s="1" t="s">
        <v>71</v>
      </c>
      <c r="D887" s="1" t="s">
        <v>35</v>
      </c>
      <c r="E887" s="2" t="s">
        <v>3200</v>
      </c>
      <c r="F887" s="2" t="b">
        <f t="shared" si="55"/>
        <v>0</v>
      </c>
      <c r="G887" s="2">
        <f t="shared" si="53"/>
        <v>41780</v>
      </c>
      <c r="H887" s="1" t="s">
        <v>41</v>
      </c>
      <c r="I887" s="1" t="s">
        <v>603</v>
      </c>
      <c r="J887" s="1">
        <v>30</v>
      </c>
      <c r="K887" s="1">
        <v>25</v>
      </c>
      <c r="L887" s="3">
        <v>0.16669999999999999</v>
      </c>
      <c r="N887" t="s">
        <v>3200</v>
      </c>
      <c r="P887">
        <v>5</v>
      </c>
      <c r="Q887">
        <v>21</v>
      </c>
      <c r="R887">
        <v>2014</v>
      </c>
      <c r="S887" s="4">
        <f t="shared" si="54"/>
        <v>41780</v>
      </c>
      <c r="T887" s="4">
        <f t="shared" si="52"/>
        <v>41780</v>
      </c>
      <c r="U887" s="4">
        <v>41780</v>
      </c>
    </row>
    <row r="888" spans="1:21" x14ac:dyDescent="0.3">
      <c r="A888" t="s">
        <v>1402</v>
      </c>
      <c r="B888" s="1" t="s">
        <v>91</v>
      </c>
      <c r="C888" s="1" t="s">
        <v>92</v>
      </c>
      <c r="D888" s="1" t="s">
        <v>35</v>
      </c>
      <c r="E888" s="2" t="s">
        <v>3290</v>
      </c>
      <c r="F888" s="2" t="b">
        <f t="shared" si="55"/>
        <v>0</v>
      </c>
      <c r="G888" s="2">
        <f t="shared" si="53"/>
        <v>42445</v>
      </c>
      <c r="H888" s="1" t="s">
        <v>36</v>
      </c>
      <c r="I888" s="1" t="s">
        <v>1403</v>
      </c>
      <c r="J888" s="1">
        <v>50</v>
      </c>
      <c r="K888" s="1">
        <v>46</v>
      </c>
      <c r="L888" s="3">
        <v>0.08</v>
      </c>
      <c r="N888" t="s">
        <v>3290</v>
      </c>
      <c r="P888">
        <v>3</v>
      </c>
      <c r="Q888">
        <v>16</v>
      </c>
      <c r="R888">
        <v>2016</v>
      </c>
      <c r="S888" s="4">
        <f t="shared" si="54"/>
        <v>42445</v>
      </c>
      <c r="T888" s="4">
        <f t="shared" si="52"/>
        <v>42445</v>
      </c>
      <c r="U888" s="4">
        <v>42445</v>
      </c>
    </row>
    <row r="889" spans="1:21" x14ac:dyDescent="0.3">
      <c r="A889" t="s">
        <v>1404</v>
      </c>
      <c r="B889" s="1" t="s">
        <v>224</v>
      </c>
      <c r="C889" s="1" t="s">
        <v>50</v>
      </c>
      <c r="D889" s="1" t="s">
        <v>24</v>
      </c>
      <c r="E889" s="2">
        <v>42036</v>
      </c>
      <c r="F889" s="2" t="b">
        <f t="shared" si="55"/>
        <v>1</v>
      </c>
      <c r="G889" s="2">
        <f t="shared" si="53"/>
        <v>42036</v>
      </c>
      <c r="H889" s="1" t="s">
        <v>46</v>
      </c>
      <c r="I889" s="1" t="s">
        <v>1405</v>
      </c>
      <c r="J889" s="1">
        <v>500</v>
      </c>
      <c r="K889" s="1">
        <v>305</v>
      </c>
      <c r="L889" s="3">
        <v>0.39</v>
      </c>
      <c r="N889" t="s">
        <v>3763</v>
      </c>
      <c r="S889" s="4" t="e">
        <f t="shared" si="54"/>
        <v>#NUM!</v>
      </c>
      <c r="T889" s="4" t="str">
        <f t="shared" si="52"/>
        <v/>
      </c>
      <c r="U889" s="4" t="s">
        <v>3763</v>
      </c>
    </row>
    <row r="890" spans="1:21" x14ac:dyDescent="0.3">
      <c r="A890" t="s">
        <v>1406</v>
      </c>
      <c r="B890" s="1" t="s">
        <v>270</v>
      </c>
      <c r="C890" s="1" t="s">
        <v>271</v>
      </c>
      <c r="D890" s="1" t="s">
        <v>35</v>
      </c>
      <c r="E890" s="2">
        <v>43376</v>
      </c>
      <c r="F890" s="2" t="b">
        <f t="shared" si="55"/>
        <v>1</v>
      </c>
      <c r="G890" s="2">
        <f t="shared" si="53"/>
        <v>43376</v>
      </c>
      <c r="H890" s="1" t="s">
        <v>122</v>
      </c>
      <c r="I890" s="1" t="s">
        <v>272</v>
      </c>
      <c r="J890" s="1">
        <v>50</v>
      </c>
      <c r="K890" s="1">
        <v>48</v>
      </c>
      <c r="L890" s="3">
        <v>0.04</v>
      </c>
      <c r="N890" t="s">
        <v>3763</v>
      </c>
      <c r="S890" s="4" t="e">
        <f t="shared" si="54"/>
        <v>#NUM!</v>
      </c>
      <c r="T890" s="4" t="str">
        <f t="shared" si="52"/>
        <v/>
      </c>
      <c r="U890" s="4" t="s">
        <v>3763</v>
      </c>
    </row>
    <row r="891" spans="1:21" x14ac:dyDescent="0.3">
      <c r="A891" t="s">
        <v>1407</v>
      </c>
      <c r="B891" s="1" t="s">
        <v>95</v>
      </c>
      <c r="C891" s="1" t="s">
        <v>96</v>
      </c>
      <c r="D891" s="1" t="s">
        <v>13</v>
      </c>
      <c r="E891" s="2" t="s">
        <v>3320</v>
      </c>
      <c r="F891" s="2" t="b">
        <f t="shared" si="55"/>
        <v>0</v>
      </c>
      <c r="G891" s="2">
        <f t="shared" si="53"/>
        <v>43150</v>
      </c>
      <c r="H891" s="1" t="s">
        <v>46</v>
      </c>
      <c r="I891" s="1" t="s">
        <v>1408</v>
      </c>
      <c r="J891" s="1">
        <v>500</v>
      </c>
      <c r="K891" s="1">
        <v>435</v>
      </c>
      <c r="L891" s="3">
        <v>0.13</v>
      </c>
      <c r="N891" t="s">
        <v>3320</v>
      </c>
      <c r="P891">
        <v>2</v>
      </c>
      <c r="Q891">
        <v>19</v>
      </c>
      <c r="R891">
        <v>2018</v>
      </c>
      <c r="S891" s="4">
        <f t="shared" si="54"/>
        <v>43150</v>
      </c>
      <c r="T891" s="4">
        <f t="shared" si="52"/>
        <v>43150</v>
      </c>
      <c r="U891" s="4">
        <v>43150</v>
      </c>
    </row>
    <row r="892" spans="1:21" x14ac:dyDescent="0.3">
      <c r="A892" t="s">
        <v>1409</v>
      </c>
      <c r="B892" s="1" t="s">
        <v>28</v>
      </c>
      <c r="C892" s="1" t="s">
        <v>29</v>
      </c>
      <c r="D892" s="1" t="s">
        <v>13</v>
      </c>
      <c r="E892" s="2" t="s">
        <v>3399</v>
      </c>
      <c r="F892" s="2" t="b">
        <f t="shared" si="55"/>
        <v>0</v>
      </c>
      <c r="G892" s="2">
        <f t="shared" si="53"/>
        <v>43114</v>
      </c>
      <c r="H892" s="1" t="s">
        <v>72</v>
      </c>
      <c r="I892" s="1" t="s">
        <v>249</v>
      </c>
      <c r="J892" s="1">
        <v>500</v>
      </c>
      <c r="K892" s="1">
        <v>500</v>
      </c>
      <c r="L892" s="3">
        <v>0</v>
      </c>
      <c r="N892" t="s">
        <v>3399</v>
      </c>
      <c r="P892">
        <v>1</v>
      </c>
      <c r="Q892">
        <v>14</v>
      </c>
      <c r="R892">
        <v>2018</v>
      </c>
      <c r="S892" s="4">
        <f t="shared" si="54"/>
        <v>43114</v>
      </c>
      <c r="T892" s="4">
        <f t="shared" si="52"/>
        <v>43114</v>
      </c>
      <c r="U892" s="4">
        <v>43114</v>
      </c>
    </row>
    <row r="893" spans="1:21" x14ac:dyDescent="0.3">
      <c r="A893" t="s">
        <v>1410</v>
      </c>
      <c r="B893" s="1" t="s">
        <v>154</v>
      </c>
      <c r="C893" s="1" t="s">
        <v>108</v>
      </c>
      <c r="D893" s="1" t="s">
        <v>19</v>
      </c>
      <c r="E893" s="2" t="s">
        <v>3118</v>
      </c>
      <c r="F893" s="2" t="b">
        <f t="shared" si="55"/>
        <v>0</v>
      </c>
      <c r="G893" s="2">
        <f t="shared" si="53"/>
        <v>42636</v>
      </c>
      <c r="H893" s="1" t="s">
        <v>104</v>
      </c>
      <c r="I893" s="1" t="s">
        <v>1411</v>
      </c>
      <c r="J893" s="1">
        <v>70</v>
      </c>
      <c r="K893" s="1">
        <v>66</v>
      </c>
      <c r="L893" s="3">
        <v>5.7099999999999998E-2</v>
      </c>
      <c r="N893" t="s">
        <v>3118</v>
      </c>
      <c r="P893">
        <v>9</v>
      </c>
      <c r="Q893">
        <v>23</v>
      </c>
      <c r="R893">
        <v>2016</v>
      </c>
      <c r="S893" s="4">
        <f t="shared" si="54"/>
        <v>42636</v>
      </c>
      <c r="T893" s="4">
        <f t="shared" si="52"/>
        <v>42636</v>
      </c>
      <c r="U893" s="4">
        <v>42636</v>
      </c>
    </row>
    <row r="894" spans="1:21" x14ac:dyDescent="0.3">
      <c r="A894" t="s">
        <v>1412</v>
      </c>
      <c r="B894" s="1" t="s">
        <v>33</v>
      </c>
      <c r="C894" s="1" t="s">
        <v>34</v>
      </c>
      <c r="D894" s="1" t="s">
        <v>35</v>
      </c>
      <c r="E894" s="2">
        <v>42982</v>
      </c>
      <c r="F894" s="2" t="b">
        <f t="shared" si="55"/>
        <v>1</v>
      </c>
      <c r="G894" s="2">
        <f t="shared" si="53"/>
        <v>42982</v>
      </c>
      <c r="H894" s="1" t="s">
        <v>104</v>
      </c>
      <c r="I894" s="1" t="s">
        <v>160</v>
      </c>
      <c r="J894" s="1">
        <v>70</v>
      </c>
      <c r="K894" s="1">
        <v>70</v>
      </c>
      <c r="L894" s="3">
        <v>0</v>
      </c>
      <c r="N894" t="s">
        <v>3763</v>
      </c>
      <c r="S894" s="4" t="e">
        <f t="shared" si="54"/>
        <v>#NUM!</v>
      </c>
      <c r="T894" s="4" t="str">
        <f t="shared" si="52"/>
        <v/>
      </c>
      <c r="U894" s="4" t="s">
        <v>3763</v>
      </c>
    </row>
    <row r="895" spans="1:21" x14ac:dyDescent="0.3">
      <c r="A895" t="s">
        <v>1413</v>
      </c>
      <c r="B895" s="1" t="s">
        <v>70</v>
      </c>
      <c r="C895" s="1" t="s">
        <v>71</v>
      </c>
      <c r="D895" s="1" t="s">
        <v>35</v>
      </c>
      <c r="E895" s="2" t="s">
        <v>3400</v>
      </c>
      <c r="F895" s="2" t="b">
        <f t="shared" si="55"/>
        <v>0</v>
      </c>
      <c r="G895" s="2">
        <f t="shared" si="53"/>
        <v>42721</v>
      </c>
      <c r="H895" s="1" t="s">
        <v>14</v>
      </c>
      <c r="I895" s="1" t="s">
        <v>1414</v>
      </c>
      <c r="J895" s="1">
        <v>80</v>
      </c>
      <c r="K895" s="1">
        <v>79</v>
      </c>
      <c r="L895" s="3">
        <v>1.2500000000000001E-2</v>
      </c>
      <c r="N895" t="s">
        <v>3400</v>
      </c>
      <c r="P895">
        <v>12</v>
      </c>
      <c r="Q895">
        <v>17</v>
      </c>
      <c r="R895">
        <v>2016</v>
      </c>
      <c r="S895" s="4">
        <f t="shared" si="54"/>
        <v>42721</v>
      </c>
      <c r="T895" s="4">
        <f t="shared" si="52"/>
        <v>42721</v>
      </c>
      <c r="U895" s="4">
        <v>42721</v>
      </c>
    </row>
    <row r="896" spans="1:21" x14ac:dyDescent="0.3">
      <c r="A896" t="s">
        <v>1415</v>
      </c>
      <c r="B896" s="1" t="s">
        <v>146</v>
      </c>
      <c r="C896" s="1" t="s">
        <v>147</v>
      </c>
      <c r="D896" s="1" t="s">
        <v>13</v>
      </c>
      <c r="E896" s="2">
        <v>42796</v>
      </c>
      <c r="F896" s="2" t="b">
        <f t="shared" si="55"/>
        <v>1</v>
      </c>
      <c r="G896" s="2">
        <f t="shared" si="53"/>
        <v>42796</v>
      </c>
      <c r="H896" s="1" t="s">
        <v>41</v>
      </c>
      <c r="I896" s="1" t="s">
        <v>148</v>
      </c>
      <c r="J896" s="1">
        <v>30</v>
      </c>
      <c r="K896" s="1">
        <v>28</v>
      </c>
      <c r="L896" s="3">
        <v>6.6699999999999995E-2</v>
      </c>
      <c r="N896" t="s">
        <v>3763</v>
      </c>
      <c r="S896" s="4" t="e">
        <f t="shared" si="54"/>
        <v>#NUM!</v>
      </c>
      <c r="T896" s="4" t="str">
        <f t="shared" si="52"/>
        <v/>
      </c>
      <c r="U896" s="4" t="s">
        <v>3763</v>
      </c>
    </row>
    <row r="897" spans="1:21" x14ac:dyDescent="0.3">
      <c r="A897" t="s">
        <v>1416</v>
      </c>
      <c r="B897" s="1" t="s">
        <v>146</v>
      </c>
      <c r="C897" s="1" t="s">
        <v>147</v>
      </c>
      <c r="D897" s="1" t="s">
        <v>13</v>
      </c>
      <c r="E897" s="2" t="s">
        <v>3348</v>
      </c>
      <c r="F897" s="2" t="b">
        <f t="shared" si="55"/>
        <v>0</v>
      </c>
      <c r="G897" s="2">
        <f t="shared" si="53"/>
        <v>41905</v>
      </c>
      <c r="H897" s="1" t="s">
        <v>46</v>
      </c>
      <c r="I897" s="1" t="s">
        <v>1033</v>
      </c>
      <c r="J897" s="1">
        <v>500</v>
      </c>
      <c r="K897" s="1">
        <v>485</v>
      </c>
      <c r="L897" s="3">
        <v>0.03</v>
      </c>
      <c r="N897" t="s">
        <v>3348</v>
      </c>
      <c r="P897">
        <v>9</v>
      </c>
      <c r="Q897">
        <v>23</v>
      </c>
      <c r="R897">
        <v>2014</v>
      </c>
      <c r="S897" s="4">
        <f t="shared" si="54"/>
        <v>41905</v>
      </c>
      <c r="T897" s="4">
        <f t="shared" si="52"/>
        <v>41905</v>
      </c>
      <c r="U897" s="4">
        <v>41905</v>
      </c>
    </row>
    <row r="898" spans="1:21" x14ac:dyDescent="0.3">
      <c r="A898" t="s">
        <v>1417</v>
      </c>
      <c r="B898" s="1" t="s">
        <v>241</v>
      </c>
      <c r="C898" s="1" t="s">
        <v>242</v>
      </c>
      <c r="D898" s="1" t="s">
        <v>13</v>
      </c>
      <c r="E898" s="2" t="s">
        <v>3380</v>
      </c>
      <c r="F898" s="2" t="b">
        <f t="shared" si="55"/>
        <v>0</v>
      </c>
      <c r="G898" s="2">
        <f t="shared" si="53"/>
        <v>42413</v>
      </c>
      <c r="H898" s="1" t="s">
        <v>104</v>
      </c>
      <c r="I898" s="1" t="s">
        <v>779</v>
      </c>
      <c r="J898" s="1">
        <v>70</v>
      </c>
      <c r="K898" s="1">
        <v>67</v>
      </c>
      <c r="L898" s="3">
        <v>4.2900000000000001E-2</v>
      </c>
      <c r="N898" t="s">
        <v>3380</v>
      </c>
      <c r="P898">
        <v>2</v>
      </c>
      <c r="Q898">
        <v>13</v>
      </c>
      <c r="R898">
        <v>2016</v>
      </c>
      <c r="S898" s="4">
        <f t="shared" si="54"/>
        <v>42413</v>
      </c>
      <c r="T898" s="4">
        <f t="shared" si="52"/>
        <v>42413</v>
      </c>
      <c r="U898" s="4">
        <v>42413</v>
      </c>
    </row>
    <row r="899" spans="1:21" x14ac:dyDescent="0.3">
      <c r="A899" t="s">
        <v>1418</v>
      </c>
      <c r="B899" s="1" t="s">
        <v>187</v>
      </c>
      <c r="C899" s="1" t="s">
        <v>188</v>
      </c>
      <c r="D899" s="1" t="s">
        <v>13</v>
      </c>
      <c r="E899" s="2">
        <v>42983</v>
      </c>
      <c r="F899" s="2" t="b">
        <f t="shared" si="55"/>
        <v>1</v>
      </c>
      <c r="G899" s="2">
        <f t="shared" si="53"/>
        <v>42983</v>
      </c>
      <c r="H899" s="1" t="s">
        <v>30</v>
      </c>
      <c r="I899" s="1" t="s">
        <v>189</v>
      </c>
      <c r="J899" s="1">
        <v>150</v>
      </c>
      <c r="K899" s="1">
        <v>143</v>
      </c>
      <c r="L899" s="3">
        <v>4.6699999999999998E-2</v>
      </c>
      <c r="N899" t="s">
        <v>3763</v>
      </c>
      <c r="S899" s="4" t="e">
        <f t="shared" si="54"/>
        <v>#NUM!</v>
      </c>
      <c r="T899" s="4" t="str">
        <f t="shared" ref="T899:T962" si="56">IF(AND(P899&lt;&gt;"",Q899&lt;&gt;"",R899&lt;&gt;""),IFERROR(DATE(R899,P899,Q899),""),"")</f>
        <v/>
      </c>
      <c r="U899" s="4" t="s">
        <v>3763</v>
      </c>
    </row>
    <row r="900" spans="1:21" x14ac:dyDescent="0.3">
      <c r="A900" t="s">
        <v>1419</v>
      </c>
      <c r="B900" s="1" t="s">
        <v>33</v>
      </c>
      <c r="C900" s="1" t="s">
        <v>34</v>
      </c>
      <c r="D900" s="1" t="s">
        <v>35</v>
      </c>
      <c r="E900" s="2">
        <v>42980</v>
      </c>
      <c r="F900" s="2" t="b">
        <f t="shared" si="55"/>
        <v>1</v>
      </c>
      <c r="G900" s="2">
        <f t="shared" ref="G900:G963" si="57">IF(F900=TRUE,E900,U900)</f>
        <v>42980</v>
      </c>
      <c r="H900" s="1" t="s">
        <v>61</v>
      </c>
      <c r="I900" s="1" t="s">
        <v>160</v>
      </c>
      <c r="J900" s="1">
        <v>1000</v>
      </c>
      <c r="K900" s="1">
        <v>570</v>
      </c>
      <c r="L900" s="3">
        <v>0.43</v>
      </c>
      <c r="N900" t="s">
        <v>3763</v>
      </c>
      <c r="S900" s="4" t="e">
        <f t="shared" ref="S900:S963" si="58">DATE(R900,P900,Q900)</f>
        <v>#NUM!</v>
      </c>
      <c r="T900" s="4" t="str">
        <f t="shared" si="56"/>
        <v/>
      </c>
      <c r="U900" s="4" t="s">
        <v>3763</v>
      </c>
    </row>
    <row r="901" spans="1:21" x14ac:dyDescent="0.3">
      <c r="A901" t="s">
        <v>1420</v>
      </c>
      <c r="B901" s="1" t="s">
        <v>170</v>
      </c>
      <c r="C901" s="1" t="s">
        <v>171</v>
      </c>
      <c r="D901" s="1" t="s">
        <v>13</v>
      </c>
      <c r="E901" s="2" t="s">
        <v>3097</v>
      </c>
      <c r="F901" s="2" t="b">
        <f t="shared" ref="F901:F964" si="59">ISNUMBER(E901)</f>
        <v>0</v>
      </c>
      <c r="G901" s="2">
        <f t="shared" si="57"/>
        <v>43303</v>
      </c>
      <c r="H901" s="1" t="s">
        <v>115</v>
      </c>
      <c r="I901" s="1" t="s">
        <v>1421</v>
      </c>
      <c r="J901" s="1">
        <v>250</v>
      </c>
      <c r="K901" s="1">
        <v>235</v>
      </c>
      <c r="L901" s="3">
        <v>0.06</v>
      </c>
      <c r="N901" t="s">
        <v>3097</v>
      </c>
      <c r="P901">
        <v>7</v>
      </c>
      <c r="Q901">
        <v>22</v>
      </c>
      <c r="R901">
        <v>2018</v>
      </c>
      <c r="S901" s="4">
        <f t="shared" si="58"/>
        <v>43303</v>
      </c>
      <c r="T901" s="4">
        <f t="shared" si="56"/>
        <v>43303</v>
      </c>
      <c r="U901" s="4">
        <v>43303</v>
      </c>
    </row>
    <row r="902" spans="1:21" x14ac:dyDescent="0.3">
      <c r="A902" t="s">
        <v>1422</v>
      </c>
      <c r="B902" s="1" t="s">
        <v>264</v>
      </c>
      <c r="C902" s="1" t="s">
        <v>265</v>
      </c>
      <c r="D902" s="1" t="s">
        <v>13</v>
      </c>
      <c r="E902" s="2" t="s">
        <v>3401</v>
      </c>
      <c r="F902" s="2" t="b">
        <f t="shared" si="59"/>
        <v>0</v>
      </c>
      <c r="G902" s="2">
        <f t="shared" si="57"/>
        <v>41959</v>
      </c>
      <c r="H902" s="1" t="s">
        <v>55</v>
      </c>
      <c r="I902" s="1" t="s">
        <v>802</v>
      </c>
      <c r="J902" s="1">
        <v>800</v>
      </c>
      <c r="K902" s="1">
        <v>760</v>
      </c>
      <c r="L902" s="3">
        <v>0.05</v>
      </c>
      <c r="N902" t="s">
        <v>3401</v>
      </c>
      <c r="P902">
        <v>11</v>
      </c>
      <c r="Q902">
        <v>16</v>
      </c>
      <c r="R902">
        <v>2014</v>
      </c>
      <c r="S902" s="4">
        <f t="shared" si="58"/>
        <v>41959</v>
      </c>
      <c r="T902" s="4">
        <f t="shared" si="56"/>
        <v>41959</v>
      </c>
      <c r="U902" s="4">
        <v>41959</v>
      </c>
    </row>
    <row r="903" spans="1:21" x14ac:dyDescent="0.3">
      <c r="A903" t="s">
        <v>1423</v>
      </c>
      <c r="B903" s="1" t="s">
        <v>111</v>
      </c>
      <c r="C903" s="1" t="s">
        <v>82</v>
      </c>
      <c r="D903" s="1" t="s">
        <v>13</v>
      </c>
      <c r="E903" s="2">
        <v>42311</v>
      </c>
      <c r="F903" s="2" t="b">
        <f t="shared" si="59"/>
        <v>1</v>
      </c>
      <c r="G903" s="2">
        <f t="shared" si="57"/>
        <v>42311</v>
      </c>
      <c r="H903" s="1" t="s">
        <v>41</v>
      </c>
      <c r="I903" s="1" t="s">
        <v>1424</v>
      </c>
      <c r="J903" s="1">
        <v>30</v>
      </c>
      <c r="K903" s="1">
        <v>23</v>
      </c>
      <c r="L903" s="3">
        <v>0.23330000000000001</v>
      </c>
      <c r="N903" t="s">
        <v>3763</v>
      </c>
      <c r="S903" s="4" t="e">
        <f t="shared" si="58"/>
        <v>#NUM!</v>
      </c>
      <c r="T903" s="4" t="str">
        <f t="shared" si="56"/>
        <v/>
      </c>
      <c r="U903" s="4" t="s">
        <v>3763</v>
      </c>
    </row>
    <row r="904" spans="1:21" x14ac:dyDescent="0.3">
      <c r="A904" t="s">
        <v>1425</v>
      </c>
      <c r="B904" s="1" t="s">
        <v>157</v>
      </c>
      <c r="C904" s="1" t="s">
        <v>108</v>
      </c>
      <c r="D904" s="1" t="s">
        <v>19</v>
      </c>
      <c r="E904" s="2">
        <v>43170</v>
      </c>
      <c r="F904" s="2" t="b">
        <f t="shared" si="59"/>
        <v>1</v>
      </c>
      <c r="G904" s="2">
        <f t="shared" si="57"/>
        <v>43170</v>
      </c>
      <c r="H904" s="1" t="s">
        <v>41</v>
      </c>
      <c r="I904" s="1" t="s">
        <v>925</v>
      </c>
      <c r="J904" s="1">
        <v>30</v>
      </c>
      <c r="K904" s="1">
        <v>26</v>
      </c>
      <c r="L904" s="3">
        <v>0.1333</v>
      </c>
      <c r="N904" t="s">
        <v>3763</v>
      </c>
      <c r="S904" s="4" t="e">
        <f t="shared" si="58"/>
        <v>#NUM!</v>
      </c>
      <c r="T904" s="4" t="str">
        <f t="shared" si="56"/>
        <v/>
      </c>
      <c r="U904" s="4" t="s">
        <v>3763</v>
      </c>
    </row>
    <row r="905" spans="1:21" x14ac:dyDescent="0.3">
      <c r="A905" t="s">
        <v>1426</v>
      </c>
      <c r="B905" s="1" t="s">
        <v>39</v>
      </c>
      <c r="C905" s="1" t="s">
        <v>40</v>
      </c>
      <c r="D905" s="1" t="s">
        <v>35</v>
      </c>
      <c r="E905" s="2">
        <v>41916</v>
      </c>
      <c r="F905" s="2" t="b">
        <f t="shared" si="59"/>
        <v>1</v>
      </c>
      <c r="G905" s="2">
        <f t="shared" si="57"/>
        <v>41916</v>
      </c>
      <c r="H905" s="1" t="s">
        <v>104</v>
      </c>
      <c r="I905" s="1" t="s">
        <v>1284</v>
      </c>
      <c r="J905" s="1">
        <v>70</v>
      </c>
      <c r="K905" s="1">
        <v>57</v>
      </c>
      <c r="L905" s="3">
        <v>0.1857</v>
      </c>
      <c r="N905" t="s">
        <v>3763</v>
      </c>
      <c r="S905" s="4" t="e">
        <f t="shared" si="58"/>
        <v>#NUM!</v>
      </c>
      <c r="T905" s="4" t="str">
        <f t="shared" si="56"/>
        <v/>
      </c>
      <c r="U905" s="4" t="s">
        <v>3763</v>
      </c>
    </row>
    <row r="906" spans="1:21" x14ac:dyDescent="0.3">
      <c r="A906" t="s">
        <v>1427</v>
      </c>
      <c r="B906" s="1" t="s">
        <v>28</v>
      </c>
      <c r="C906" s="1" t="s">
        <v>29</v>
      </c>
      <c r="D906" s="1" t="s">
        <v>13</v>
      </c>
      <c r="E906" s="2" t="s">
        <v>3147</v>
      </c>
      <c r="F906" s="2" t="b">
        <f t="shared" si="59"/>
        <v>0</v>
      </c>
      <c r="G906" s="2">
        <f t="shared" si="57"/>
        <v>42877</v>
      </c>
      <c r="H906" s="1" t="s">
        <v>55</v>
      </c>
      <c r="I906" s="1" t="s">
        <v>469</v>
      </c>
      <c r="J906" s="1">
        <v>800</v>
      </c>
      <c r="K906" s="1">
        <v>512</v>
      </c>
      <c r="L906" s="3">
        <v>0.36</v>
      </c>
      <c r="N906" t="s">
        <v>3147</v>
      </c>
      <c r="P906">
        <v>5</v>
      </c>
      <c r="Q906">
        <v>22</v>
      </c>
      <c r="R906">
        <v>2017</v>
      </c>
      <c r="S906" s="4">
        <f t="shared" si="58"/>
        <v>42877</v>
      </c>
      <c r="T906" s="4">
        <f t="shared" si="56"/>
        <v>42877</v>
      </c>
      <c r="U906" s="4">
        <v>42877</v>
      </c>
    </row>
    <row r="907" spans="1:21" x14ac:dyDescent="0.3">
      <c r="A907" t="s">
        <v>1428</v>
      </c>
      <c r="B907" s="1" t="s">
        <v>33</v>
      </c>
      <c r="C907" s="1" t="s">
        <v>34</v>
      </c>
      <c r="D907" s="1" t="s">
        <v>35</v>
      </c>
      <c r="E907" s="2" t="s">
        <v>3402</v>
      </c>
      <c r="F907" s="2" t="b">
        <f t="shared" si="59"/>
        <v>0</v>
      </c>
      <c r="G907" s="2">
        <f t="shared" si="57"/>
        <v>42786</v>
      </c>
      <c r="H907" s="1" t="s">
        <v>72</v>
      </c>
      <c r="I907" s="1" t="s">
        <v>1131</v>
      </c>
      <c r="J907" s="1">
        <v>500</v>
      </c>
      <c r="K907" s="1">
        <v>500</v>
      </c>
      <c r="L907" s="3">
        <v>0</v>
      </c>
      <c r="N907" t="s">
        <v>3402</v>
      </c>
      <c r="P907">
        <v>2</v>
      </c>
      <c r="Q907">
        <v>20</v>
      </c>
      <c r="R907">
        <v>2017</v>
      </c>
      <c r="S907" s="4">
        <f t="shared" si="58"/>
        <v>42786</v>
      </c>
      <c r="T907" s="4">
        <f t="shared" si="56"/>
        <v>42786</v>
      </c>
      <c r="U907" s="4">
        <v>42786</v>
      </c>
    </row>
    <row r="908" spans="1:21" x14ac:dyDescent="0.3">
      <c r="A908" t="s">
        <v>1429</v>
      </c>
      <c r="B908" s="1" t="s">
        <v>182</v>
      </c>
      <c r="C908" s="1" t="s">
        <v>108</v>
      </c>
      <c r="D908" s="1" t="s">
        <v>19</v>
      </c>
      <c r="E908" s="2" t="s">
        <v>3403</v>
      </c>
      <c r="F908" s="2" t="b">
        <f t="shared" si="59"/>
        <v>0</v>
      </c>
      <c r="G908" s="2">
        <f t="shared" si="57"/>
        <v>43123</v>
      </c>
      <c r="H908" s="1" t="s">
        <v>25</v>
      </c>
      <c r="I908" s="1" t="s">
        <v>1157</v>
      </c>
      <c r="J908" s="1">
        <v>700</v>
      </c>
      <c r="K908" s="1">
        <v>609</v>
      </c>
      <c r="L908" s="3">
        <v>0.13</v>
      </c>
      <c r="N908" t="s">
        <v>3403</v>
      </c>
      <c r="P908">
        <v>1</v>
      </c>
      <c r="Q908">
        <v>23</v>
      </c>
      <c r="R908">
        <v>2018</v>
      </c>
      <c r="S908" s="4">
        <f t="shared" si="58"/>
        <v>43123</v>
      </c>
      <c r="T908" s="4">
        <f t="shared" si="56"/>
        <v>43123</v>
      </c>
      <c r="U908" s="4">
        <v>43123</v>
      </c>
    </row>
    <row r="909" spans="1:21" x14ac:dyDescent="0.3">
      <c r="A909" t="s">
        <v>1430</v>
      </c>
      <c r="B909" s="1" t="s">
        <v>255</v>
      </c>
      <c r="C909" s="1" t="s">
        <v>256</v>
      </c>
      <c r="D909" s="1" t="s">
        <v>13</v>
      </c>
      <c r="E909" s="2">
        <v>43202</v>
      </c>
      <c r="F909" s="2" t="b">
        <f t="shared" si="59"/>
        <v>1</v>
      </c>
      <c r="G909" s="2">
        <f t="shared" si="57"/>
        <v>43202</v>
      </c>
      <c r="H909" s="1" t="s">
        <v>36</v>
      </c>
      <c r="I909" s="1" t="s">
        <v>1266</v>
      </c>
      <c r="J909" s="1">
        <v>50</v>
      </c>
      <c r="K909" s="1">
        <v>48</v>
      </c>
      <c r="L909" s="3">
        <v>0.04</v>
      </c>
      <c r="N909" t="s">
        <v>3763</v>
      </c>
      <c r="S909" s="4" t="e">
        <f t="shared" si="58"/>
        <v>#NUM!</v>
      </c>
      <c r="T909" s="4" t="str">
        <f t="shared" si="56"/>
        <v/>
      </c>
      <c r="U909" s="4" t="s">
        <v>3763</v>
      </c>
    </row>
    <row r="910" spans="1:21" x14ac:dyDescent="0.3">
      <c r="A910" t="s">
        <v>1431</v>
      </c>
      <c r="B910" s="1" t="s">
        <v>182</v>
      </c>
      <c r="C910" s="1" t="s">
        <v>108</v>
      </c>
      <c r="D910" s="1" t="s">
        <v>19</v>
      </c>
      <c r="E910" s="2">
        <v>43221</v>
      </c>
      <c r="F910" s="2" t="b">
        <f t="shared" si="59"/>
        <v>1</v>
      </c>
      <c r="G910" s="2">
        <f t="shared" si="57"/>
        <v>43221</v>
      </c>
      <c r="H910" s="1" t="s">
        <v>41</v>
      </c>
      <c r="I910" s="1" t="s">
        <v>1432</v>
      </c>
      <c r="J910" s="1">
        <v>30</v>
      </c>
      <c r="K910" s="1">
        <v>26</v>
      </c>
      <c r="L910" s="3">
        <v>0.1333</v>
      </c>
      <c r="N910" t="s">
        <v>3763</v>
      </c>
      <c r="S910" s="4" t="e">
        <f t="shared" si="58"/>
        <v>#NUM!</v>
      </c>
      <c r="T910" s="4" t="str">
        <f t="shared" si="56"/>
        <v/>
      </c>
      <c r="U910" s="4" t="s">
        <v>3763</v>
      </c>
    </row>
    <row r="911" spans="1:21" x14ac:dyDescent="0.3">
      <c r="A911" t="s">
        <v>1433</v>
      </c>
      <c r="B911" s="1" t="s">
        <v>224</v>
      </c>
      <c r="C911" s="1" t="s">
        <v>50</v>
      </c>
      <c r="D911" s="1" t="s">
        <v>24</v>
      </c>
      <c r="E911" s="2" t="s">
        <v>3404</v>
      </c>
      <c r="F911" s="2" t="b">
        <f t="shared" si="59"/>
        <v>0</v>
      </c>
      <c r="G911" s="2">
        <f t="shared" si="57"/>
        <v>41754</v>
      </c>
      <c r="H911" s="1" t="s">
        <v>72</v>
      </c>
      <c r="I911" s="1" t="s">
        <v>1038</v>
      </c>
      <c r="J911" s="1">
        <v>500</v>
      </c>
      <c r="K911" s="1">
        <v>500</v>
      </c>
      <c r="L911" s="3">
        <v>0</v>
      </c>
      <c r="N911" t="s">
        <v>3404</v>
      </c>
      <c r="P911">
        <v>4</v>
      </c>
      <c r="Q911">
        <v>25</v>
      </c>
      <c r="R911">
        <v>2014</v>
      </c>
      <c r="S911" s="4">
        <f t="shared" si="58"/>
        <v>41754</v>
      </c>
      <c r="T911" s="4">
        <f t="shared" si="56"/>
        <v>41754</v>
      </c>
      <c r="U911" s="4">
        <v>41754</v>
      </c>
    </row>
    <row r="912" spans="1:21" x14ac:dyDescent="0.3">
      <c r="A912" t="s">
        <v>1434</v>
      </c>
      <c r="B912" s="1" t="s">
        <v>64</v>
      </c>
      <c r="C912" s="1" t="s">
        <v>65</v>
      </c>
      <c r="D912" s="1" t="s">
        <v>35</v>
      </c>
      <c r="E912" s="2" t="s">
        <v>3405</v>
      </c>
      <c r="F912" s="2" t="b">
        <f t="shared" si="59"/>
        <v>0</v>
      </c>
      <c r="G912" s="2">
        <f t="shared" si="57"/>
        <v>42640</v>
      </c>
      <c r="H912" s="1" t="s">
        <v>55</v>
      </c>
      <c r="I912" s="1" t="s">
        <v>66</v>
      </c>
      <c r="J912" s="1">
        <v>800</v>
      </c>
      <c r="K912" s="1">
        <v>664</v>
      </c>
      <c r="L912" s="3">
        <v>0.17</v>
      </c>
      <c r="N912" t="s">
        <v>3405</v>
      </c>
      <c r="P912">
        <v>9</v>
      </c>
      <c r="Q912">
        <v>27</v>
      </c>
      <c r="R912">
        <v>2016</v>
      </c>
      <c r="S912" s="4">
        <f t="shared" si="58"/>
        <v>42640</v>
      </c>
      <c r="T912" s="4">
        <f t="shared" si="56"/>
        <v>42640</v>
      </c>
      <c r="U912" s="4">
        <v>42640</v>
      </c>
    </row>
    <row r="913" spans="1:21" x14ac:dyDescent="0.3">
      <c r="A913" t="s">
        <v>1435</v>
      </c>
      <c r="B913" s="1" t="s">
        <v>324</v>
      </c>
      <c r="C913" s="1" t="s">
        <v>325</v>
      </c>
      <c r="D913" s="1" t="s">
        <v>13</v>
      </c>
      <c r="E913" s="2">
        <v>43406</v>
      </c>
      <c r="F913" s="2" t="b">
        <f t="shared" si="59"/>
        <v>1</v>
      </c>
      <c r="G913" s="2">
        <f t="shared" si="57"/>
        <v>43406</v>
      </c>
      <c r="H913" s="1" t="s">
        <v>25</v>
      </c>
      <c r="I913" s="1" t="s">
        <v>453</v>
      </c>
      <c r="J913" s="1">
        <v>700</v>
      </c>
      <c r="K913" s="1">
        <v>679</v>
      </c>
      <c r="L913" s="3">
        <v>0.03</v>
      </c>
      <c r="N913" t="s">
        <v>3763</v>
      </c>
      <c r="S913" s="4" t="e">
        <f t="shared" si="58"/>
        <v>#NUM!</v>
      </c>
      <c r="T913" s="4" t="str">
        <f t="shared" si="56"/>
        <v/>
      </c>
      <c r="U913" s="4" t="s">
        <v>3763</v>
      </c>
    </row>
    <row r="914" spans="1:21" x14ac:dyDescent="0.3">
      <c r="A914" t="s">
        <v>1436</v>
      </c>
      <c r="B914" s="1" t="s">
        <v>107</v>
      </c>
      <c r="C914" s="1" t="s">
        <v>108</v>
      </c>
      <c r="D914" s="1" t="s">
        <v>19</v>
      </c>
      <c r="E914" s="2" t="s">
        <v>3323</v>
      </c>
      <c r="F914" s="2" t="b">
        <f t="shared" si="59"/>
        <v>0</v>
      </c>
      <c r="G914" s="2">
        <f t="shared" si="57"/>
        <v>41758</v>
      </c>
      <c r="H914" s="1" t="s">
        <v>115</v>
      </c>
      <c r="I914" s="1" t="s">
        <v>1437</v>
      </c>
      <c r="J914" s="1">
        <v>250</v>
      </c>
      <c r="K914" s="1">
        <v>198</v>
      </c>
      <c r="L914" s="3">
        <v>0.20799999999999999</v>
      </c>
      <c r="N914" t="s">
        <v>3323</v>
      </c>
      <c r="P914">
        <v>4</v>
      </c>
      <c r="Q914">
        <v>29</v>
      </c>
      <c r="R914">
        <v>2014</v>
      </c>
      <c r="S914" s="4">
        <f t="shared" si="58"/>
        <v>41758</v>
      </c>
      <c r="T914" s="4">
        <f t="shared" si="56"/>
        <v>41758</v>
      </c>
      <c r="U914" s="4">
        <v>41758</v>
      </c>
    </row>
    <row r="915" spans="1:21" x14ac:dyDescent="0.3">
      <c r="A915" t="s">
        <v>1438</v>
      </c>
      <c r="B915" s="1" t="s">
        <v>227</v>
      </c>
      <c r="C915" s="1" t="s">
        <v>228</v>
      </c>
      <c r="D915" s="1" t="s">
        <v>24</v>
      </c>
      <c r="E915" s="2" t="s">
        <v>3406</v>
      </c>
      <c r="F915" s="2" t="b">
        <f t="shared" si="59"/>
        <v>0</v>
      </c>
      <c r="G915" s="2">
        <f t="shared" si="57"/>
        <v>42124</v>
      </c>
      <c r="H915" s="1" t="s">
        <v>72</v>
      </c>
      <c r="I915" s="1" t="s">
        <v>438</v>
      </c>
      <c r="J915" s="1">
        <v>500</v>
      </c>
      <c r="K915" s="1">
        <v>500</v>
      </c>
      <c r="L915" s="3">
        <v>0</v>
      </c>
      <c r="N915" t="s">
        <v>3406</v>
      </c>
      <c r="P915">
        <v>4</v>
      </c>
      <c r="Q915">
        <v>30</v>
      </c>
      <c r="R915">
        <v>2015</v>
      </c>
      <c r="S915" s="4">
        <f t="shared" si="58"/>
        <v>42124</v>
      </c>
      <c r="T915" s="4">
        <f t="shared" si="56"/>
        <v>42124</v>
      </c>
      <c r="U915" s="4">
        <v>42124</v>
      </c>
    </row>
    <row r="916" spans="1:21" x14ac:dyDescent="0.3">
      <c r="A916" t="s">
        <v>1439</v>
      </c>
      <c r="B916" s="1" t="s">
        <v>53</v>
      </c>
      <c r="C916" s="1" t="s">
        <v>54</v>
      </c>
      <c r="D916" s="1" t="s">
        <v>13</v>
      </c>
      <c r="E916" s="2">
        <v>41802</v>
      </c>
      <c r="F916" s="2" t="b">
        <f t="shared" si="59"/>
        <v>1</v>
      </c>
      <c r="G916" s="2">
        <f t="shared" si="57"/>
        <v>41802</v>
      </c>
      <c r="H916" s="1" t="s">
        <v>72</v>
      </c>
      <c r="I916" s="1" t="s">
        <v>814</v>
      </c>
      <c r="J916" s="1">
        <v>500</v>
      </c>
      <c r="K916" s="1">
        <v>500</v>
      </c>
      <c r="L916" s="3">
        <v>0</v>
      </c>
      <c r="N916" t="s">
        <v>3763</v>
      </c>
      <c r="S916" s="4" t="e">
        <f t="shared" si="58"/>
        <v>#NUM!</v>
      </c>
      <c r="T916" s="4" t="str">
        <f t="shared" si="56"/>
        <v/>
      </c>
      <c r="U916" s="4" t="s">
        <v>3763</v>
      </c>
    </row>
    <row r="917" spans="1:21" x14ac:dyDescent="0.3">
      <c r="A917" t="s">
        <v>1440</v>
      </c>
      <c r="B917" s="1" t="s">
        <v>224</v>
      </c>
      <c r="C917" s="1" t="s">
        <v>50</v>
      </c>
      <c r="D917" s="1" t="s">
        <v>24</v>
      </c>
      <c r="E917" s="2" t="s">
        <v>3242</v>
      </c>
      <c r="F917" s="2" t="b">
        <f t="shared" si="59"/>
        <v>0</v>
      </c>
      <c r="G917" s="2">
        <f t="shared" si="57"/>
        <v>42033</v>
      </c>
      <c r="H917" s="1" t="s">
        <v>46</v>
      </c>
      <c r="I917" s="1" t="s">
        <v>774</v>
      </c>
      <c r="J917" s="1">
        <v>500</v>
      </c>
      <c r="K917" s="1">
        <v>450</v>
      </c>
      <c r="L917" s="3">
        <v>0.1</v>
      </c>
      <c r="N917" t="s">
        <v>3242</v>
      </c>
      <c r="P917">
        <v>1</v>
      </c>
      <c r="Q917">
        <v>29</v>
      </c>
      <c r="R917">
        <v>2015</v>
      </c>
      <c r="S917" s="4">
        <f t="shared" si="58"/>
        <v>42033</v>
      </c>
      <c r="T917" s="4">
        <f t="shared" si="56"/>
        <v>42033</v>
      </c>
      <c r="U917" s="4">
        <v>42033</v>
      </c>
    </row>
    <row r="918" spans="1:21" x14ac:dyDescent="0.3">
      <c r="A918" t="s">
        <v>1441</v>
      </c>
      <c r="B918" s="1" t="s">
        <v>146</v>
      </c>
      <c r="C918" s="1" t="s">
        <v>147</v>
      </c>
      <c r="D918" s="1" t="s">
        <v>13</v>
      </c>
      <c r="E918" s="2">
        <v>42798</v>
      </c>
      <c r="F918" s="2" t="b">
        <f t="shared" si="59"/>
        <v>1</v>
      </c>
      <c r="G918" s="2">
        <f t="shared" si="57"/>
        <v>42798</v>
      </c>
      <c r="H918" s="1" t="s">
        <v>41</v>
      </c>
      <c r="I918" s="1" t="s">
        <v>148</v>
      </c>
      <c r="J918" s="1">
        <v>30</v>
      </c>
      <c r="K918" s="1">
        <v>29</v>
      </c>
      <c r="L918" s="3">
        <v>3.3300000000000003E-2</v>
      </c>
      <c r="N918" t="s">
        <v>3763</v>
      </c>
      <c r="S918" s="4" t="e">
        <f t="shared" si="58"/>
        <v>#NUM!</v>
      </c>
      <c r="T918" s="4" t="str">
        <f t="shared" si="56"/>
        <v/>
      </c>
      <c r="U918" s="4" t="s">
        <v>3763</v>
      </c>
    </row>
    <row r="919" spans="1:21" x14ac:dyDescent="0.3">
      <c r="A919" t="s">
        <v>1442</v>
      </c>
      <c r="B919" s="1" t="s">
        <v>154</v>
      </c>
      <c r="C919" s="1" t="s">
        <v>108</v>
      </c>
      <c r="D919" s="1" t="s">
        <v>19</v>
      </c>
      <c r="E919" s="2" t="s">
        <v>3407</v>
      </c>
      <c r="F919" s="2" t="b">
        <f t="shared" si="59"/>
        <v>0</v>
      </c>
      <c r="G919" s="2">
        <f t="shared" si="57"/>
        <v>42368</v>
      </c>
      <c r="H919" s="1" t="s">
        <v>72</v>
      </c>
      <c r="I919" s="1" t="s">
        <v>155</v>
      </c>
      <c r="J919" s="1">
        <v>500</v>
      </c>
      <c r="K919" s="1">
        <v>500</v>
      </c>
      <c r="L919" s="3">
        <v>0</v>
      </c>
      <c r="N919" t="s">
        <v>3407</v>
      </c>
      <c r="P919">
        <v>12</v>
      </c>
      <c r="Q919">
        <v>30</v>
      </c>
      <c r="R919">
        <v>2015</v>
      </c>
      <c r="S919" s="4">
        <f t="shared" si="58"/>
        <v>42368</v>
      </c>
      <c r="T919" s="4">
        <f t="shared" si="56"/>
        <v>42368</v>
      </c>
      <c r="U919" s="4">
        <v>42368</v>
      </c>
    </row>
    <row r="920" spans="1:21" x14ac:dyDescent="0.3">
      <c r="A920" t="s">
        <v>1443</v>
      </c>
      <c r="B920" s="1" t="s">
        <v>59</v>
      </c>
      <c r="C920" s="1" t="s">
        <v>60</v>
      </c>
      <c r="D920" s="1" t="s">
        <v>13</v>
      </c>
      <c r="E920" s="2" t="s">
        <v>3408</v>
      </c>
      <c r="F920" s="2" t="b">
        <f t="shared" si="59"/>
        <v>0</v>
      </c>
      <c r="G920" s="2">
        <f t="shared" si="57"/>
        <v>42967</v>
      </c>
      <c r="H920" s="1" t="s">
        <v>115</v>
      </c>
      <c r="I920" s="1" t="s">
        <v>614</v>
      </c>
      <c r="J920" s="1">
        <v>250</v>
      </c>
      <c r="K920" s="1">
        <v>225</v>
      </c>
      <c r="L920" s="3">
        <v>0.1</v>
      </c>
      <c r="N920" t="s">
        <v>3408</v>
      </c>
      <c r="P920">
        <v>8</v>
      </c>
      <c r="Q920">
        <v>20</v>
      </c>
      <c r="R920">
        <v>2017</v>
      </c>
      <c r="S920" s="4">
        <f t="shared" si="58"/>
        <v>42967</v>
      </c>
      <c r="T920" s="4">
        <f t="shared" si="56"/>
        <v>42967</v>
      </c>
      <c r="U920" s="4">
        <v>42967</v>
      </c>
    </row>
    <row r="921" spans="1:21" x14ac:dyDescent="0.3">
      <c r="A921" t="s">
        <v>1444</v>
      </c>
      <c r="B921" s="1" t="s">
        <v>11</v>
      </c>
      <c r="C921" s="1" t="s">
        <v>12</v>
      </c>
      <c r="D921" s="1" t="s">
        <v>13</v>
      </c>
      <c r="E921" s="2" t="s">
        <v>3409</v>
      </c>
      <c r="F921" s="2" t="b">
        <f t="shared" si="59"/>
        <v>0</v>
      </c>
      <c r="G921" s="2">
        <f t="shared" si="57"/>
        <v>42264</v>
      </c>
      <c r="H921" s="1" t="s">
        <v>14</v>
      </c>
      <c r="I921" s="1" t="s">
        <v>137</v>
      </c>
      <c r="J921" s="1">
        <v>80</v>
      </c>
      <c r="K921" s="1">
        <v>78</v>
      </c>
      <c r="L921" s="3">
        <v>2.5000000000000001E-2</v>
      </c>
      <c r="N921" t="s">
        <v>3409</v>
      </c>
      <c r="P921">
        <v>9</v>
      </c>
      <c r="Q921">
        <v>17</v>
      </c>
      <c r="R921">
        <v>2015</v>
      </c>
      <c r="S921" s="4">
        <f t="shared" si="58"/>
        <v>42264</v>
      </c>
      <c r="T921" s="4">
        <f t="shared" si="56"/>
        <v>42264</v>
      </c>
      <c r="U921" s="4">
        <v>42264</v>
      </c>
    </row>
    <row r="922" spans="1:21" x14ac:dyDescent="0.3">
      <c r="A922" t="s">
        <v>1445</v>
      </c>
      <c r="B922" s="1" t="s">
        <v>28</v>
      </c>
      <c r="C922" s="1" t="s">
        <v>29</v>
      </c>
      <c r="D922" s="1" t="s">
        <v>13</v>
      </c>
      <c r="E922" s="2" t="s">
        <v>3036</v>
      </c>
      <c r="F922" s="2" t="b">
        <f t="shared" si="59"/>
        <v>0</v>
      </c>
      <c r="G922" s="2">
        <f t="shared" si="57"/>
        <v>42324</v>
      </c>
      <c r="H922" s="1" t="s">
        <v>122</v>
      </c>
      <c r="I922" s="1" t="s">
        <v>31</v>
      </c>
      <c r="J922" s="1">
        <v>50</v>
      </c>
      <c r="K922" s="1">
        <v>32</v>
      </c>
      <c r="L922" s="3">
        <v>0.36</v>
      </c>
      <c r="N922" t="s">
        <v>3036</v>
      </c>
      <c r="P922">
        <v>11</v>
      </c>
      <c r="Q922">
        <v>16</v>
      </c>
      <c r="R922">
        <v>2015</v>
      </c>
      <c r="S922" s="4">
        <f t="shared" si="58"/>
        <v>42324</v>
      </c>
      <c r="T922" s="4">
        <f t="shared" si="56"/>
        <v>42324</v>
      </c>
      <c r="U922" s="4">
        <v>42324</v>
      </c>
    </row>
    <row r="923" spans="1:21" x14ac:dyDescent="0.3">
      <c r="A923" t="s">
        <v>1446</v>
      </c>
      <c r="B923" s="1" t="s">
        <v>400</v>
      </c>
      <c r="C923" s="1" t="s">
        <v>401</v>
      </c>
      <c r="D923" s="1" t="s">
        <v>13</v>
      </c>
      <c r="E923" s="2">
        <v>41682</v>
      </c>
      <c r="F923" s="2" t="b">
        <f t="shared" si="59"/>
        <v>1</v>
      </c>
      <c r="G923" s="2">
        <f t="shared" si="57"/>
        <v>41682</v>
      </c>
      <c r="H923" s="1" t="s">
        <v>122</v>
      </c>
      <c r="I923" s="1" t="s">
        <v>486</v>
      </c>
      <c r="J923" s="1">
        <v>50</v>
      </c>
      <c r="K923" s="1">
        <v>41</v>
      </c>
      <c r="L923" s="3">
        <v>0.18</v>
      </c>
      <c r="N923" t="s">
        <v>3763</v>
      </c>
      <c r="S923" s="4" t="e">
        <f t="shared" si="58"/>
        <v>#NUM!</v>
      </c>
      <c r="T923" s="4" t="str">
        <f t="shared" si="56"/>
        <v/>
      </c>
      <c r="U923" s="4" t="s">
        <v>3763</v>
      </c>
    </row>
    <row r="924" spans="1:21" x14ac:dyDescent="0.3">
      <c r="A924" t="s">
        <v>1447</v>
      </c>
      <c r="B924" s="1" t="s">
        <v>22</v>
      </c>
      <c r="C924" s="1" t="s">
        <v>23</v>
      </c>
      <c r="D924" s="1" t="s">
        <v>24</v>
      </c>
      <c r="E924" s="2" t="s">
        <v>3410</v>
      </c>
      <c r="F924" s="2" t="b">
        <f t="shared" si="59"/>
        <v>0</v>
      </c>
      <c r="G924" s="2">
        <f t="shared" si="57"/>
        <v>43265</v>
      </c>
      <c r="H924" s="1" t="s">
        <v>104</v>
      </c>
      <c r="I924" s="1" t="s">
        <v>483</v>
      </c>
      <c r="J924" s="1">
        <v>70</v>
      </c>
      <c r="K924" s="1">
        <v>60</v>
      </c>
      <c r="L924" s="3">
        <v>0.1429</v>
      </c>
      <c r="N924" t="s">
        <v>3410</v>
      </c>
      <c r="P924">
        <v>6</v>
      </c>
      <c r="Q924">
        <v>14</v>
      </c>
      <c r="R924">
        <v>2018</v>
      </c>
      <c r="S924" s="4">
        <f t="shared" si="58"/>
        <v>43265</v>
      </c>
      <c r="T924" s="4">
        <f t="shared" si="56"/>
        <v>43265</v>
      </c>
      <c r="U924" s="4">
        <v>43265</v>
      </c>
    </row>
    <row r="925" spans="1:21" x14ac:dyDescent="0.3">
      <c r="A925" t="s">
        <v>1448</v>
      </c>
      <c r="B925" s="1" t="s">
        <v>91</v>
      </c>
      <c r="C925" s="1" t="s">
        <v>92</v>
      </c>
      <c r="D925" s="1" t="s">
        <v>35</v>
      </c>
      <c r="E925" s="2">
        <v>41977</v>
      </c>
      <c r="F925" s="2" t="b">
        <f t="shared" si="59"/>
        <v>1</v>
      </c>
      <c r="G925" s="2">
        <f t="shared" si="57"/>
        <v>41977</v>
      </c>
      <c r="H925" s="1" t="s">
        <v>104</v>
      </c>
      <c r="I925" s="1" t="s">
        <v>939</v>
      </c>
      <c r="J925" s="1">
        <v>70</v>
      </c>
      <c r="K925" s="1">
        <v>69</v>
      </c>
      <c r="L925" s="3">
        <v>1.43E-2</v>
      </c>
      <c r="N925" t="s">
        <v>3763</v>
      </c>
      <c r="S925" s="4" t="e">
        <f t="shared" si="58"/>
        <v>#NUM!</v>
      </c>
      <c r="T925" s="4" t="str">
        <f t="shared" si="56"/>
        <v/>
      </c>
      <c r="U925" s="4" t="s">
        <v>3763</v>
      </c>
    </row>
    <row r="926" spans="1:21" x14ac:dyDescent="0.3">
      <c r="A926" t="s">
        <v>1449</v>
      </c>
      <c r="B926" s="1" t="s">
        <v>53</v>
      </c>
      <c r="C926" s="1" t="s">
        <v>54</v>
      </c>
      <c r="D926" s="1" t="s">
        <v>13</v>
      </c>
      <c r="E926" s="2">
        <v>43319</v>
      </c>
      <c r="F926" s="2" t="b">
        <f t="shared" si="59"/>
        <v>1</v>
      </c>
      <c r="G926" s="2">
        <f t="shared" si="57"/>
        <v>43319</v>
      </c>
      <c r="H926" s="1" t="s">
        <v>46</v>
      </c>
      <c r="I926" s="1" t="s">
        <v>814</v>
      </c>
      <c r="J926" s="1">
        <v>500</v>
      </c>
      <c r="K926" s="1">
        <v>490</v>
      </c>
      <c r="L926" s="3">
        <v>0.02</v>
      </c>
      <c r="N926" t="s">
        <v>3763</v>
      </c>
      <c r="S926" s="4" t="e">
        <f t="shared" si="58"/>
        <v>#NUM!</v>
      </c>
      <c r="T926" s="4" t="str">
        <f t="shared" si="56"/>
        <v/>
      </c>
      <c r="U926" s="4" t="s">
        <v>3763</v>
      </c>
    </row>
    <row r="927" spans="1:21" x14ac:dyDescent="0.3">
      <c r="A927" t="s">
        <v>1450</v>
      </c>
      <c r="B927" s="1" t="s">
        <v>91</v>
      </c>
      <c r="C927" s="1" t="s">
        <v>92</v>
      </c>
      <c r="D927" s="1" t="s">
        <v>35</v>
      </c>
      <c r="E927" s="2">
        <v>43133</v>
      </c>
      <c r="F927" s="2" t="b">
        <f t="shared" si="59"/>
        <v>1</v>
      </c>
      <c r="G927" s="2">
        <f t="shared" si="57"/>
        <v>43133</v>
      </c>
      <c r="H927" s="1" t="s">
        <v>104</v>
      </c>
      <c r="I927" s="1" t="s">
        <v>93</v>
      </c>
      <c r="J927" s="1">
        <v>70</v>
      </c>
      <c r="K927" s="1">
        <v>69</v>
      </c>
      <c r="L927" s="3">
        <v>1.43E-2</v>
      </c>
      <c r="N927" t="s">
        <v>3763</v>
      </c>
      <c r="S927" s="4" t="e">
        <f t="shared" si="58"/>
        <v>#NUM!</v>
      </c>
      <c r="T927" s="4" t="str">
        <f t="shared" si="56"/>
        <v/>
      </c>
      <c r="U927" s="4" t="s">
        <v>3763</v>
      </c>
    </row>
    <row r="928" spans="1:21" x14ac:dyDescent="0.3">
      <c r="A928" t="s">
        <v>1451</v>
      </c>
      <c r="B928" s="1" t="s">
        <v>99</v>
      </c>
      <c r="C928" s="1" t="s">
        <v>100</v>
      </c>
      <c r="D928" s="1" t="s">
        <v>13</v>
      </c>
      <c r="E928" s="2">
        <v>43350</v>
      </c>
      <c r="F928" s="2" t="b">
        <f t="shared" si="59"/>
        <v>1</v>
      </c>
      <c r="G928" s="2">
        <f t="shared" si="57"/>
        <v>43350</v>
      </c>
      <c r="H928" s="1" t="s">
        <v>61</v>
      </c>
      <c r="I928" s="1" t="s">
        <v>101</v>
      </c>
      <c r="J928" s="1">
        <v>1000</v>
      </c>
      <c r="K928" s="1">
        <v>640</v>
      </c>
      <c r="L928" s="3">
        <v>0.36</v>
      </c>
      <c r="N928" t="s">
        <v>3763</v>
      </c>
      <c r="S928" s="4" t="e">
        <f t="shared" si="58"/>
        <v>#NUM!</v>
      </c>
      <c r="T928" s="4" t="str">
        <f t="shared" si="56"/>
        <v/>
      </c>
      <c r="U928" s="4" t="s">
        <v>3763</v>
      </c>
    </row>
    <row r="929" spans="1:21" x14ac:dyDescent="0.3">
      <c r="A929" t="s">
        <v>1452</v>
      </c>
      <c r="B929" s="1" t="s">
        <v>64</v>
      </c>
      <c r="C929" s="1" t="s">
        <v>65</v>
      </c>
      <c r="D929" s="1" t="s">
        <v>35</v>
      </c>
      <c r="E929" s="2" t="s">
        <v>3024</v>
      </c>
      <c r="F929" s="2" t="b">
        <f t="shared" si="59"/>
        <v>0</v>
      </c>
      <c r="G929" s="2">
        <f t="shared" si="57"/>
        <v>41941</v>
      </c>
      <c r="H929" s="1" t="s">
        <v>61</v>
      </c>
      <c r="I929" s="1" t="s">
        <v>280</v>
      </c>
      <c r="J929" s="1">
        <v>1000</v>
      </c>
      <c r="K929" s="1">
        <v>1000</v>
      </c>
      <c r="L929" s="3">
        <v>0</v>
      </c>
      <c r="N929" t="s">
        <v>3024</v>
      </c>
      <c r="P929">
        <v>10</v>
      </c>
      <c r="Q929">
        <v>29</v>
      </c>
      <c r="R929">
        <v>2014</v>
      </c>
      <c r="S929" s="4">
        <f t="shared" si="58"/>
        <v>41941</v>
      </c>
      <c r="T929" s="4">
        <f t="shared" si="56"/>
        <v>41941</v>
      </c>
      <c r="U929" s="4">
        <v>41941</v>
      </c>
    </row>
    <row r="930" spans="1:21" x14ac:dyDescent="0.3">
      <c r="A930" t="s">
        <v>1453</v>
      </c>
      <c r="B930" s="1" t="s">
        <v>241</v>
      </c>
      <c r="C930" s="1" t="s">
        <v>242</v>
      </c>
      <c r="D930" s="1" t="s">
        <v>13</v>
      </c>
      <c r="E930" s="2">
        <v>43139</v>
      </c>
      <c r="F930" s="2" t="b">
        <f t="shared" si="59"/>
        <v>1</v>
      </c>
      <c r="G930" s="2">
        <f t="shared" si="57"/>
        <v>43139</v>
      </c>
      <c r="H930" s="1" t="s">
        <v>14</v>
      </c>
      <c r="I930" s="1" t="s">
        <v>1152</v>
      </c>
      <c r="J930" s="1">
        <v>80</v>
      </c>
      <c r="K930" s="1">
        <v>70</v>
      </c>
      <c r="L930" s="3">
        <v>0.125</v>
      </c>
      <c r="N930" t="s">
        <v>3763</v>
      </c>
      <c r="S930" s="4" t="e">
        <f t="shared" si="58"/>
        <v>#NUM!</v>
      </c>
      <c r="T930" s="4" t="str">
        <f t="shared" si="56"/>
        <v/>
      </c>
      <c r="U930" s="4" t="s">
        <v>3763</v>
      </c>
    </row>
    <row r="931" spans="1:21" x14ac:dyDescent="0.3">
      <c r="A931" t="s">
        <v>1454</v>
      </c>
      <c r="B931" s="1" t="s">
        <v>44</v>
      </c>
      <c r="C931" s="1" t="s">
        <v>45</v>
      </c>
      <c r="D931" s="1" t="s">
        <v>24</v>
      </c>
      <c r="E931" s="2" t="s">
        <v>3411</v>
      </c>
      <c r="F931" s="2" t="b">
        <f t="shared" si="59"/>
        <v>0</v>
      </c>
      <c r="G931" s="2">
        <f t="shared" si="57"/>
        <v>43093</v>
      </c>
      <c r="H931" s="1" t="s">
        <v>30</v>
      </c>
      <c r="I931" s="1" t="s">
        <v>1146</v>
      </c>
      <c r="J931" s="1">
        <v>150</v>
      </c>
      <c r="K931" s="1">
        <v>135</v>
      </c>
      <c r="L931" s="3">
        <v>0.1</v>
      </c>
      <c r="N931" t="s">
        <v>3411</v>
      </c>
      <c r="P931">
        <v>12</v>
      </c>
      <c r="Q931">
        <v>24</v>
      </c>
      <c r="R931">
        <v>2017</v>
      </c>
      <c r="S931" s="4">
        <f t="shared" si="58"/>
        <v>43093</v>
      </c>
      <c r="T931" s="4">
        <f t="shared" si="56"/>
        <v>43093</v>
      </c>
      <c r="U931" s="4">
        <v>43093</v>
      </c>
    </row>
    <row r="932" spans="1:21" x14ac:dyDescent="0.3">
      <c r="A932" t="s">
        <v>1455</v>
      </c>
      <c r="B932" s="1" t="s">
        <v>174</v>
      </c>
      <c r="C932" s="1" t="s">
        <v>175</v>
      </c>
      <c r="D932" s="1" t="s">
        <v>13</v>
      </c>
      <c r="E932" s="2">
        <v>43108</v>
      </c>
      <c r="F932" s="2" t="b">
        <f t="shared" si="59"/>
        <v>1</v>
      </c>
      <c r="G932" s="2">
        <f t="shared" si="57"/>
        <v>43108</v>
      </c>
      <c r="H932" s="1" t="s">
        <v>25</v>
      </c>
      <c r="I932" s="1" t="s">
        <v>1456</v>
      </c>
      <c r="J932" s="1">
        <v>700</v>
      </c>
      <c r="K932" s="1">
        <v>623</v>
      </c>
      <c r="L932" s="3">
        <v>0.11</v>
      </c>
      <c r="N932" t="s">
        <v>3763</v>
      </c>
      <c r="S932" s="4" t="e">
        <f t="shared" si="58"/>
        <v>#NUM!</v>
      </c>
      <c r="T932" s="4" t="str">
        <f t="shared" si="56"/>
        <v/>
      </c>
      <c r="U932" s="4" t="s">
        <v>3763</v>
      </c>
    </row>
    <row r="933" spans="1:21" x14ac:dyDescent="0.3">
      <c r="A933" t="s">
        <v>1457</v>
      </c>
      <c r="B933" s="1" t="s">
        <v>85</v>
      </c>
      <c r="C933" s="1" t="s">
        <v>86</v>
      </c>
      <c r="D933" s="1" t="s">
        <v>13</v>
      </c>
      <c r="E933" s="2" t="s">
        <v>3412</v>
      </c>
      <c r="F933" s="2" t="b">
        <f t="shared" si="59"/>
        <v>0</v>
      </c>
      <c r="G933" s="2">
        <f t="shared" si="57"/>
        <v>42549</v>
      </c>
      <c r="H933" s="1" t="s">
        <v>115</v>
      </c>
      <c r="I933" s="1" t="s">
        <v>1458</v>
      </c>
      <c r="J933" s="1">
        <v>250</v>
      </c>
      <c r="K933" s="1">
        <v>245</v>
      </c>
      <c r="L933" s="3">
        <v>0.02</v>
      </c>
      <c r="N933" t="s">
        <v>3412</v>
      </c>
      <c r="P933">
        <v>6</v>
      </c>
      <c r="Q933">
        <v>28</v>
      </c>
      <c r="R933">
        <v>2016</v>
      </c>
      <c r="S933" s="4">
        <f t="shared" si="58"/>
        <v>42549</v>
      </c>
      <c r="T933" s="4">
        <f t="shared" si="56"/>
        <v>42549</v>
      </c>
      <c r="U933" s="4">
        <v>42549</v>
      </c>
    </row>
    <row r="934" spans="1:21" x14ac:dyDescent="0.3">
      <c r="A934" t="s">
        <v>1459</v>
      </c>
      <c r="B934" s="1" t="s">
        <v>264</v>
      </c>
      <c r="C934" s="1" t="s">
        <v>265</v>
      </c>
      <c r="D934" s="1" t="s">
        <v>13</v>
      </c>
      <c r="E934" s="2" t="s">
        <v>3278</v>
      </c>
      <c r="F934" s="2" t="b">
        <f t="shared" si="59"/>
        <v>0</v>
      </c>
      <c r="G934" s="2">
        <f t="shared" si="57"/>
        <v>42748</v>
      </c>
      <c r="H934" s="1" t="s">
        <v>46</v>
      </c>
      <c r="I934" s="1" t="s">
        <v>314</v>
      </c>
      <c r="J934" s="1">
        <v>500</v>
      </c>
      <c r="K934" s="1">
        <v>500</v>
      </c>
      <c r="L934" s="3">
        <v>0</v>
      </c>
      <c r="N934" t="s">
        <v>3278</v>
      </c>
      <c r="P934">
        <v>1</v>
      </c>
      <c r="Q934">
        <v>13</v>
      </c>
      <c r="R934">
        <v>2017</v>
      </c>
      <c r="S934" s="4">
        <f t="shared" si="58"/>
        <v>42748</v>
      </c>
      <c r="T934" s="4">
        <f t="shared" si="56"/>
        <v>42748</v>
      </c>
      <c r="U934" s="4">
        <v>42748</v>
      </c>
    </row>
    <row r="935" spans="1:21" x14ac:dyDescent="0.3">
      <c r="A935" t="s">
        <v>1460</v>
      </c>
      <c r="B935" s="1" t="s">
        <v>146</v>
      </c>
      <c r="C935" s="1" t="s">
        <v>147</v>
      </c>
      <c r="D935" s="1" t="s">
        <v>13</v>
      </c>
      <c r="E935" s="2" t="s">
        <v>3387</v>
      </c>
      <c r="F935" s="2" t="b">
        <f t="shared" si="59"/>
        <v>0</v>
      </c>
      <c r="G935" s="2">
        <f t="shared" si="57"/>
        <v>42873</v>
      </c>
      <c r="H935" s="1" t="s">
        <v>25</v>
      </c>
      <c r="I935" s="1" t="s">
        <v>830</v>
      </c>
      <c r="J935" s="1">
        <v>700</v>
      </c>
      <c r="K935" s="1">
        <v>700</v>
      </c>
      <c r="L935" s="3">
        <v>0</v>
      </c>
      <c r="N935" t="s">
        <v>3387</v>
      </c>
      <c r="P935">
        <v>5</v>
      </c>
      <c r="Q935">
        <v>18</v>
      </c>
      <c r="R935">
        <v>2017</v>
      </c>
      <c r="S935" s="4">
        <f t="shared" si="58"/>
        <v>42873</v>
      </c>
      <c r="T935" s="4">
        <f t="shared" si="56"/>
        <v>42873</v>
      </c>
      <c r="U935" s="4">
        <v>42873</v>
      </c>
    </row>
    <row r="936" spans="1:21" x14ac:dyDescent="0.3">
      <c r="A936" t="s">
        <v>1461</v>
      </c>
      <c r="B936" s="1" t="s">
        <v>99</v>
      </c>
      <c r="C936" s="1" t="s">
        <v>100</v>
      </c>
      <c r="D936" s="1" t="s">
        <v>13</v>
      </c>
      <c r="E936" s="2" t="s">
        <v>3413</v>
      </c>
      <c r="F936" s="2" t="b">
        <f t="shared" si="59"/>
        <v>0</v>
      </c>
      <c r="G936" s="2">
        <f t="shared" si="57"/>
        <v>42913</v>
      </c>
      <c r="H936" s="1" t="s">
        <v>46</v>
      </c>
      <c r="I936" s="1" t="s">
        <v>594</v>
      </c>
      <c r="J936" s="1">
        <v>500</v>
      </c>
      <c r="K936" s="1">
        <v>480</v>
      </c>
      <c r="L936" s="3">
        <v>0.04</v>
      </c>
      <c r="N936" t="s">
        <v>3413</v>
      </c>
      <c r="P936">
        <v>6</v>
      </c>
      <c r="Q936">
        <v>27</v>
      </c>
      <c r="R936">
        <v>2017</v>
      </c>
      <c r="S936" s="4">
        <f t="shared" si="58"/>
        <v>42913</v>
      </c>
      <c r="T936" s="4">
        <f t="shared" si="56"/>
        <v>42913</v>
      </c>
      <c r="U936" s="4">
        <v>42913</v>
      </c>
    </row>
    <row r="937" spans="1:21" x14ac:dyDescent="0.3">
      <c r="A937" t="s">
        <v>1462</v>
      </c>
      <c r="B937" s="1" t="s">
        <v>99</v>
      </c>
      <c r="C937" s="1" t="s">
        <v>100</v>
      </c>
      <c r="D937" s="1" t="s">
        <v>13</v>
      </c>
      <c r="E937" s="2">
        <v>43345</v>
      </c>
      <c r="F937" s="2" t="b">
        <f t="shared" si="59"/>
        <v>1</v>
      </c>
      <c r="G937" s="2">
        <f t="shared" si="57"/>
        <v>43345</v>
      </c>
      <c r="H937" s="1" t="s">
        <v>115</v>
      </c>
      <c r="I937" s="1" t="s">
        <v>1090</v>
      </c>
      <c r="J937" s="1">
        <v>250</v>
      </c>
      <c r="K937" s="1">
        <v>243</v>
      </c>
      <c r="L937" s="3">
        <v>2.8000000000000001E-2</v>
      </c>
      <c r="N937" t="s">
        <v>3763</v>
      </c>
      <c r="S937" s="4" t="e">
        <f t="shared" si="58"/>
        <v>#NUM!</v>
      </c>
      <c r="T937" s="4" t="str">
        <f t="shared" si="56"/>
        <v/>
      </c>
      <c r="U937" s="4" t="s">
        <v>3763</v>
      </c>
    </row>
    <row r="938" spans="1:21" x14ac:dyDescent="0.3">
      <c r="A938" t="s">
        <v>1463</v>
      </c>
      <c r="B938" s="1" t="s">
        <v>49</v>
      </c>
      <c r="C938" s="1" t="s">
        <v>50</v>
      </c>
      <c r="D938" s="1" t="s">
        <v>24</v>
      </c>
      <c r="E938" s="2" t="s">
        <v>3000</v>
      </c>
      <c r="F938" s="2" t="b">
        <f t="shared" si="59"/>
        <v>0</v>
      </c>
      <c r="G938" s="2">
        <f t="shared" si="57"/>
        <v>42783</v>
      </c>
      <c r="H938" s="1" t="s">
        <v>61</v>
      </c>
      <c r="I938" s="1" t="s">
        <v>699</v>
      </c>
      <c r="J938" s="1">
        <v>1000</v>
      </c>
      <c r="K938" s="1">
        <v>950</v>
      </c>
      <c r="L938" s="3">
        <v>0.05</v>
      </c>
      <c r="N938" t="s">
        <v>3000</v>
      </c>
      <c r="P938">
        <v>2</v>
      </c>
      <c r="Q938">
        <v>17</v>
      </c>
      <c r="R938">
        <v>2017</v>
      </c>
      <c r="S938" s="4">
        <f t="shared" si="58"/>
        <v>42783</v>
      </c>
      <c r="T938" s="4">
        <f t="shared" si="56"/>
        <v>42783</v>
      </c>
      <c r="U938" s="4">
        <v>42783</v>
      </c>
    </row>
    <row r="939" spans="1:21" x14ac:dyDescent="0.3">
      <c r="A939" t="s">
        <v>1464</v>
      </c>
      <c r="B939" s="1" t="s">
        <v>111</v>
      </c>
      <c r="C939" s="1" t="s">
        <v>82</v>
      </c>
      <c r="D939" s="1" t="s">
        <v>13</v>
      </c>
      <c r="E939" s="2">
        <v>42858</v>
      </c>
      <c r="F939" s="2" t="b">
        <f t="shared" si="59"/>
        <v>1</v>
      </c>
      <c r="G939" s="2">
        <f t="shared" si="57"/>
        <v>42858</v>
      </c>
      <c r="H939" s="1" t="s">
        <v>122</v>
      </c>
      <c r="I939" s="1" t="s">
        <v>820</v>
      </c>
      <c r="J939" s="1">
        <v>50</v>
      </c>
      <c r="K939" s="1">
        <v>47</v>
      </c>
      <c r="L939" s="3">
        <v>0.06</v>
      </c>
      <c r="N939" t="s">
        <v>3763</v>
      </c>
      <c r="S939" s="4" t="e">
        <f t="shared" si="58"/>
        <v>#NUM!</v>
      </c>
      <c r="T939" s="4" t="str">
        <f t="shared" si="56"/>
        <v/>
      </c>
      <c r="U939" s="4" t="s">
        <v>3763</v>
      </c>
    </row>
    <row r="940" spans="1:21" x14ac:dyDescent="0.3">
      <c r="A940" t="s">
        <v>1465</v>
      </c>
      <c r="B940" s="1" t="s">
        <v>154</v>
      </c>
      <c r="C940" s="1" t="s">
        <v>108</v>
      </c>
      <c r="D940" s="1" t="s">
        <v>19</v>
      </c>
      <c r="E940" s="2" t="s">
        <v>3414</v>
      </c>
      <c r="F940" s="2" t="b">
        <f t="shared" si="59"/>
        <v>0</v>
      </c>
      <c r="G940" s="2">
        <f t="shared" si="57"/>
        <v>41910</v>
      </c>
      <c r="H940" s="1" t="s">
        <v>41</v>
      </c>
      <c r="I940" s="1" t="s">
        <v>352</v>
      </c>
      <c r="J940" s="1">
        <v>30</v>
      </c>
      <c r="K940" s="1">
        <v>27</v>
      </c>
      <c r="L940" s="3">
        <v>0.1</v>
      </c>
      <c r="N940" t="s">
        <v>3414</v>
      </c>
      <c r="P940">
        <v>9</v>
      </c>
      <c r="Q940">
        <v>28</v>
      </c>
      <c r="R940">
        <v>2014</v>
      </c>
      <c r="S940" s="4">
        <f t="shared" si="58"/>
        <v>41910</v>
      </c>
      <c r="T940" s="4">
        <f t="shared" si="56"/>
        <v>41910</v>
      </c>
      <c r="U940" s="4">
        <v>41910</v>
      </c>
    </row>
    <row r="941" spans="1:21" x14ac:dyDescent="0.3">
      <c r="A941" t="s">
        <v>1466</v>
      </c>
      <c r="B941" s="1" t="s">
        <v>241</v>
      </c>
      <c r="C941" s="1" t="s">
        <v>242</v>
      </c>
      <c r="D941" s="1" t="s">
        <v>13</v>
      </c>
      <c r="E941" s="2" t="s">
        <v>3155</v>
      </c>
      <c r="F941" s="2" t="b">
        <f t="shared" si="59"/>
        <v>0</v>
      </c>
      <c r="G941" s="2">
        <f t="shared" si="57"/>
        <v>43180</v>
      </c>
      <c r="H941" s="1" t="s">
        <v>41</v>
      </c>
      <c r="I941" s="1" t="s">
        <v>426</v>
      </c>
      <c r="J941" s="1">
        <v>30</v>
      </c>
      <c r="K941" s="1">
        <v>29</v>
      </c>
      <c r="L941" s="3">
        <v>3.3300000000000003E-2</v>
      </c>
      <c r="N941" t="s">
        <v>3155</v>
      </c>
      <c r="P941">
        <v>3</v>
      </c>
      <c r="Q941">
        <v>21</v>
      </c>
      <c r="R941">
        <v>2018</v>
      </c>
      <c r="S941" s="4">
        <f t="shared" si="58"/>
        <v>43180</v>
      </c>
      <c r="T941" s="4">
        <f t="shared" si="56"/>
        <v>43180</v>
      </c>
      <c r="U941" s="4">
        <v>43180</v>
      </c>
    </row>
    <row r="942" spans="1:21" x14ac:dyDescent="0.3">
      <c r="A942" t="s">
        <v>1467</v>
      </c>
      <c r="B942" s="1" t="s">
        <v>324</v>
      </c>
      <c r="C942" s="1" t="s">
        <v>325</v>
      </c>
      <c r="D942" s="1" t="s">
        <v>13</v>
      </c>
      <c r="E942" s="2" t="s">
        <v>3415</v>
      </c>
      <c r="F942" s="2" t="b">
        <f t="shared" si="59"/>
        <v>0</v>
      </c>
      <c r="G942" s="2">
        <f t="shared" si="57"/>
        <v>43404</v>
      </c>
      <c r="H942" s="1" t="s">
        <v>14</v>
      </c>
      <c r="I942" s="1" t="s">
        <v>1468</v>
      </c>
      <c r="J942" s="1">
        <v>80</v>
      </c>
      <c r="K942" s="1">
        <v>76</v>
      </c>
      <c r="L942" s="3">
        <v>0.05</v>
      </c>
      <c r="N942" t="s">
        <v>3415</v>
      </c>
      <c r="P942">
        <v>10</v>
      </c>
      <c r="Q942">
        <v>31</v>
      </c>
      <c r="R942">
        <v>2018</v>
      </c>
      <c r="S942" s="4">
        <f t="shared" si="58"/>
        <v>43404</v>
      </c>
      <c r="T942" s="4">
        <f t="shared" si="56"/>
        <v>43404</v>
      </c>
      <c r="U942" s="4">
        <v>43404</v>
      </c>
    </row>
    <row r="943" spans="1:21" x14ac:dyDescent="0.3">
      <c r="A943" t="s">
        <v>1469</v>
      </c>
      <c r="B943" s="1" t="s">
        <v>324</v>
      </c>
      <c r="C943" s="1" t="s">
        <v>325</v>
      </c>
      <c r="D943" s="1" t="s">
        <v>13</v>
      </c>
      <c r="E943" s="2">
        <v>43221</v>
      </c>
      <c r="F943" s="2" t="b">
        <f t="shared" si="59"/>
        <v>1</v>
      </c>
      <c r="G943" s="2">
        <f t="shared" si="57"/>
        <v>43221</v>
      </c>
      <c r="H943" s="1" t="s">
        <v>104</v>
      </c>
      <c r="I943" s="1" t="s">
        <v>1009</v>
      </c>
      <c r="J943" s="1">
        <v>70</v>
      </c>
      <c r="K943" s="1">
        <v>69</v>
      </c>
      <c r="L943" s="3">
        <v>1.43E-2</v>
      </c>
      <c r="N943" t="s">
        <v>3763</v>
      </c>
      <c r="S943" s="4" t="e">
        <f t="shared" si="58"/>
        <v>#NUM!</v>
      </c>
      <c r="T943" s="4" t="str">
        <f t="shared" si="56"/>
        <v/>
      </c>
      <c r="U943" s="4" t="s">
        <v>3763</v>
      </c>
    </row>
    <row r="944" spans="1:21" x14ac:dyDescent="0.3">
      <c r="A944" t="s">
        <v>1470</v>
      </c>
      <c r="B944" s="1" t="s">
        <v>107</v>
      </c>
      <c r="C944" s="1" t="s">
        <v>108</v>
      </c>
      <c r="D944" s="1" t="s">
        <v>19</v>
      </c>
      <c r="E944" s="2" t="s">
        <v>3283</v>
      </c>
      <c r="F944" s="2" t="b">
        <f t="shared" si="59"/>
        <v>0</v>
      </c>
      <c r="G944" s="2">
        <f t="shared" si="57"/>
        <v>42384</v>
      </c>
      <c r="H944" s="1" t="s">
        <v>14</v>
      </c>
      <c r="I944" s="1" t="s">
        <v>894</v>
      </c>
      <c r="J944" s="1">
        <v>80</v>
      </c>
      <c r="K944" s="1">
        <v>76</v>
      </c>
      <c r="L944" s="3">
        <v>0.05</v>
      </c>
      <c r="N944" t="s">
        <v>3283</v>
      </c>
      <c r="P944">
        <v>1</v>
      </c>
      <c r="Q944">
        <v>15</v>
      </c>
      <c r="R944">
        <v>2016</v>
      </c>
      <c r="S944" s="4">
        <f t="shared" si="58"/>
        <v>42384</v>
      </c>
      <c r="T944" s="4">
        <f t="shared" si="56"/>
        <v>42384</v>
      </c>
      <c r="U944" s="4">
        <v>42384</v>
      </c>
    </row>
    <row r="945" spans="1:21" x14ac:dyDescent="0.3">
      <c r="A945" t="s">
        <v>1471</v>
      </c>
      <c r="B945" s="1" t="s">
        <v>81</v>
      </c>
      <c r="C945" s="1" t="s">
        <v>82</v>
      </c>
      <c r="D945" s="1" t="s">
        <v>13</v>
      </c>
      <c r="E945" s="2" t="s">
        <v>3327</v>
      </c>
      <c r="F945" s="2" t="b">
        <f t="shared" si="59"/>
        <v>0</v>
      </c>
      <c r="G945" s="2">
        <f t="shared" si="57"/>
        <v>42303</v>
      </c>
      <c r="H945" s="1" t="s">
        <v>46</v>
      </c>
      <c r="I945" s="1" t="s">
        <v>282</v>
      </c>
      <c r="J945" s="1">
        <v>500</v>
      </c>
      <c r="K945" s="1">
        <v>430</v>
      </c>
      <c r="L945" s="3">
        <v>0.14000000000000001</v>
      </c>
      <c r="N945" t="s">
        <v>3327</v>
      </c>
      <c r="P945">
        <v>10</v>
      </c>
      <c r="Q945">
        <v>26</v>
      </c>
      <c r="R945">
        <v>2015</v>
      </c>
      <c r="S945" s="4">
        <f t="shared" si="58"/>
        <v>42303</v>
      </c>
      <c r="T945" s="4">
        <f t="shared" si="56"/>
        <v>42303</v>
      </c>
      <c r="U945" s="4">
        <v>42303</v>
      </c>
    </row>
    <row r="946" spans="1:21" x14ac:dyDescent="0.3">
      <c r="A946" t="s">
        <v>1472</v>
      </c>
      <c r="B946" s="1" t="s">
        <v>99</v>
      </c>
      <c r="C946" s="1" t="s">
        <v>100</v>
      </c>
      <c r="D946" s="1" t="s">
        <v>13</v>
      </c>
      <c r="E946" s="2" t="s">
        <v>3416</v>
      </c>
      <c r="F946" s="2" t="b">
        <f t="shared" si="59"/>
        <v>0</v>
      </c>
      <c r="G946" s="2">
        <f t="shared" si="57"/>
        <v>43235</v>
      </c>
      <c r="H946" s="1" t="s">
        <v>41</v>
      </c>
      <c r="I946" s="1" t="s">
        <v>911</v>
      </c>
      <c r="J946" s="1">
        <v>30</v>
      </c>
      <c r="K946" s="1">
        <v>28</v>
      </c>
      <c r="L946" s="3">
        <v>6.6699999999999995E-2</v>
      </c>
      <c r="N946" t="s">
        <v>3416</v>
      </c>
      <c r="P946">
        <v>5</v>
      </c>
      <c r="Q946">
        <v>15</v>
      </c>
      <c r="R946">
        <v>2018</v>
      </c>
      <c r="S946" s="4">
        <f t="shared" si="58"/>
        <v>43235</v>
      </c>
      <c r="T946" s="4">
        <f t="shared" si="56"/>
        <v>43235</v>
      </c>
      <c r="U946" s="4">
        <v>43235</v>
      </c>
    </row>
    <row r="947" spans="1:21" x14ac:dyDescent="0.3">
      <c r="A947" t="s">
        <v>1473</v>
      </c>
      <c r="B947" s="1" t="s">
        <v>134</v>
      </c>
      <c r="C947" s="1" t="s">
        <v>92</v>
      </c>
      <c r="D947" s="1" t="s">
        <v>35</v>
      </c>
      <c r="E947" s="2" t="s">
        <v>3417</v>
      </c>
      <c r="F947" s="2" t="b">
        <f t="shared" si="59"/>
        <v>0</v>
      </c>
      <c r="G947" s="2">
        <f t="shared" si="57"/>
        <v>42661</v>
      </c>
      <c r="H947" s="1" t="s">
        <v>36</v>
      </c>
      <c r="I947" s="1" t="s">
        <v>1019</v>
      </c>
      <c r="J947" s="1">
        <v>50</v>
      </c>
      <c r="K947" s="1">
        <v>45</v>
      </c>
      <c r="L947" s="3">
        <v>0.1</v>
      </c>
      <c r="N947" t="s">
        <v>3417</v>
      </c>
      <c r="P947">
        <v>10</v>
      </c>
      <c r="Q947">
        <v>18</v>
      </c>
      <c r="R947">
        <v>2016</v>
      </c>
      <c r="S947" s="4">
        <f t="shared" si="58"/>
        <v>42661</v>
      </c>
      <c r="T947" s="4">
        <f t="shared" si="56"/>
        <v>42661</v>
      </c>
      <c r="U947" s="4">
        <v>42661</v>
      </c>
    </row>
    <row r="948" spans="1:21" x14ac:dyDescent="0.3">
      <c r="A948" t="s">
        <v>1474</v>
      </c>
      <c r="B948" s="1" t="s">
        <v>134</v>
      </c>
      <c r="C948" s="1" t="s">
        <v>92</v>
      </c>
      <c r="D948" s="1" t="s">
        <v>35</v>
      </c>
      <c r="E948" s="2" t="s">
        <v>3418</v>
      </c>
      <c r="F948" s="2" t="b">
        <f t="shared" si="59"/>
        <v>0</v>
      </c>
      <c r="G948" s="2">
        <f t="shared" si="57"/>
        <v>41685</v>
      </c>
      <c r="H948" s="1" t="s">
        <v>104</v>
      </c>
      <c r="I948" s="1" t="s">
        <v>1475</v>
      </c>
      <c r="J948" s="1">
        <v>70</v>
      </c>
      <c r="K948" s="1">
        <v>57</v>
      </c>
      <c r="L948" s="3">
        <v>0.1857</v>
      </c>
      <c r="N948" t="s">
        <v>3418</v>
      </c>
      <c r="P948">
        <v>2</v>
      </c>
      <c r="Q948">
        <v>15</v>
      </c>
      <c r="R948">
        <v>2014</v>
      </c>
      <c r="S948" s="4">
        <f t="shared" si="58"/>
        <v>41685</v>
      </c>
      <c r="T948" s="4">
        <f t="shared" si="56"/>
        <v>41685</v>
      </c>
      <c r="U948" s="4">
        <v>41685</v>
      </c>
    </row>
    <row r="949" spans="1:21" x14ac:dyDescent="0.3">
      <c r="A949" t="s">
        <v>1476</v>
      </c>
      <c r="B949" s="1" t="s">
        <v>227</v>
      </c>
      <c r="C949" s="1" t="s">
        <v>228</v>
      </c>
      <c r="D949" s="1" t="s">
        <v>24</v>
      </c>
      <c r="E949" s="2" t="s">
        <v>3259</v>
      </c>
      <c r="F949" s="2" t="b">
        <f t="shared" si="59"/>
        <v>0</v>
      </c>
      <c r="G949" s="2">
        <f t="shared" si="57"/>
        <v>42544</v>
      </c>
      <c r="H949" s="1" t="s">
        <v>61</v>
      </c>
      <c r="I949" s="1" t="s">
        <v>870</v>
      </c>
      <c r="J949" s="1">
        <v>1000</v>
      </c>
      <c r="K949" s="1">
        <v>730</v>
      </c>
      <c r="L949" s="3">
        <v>0.27</v>
      </c>
      <c r="N949" t="s">
        <v>3259</v>
      </c>
      <c r="P949">
        <v>6</v>
      </c>
      <c r="Q949">
        <v>23</v>
      </c>
      <c r="R949">
        <v>2016</v>
      </c>
      <c r="S949" s="4">
        <f t="shared" si="58"/>
        <v>42544</v>
      </c>
      <c r="T949" s="4">
        <f t="shared" si="56"/>
        <v>42544</v>
      </c>
      <c r="U949" s="4">
        <v>42544</v>
      </c>
    </row>
    <row r="950" spans="1:21" x14ac:dyDescent="0.3">
      <c r="A950" t="s">
        <v>1477</v>
      </c>
      <c r="B950" s="1" t="s">
        <v>205</v>
      </c>
      <c r="C950" s="1" t="s">
        <v>206</v>
      </c>
      <c r="D950" s="1" t="s">
        <v>24</v>
      </c>
      <c r="E950" s="2" t="s">
        <v>3419</v>
      </c>
      <c r="F950" s="2" t="b">
        <f t="shared" si="59"/>
        <v>0</v>
      </c>
      <c r="G950" s="2">
        <f t="shared" si="57"/>
        <v>42907</v>
      </c>
      <c r="H950" s="1" t="s">
        <v>61</v>
      </c>
      <c r="I950" s="1" t="s">
        <v>1478</v>
      </c>
      <c r="J950" s="1">
        <v>1000</v>
      </c>
      <c r="K950" s="1">
        <v>710</v>
      </c>
      <c r="L950" s="3">
        <v>0.28999999999999998</v>
      </c>
      <c r="N950" t="s">
        <v>3419</v>
      </c>
      <c r="P950">
        <v>6</v>
      </c>
      <c r="Q950">
        <v>21</v>
      </c>
      <c r="R950">
        <v>2017</v>
      </c>
      <c r="S950" s="4">
        <f t="shared" si="58"/>
        <v>42907</v>
      </c>
      <c r="T950" s="4">
        <f t="shared" si="56"/>
        <v>42907</v>
      </c>
      <c r="U950" s="4">
        <v>42907</v>
      </c>
    </row>
    <row r="951" spans="1:21" x14ac:dyDescent="0.3">
      <c r="A951" t="s">
        <v>1479</v>
      </c>
      <c r="B951" s="1" t="s">
        <v>53</v>
      </c>
      <c r="C951" s="1" t="s">
        <v>54</v>
      </c>
      <c r="D951" s="1" t="s">
        <v>13</v>
      </c>
      <c r="E951" s="2">
        <v>42743</v>
      </c>
      <c r="F951" s="2" t="b">
        <f t="shared" si="59"/>
        <v>1</v>
      </c>
      <c r="G951" s="2">
        <f t="shared" si="57"/>
        <v>42743</v>
      </c>
      <c r="H951" s="1" t="s">
        <v>46</v>
      </c>
      <c r="I951" s="1" t="s">
        <v>404</v>
      </c>
      <c r="J951" s="1">
        <v>500</v>
      </c>
      <c r="K951" s="1">
        <v>500</v>
      </c>
      <c r="L951" s="3">
        <v>0</v>
      </c>
      <c r="N951" t="s">
        <v>3763</v>
      </c>
      <c r="S951" s="4" t="e">
        <f t="shared" si="58"/>
        <v>#NUM!</v>
      </c>
      <c r="T951" s="4" t="str">
        <f t="shared" si="56"/>
        <v/>
      </c>
      <c r="U951" s="4" t="s">
        <v>3763</v>
      </c>
    </row>
    <row r="952" spans="1:21" x14ac:dyDescent="0.3">
      <c r="A952" t="s">
        <v>1480</v>
      </c>
      <c r="B952" s="1" t="s">
        <v>205</v>
      </c>
      <c r="C952" s="1" t="s">
        <v>206</v>
      </c>
      <c r="D952" s="1" t="s">
        <v>24</v>
      </c>
      <c r="E952" s="2" t="s">
        <v>3420</v>
      </c>
      <c r="F952" s="2" t="b">
        <f t="shared" si="59"/>
        <v>0</v>
      </c>
      <c r="G952" s="2">
        <f t="shared" si="57"/>
        <v>42868</v>
      </c>
      <c r="H952" s="1" t="s">
        <v>25</v>
      </c>
      <c r="I952" s="1" t="s">
        <v>251</v>
      </c>
      <c r="J952" s="1">
        <v>700</v>
      </c>
      <c r="K952" s="1">
        <v>693</v>
      </c>
      <c r="L952" s="3">
        <v>0.01</v>
      </c>
      <c r="N952" t="s">
        <v>3420</v>
      </c>
      <c r="P952">
        <v>5</v>
      </c>
      <c r="Q952">
        <v>13</v>
      </c>
      <c r="R952">
        <v>2017</v>
      </c>
      <c r="S952" s="4">
        <f t="shared" si="58"/>
        <v>42868</v>
      </c>
      <c r="T952" s="4">
        <f t="shared" si="56"/>
        <v>42868</v>
      </c>
      <c r="U952" s="4">
        <v>42868</v>
      </c>
    </row>
    <row r="953" spans="1:21" x14ac:dyDescent="0.3">
      <c r="A953" t="s">
        <v>1481</v>
      </c>
      <c r="B953" s="1" t="s">
        <v>157</v>
      </c>
      <c r="C953" s="1" t="s">
        <v>108</v>
      </c>
      <c r="D953" s="1" t="s">
        <v>19</v>
      </c>
      <c r="E953" s="2" t="s">
        <v>3421</v>
      </c>
      <c r="F953" s="2" t="b">
        <f t="shared" si="59"/>
        <v>0</v>
      </c>
      <c r="G953" s="2">
        <f t="shared" si="57"/>
        <v>41988</v>
      </c>
      <c r="H953" s="1" t="s">
        <v>14</v>
      </c>
      <c r="I953" s="1" t="s">
        <v>304</v>
      </c>
      <c r="J953" s="1">
        <v>80</v>
      </c>
      <c r="K953" s="1">
        <v>56</v>
      </c>
      <c r="L953" s="3">
        <v>0.3</v>
      </c>
      <c r="N953" t="s">
        <v>3421</v>
      </c>
      <c r="P953">
        <v>12</v>
      </c>
      <c r="Q953">
        <v>15</v>
      </c>
      <c r="R953">
        <v>2014</v>
      </c>
      <c r="S953" s="4">
        <f t="shared" si="58"/>
        <v>41988</v>
      </c>
      <c r="T953" s="4">
        <f t="shared" si="56"/>
        <v>41988</v>
      </c>
      <c r="U953" s="4">
        <v>41988</v>
      </c>
    </row>
    <row r="954" spans="1:21" x14ac:dyDescent="0.3">
      <c r="A954" t="s">
        <v>1482</v>
      </c>
      <c r="B954" s="1" t="s">
        <v>124</v>
      </c>
      <c r="C954" s="1" t="s">
        <v>40</v>
      </c>
      <c r="D954" s="1" t="s">
        <v>35</v>
      </c>
      <c r="E954" s="2" t="s">
        <v>2997</v>
      </c>
      <c r="F954" s="2" t="b">
        <f t="shared" si="59"/>
        <v>0</v>
      </c>
      <c r="G954" s="2">
        <f t="shared" si="57"/>
        <v>41813</v>
      </c>
      <c r="H954" s="1" t="s">
        <v>41</v>
      </c>
      <c r="I954" s="1" t="s">
        <v>970</v>
      </c>
      <c r="J954" s="1">
        <v>30</v>
      </c>
      <c r="K954" s="1">
        <v>27</v>
      </c>
      <c r="L954" s="3">
        <v>0.1</v>
      </c>
      <c r="N954" t="s">
        <v>2997</v>
      </c>
      <c r="P954">
        <v>6</v>
      </c>
      <c r="Q954">
        <v>23</v>
      </c>
      <c r="R954">
        <v>2014</v>
      </c>
      <c r="S954" s="4">
        <f t="shared" si="58"/>
        <v>41813</v>
      </c>
      <c r="T954" s="4">
        <f t="shared" si="56"/>
        <v>41813</v>
      </c>
      <c r="U954" s="4">
        <v>41813</v>
      </c>
    </row>
    <row r="955" spans="1:21" x14ac:dyDescent="0.3">
      <c r="A955" t="s">
        <v>1483</v>
      </c>
      <c r="B955" s="1" t="s">
        <v>224</v>
      </c>
      <c r="C955" s="1" t="s">
        <v>50</v>
      </c>
      <c r="D955" s="1" t="s">
        <v>24</v>
      </c>
      <c r="E955" s="2" t="s">
        <v>3422</v>
      </c>
      <c r="F955" s="2" t="b">
        <f t="shared" si="59"/>
        <v>0</v>
      </c>
      <c r="G955" s="2">
        <f t="shared" si="57"/>
        <v>41807</v>
      </c>
      <c r="H955" s="1" t="s">
        <v>104</v>
      </c>
      <c r="I955" s="1" t="s">
        <v>413</v>
      </c>
      <c r="J955" s="1">
        <v>70</v>
      </c>
      <c r="K955" s="1">
        <v>67</v>
      </c>
      <c r="L955" s="3">
        <v>4.2900000000000001E-2</v>
      </c>
      <c r="N955" t="s">
        <v>3422</v>
      </c>
      <c r="P955">
        <v>6</v>
      </c>
      <c r="Q955">
        <v>17</v>
      </c>
      <c r="R955">
        <v>2014</v>
      </c>
      <c r="S955" s="4">
        <f t="shared" si="58"/>
        <v>41807</v>
      </c>
      <c r="T955" s="4">
        <f t="shared" si="56"/>
        <v>41807</v>
      </c>
      <c r="U955" s="4">
        <v>41807</v>
      </c>
    </row>
    <row r="956" spans="1:21" x14ac:dyDescent="0.3">
      <c r="A956" t="s">
        <v>1484</v>
      </c>
      <c r="B956" s="1" t="s">
        <v>157</v>
      </c>
      <c r="C956" s="1" t="s">
        <v>108</v>
      </c>
      <c r="D956" s="1" t="s">
        <v>19</v>
      </c>
      <c r="E956" s="2" t="s">
        <v>3030</v>
      </c>
      <c r="F956" s="2" t="b">
        <f t="shared" si="59"/>
        <v>0</v>
      </c>
      <c r="G956" s="2">
        <f t="shared" si="57"/>
        <v>42326</v>
      </c>
      <c r="H956" s="1" t="s">
        <v>122</v>
      </c>
      <c r="I956" s="1" t="s">
        <v>1286</v>
      </c>
      <c r="J956" s="1">
        <v>50</v>
      </c>
      <c r="K956" s="1">
        <v>33</v>
      </c>
      <c r="L956" s="3">
        <v>0.34</v>
      </c>
      <c r="N956" t="s">
        <v>3030</v>
      </c>
      <c r="P956">
        <v>11</v>
      </c>
      <c r="Q956">
        <v>18</v>
      </c>
      <c r="R956">
        <v>2015</v>
      </c>
      <c r="S956" s="4">
        <f t="shared" si="58"/>
        <v>42326</v>
      </c>
      <c r="T956" s="4">
        <f t="shared" si="56"/>
        <v>42326</v>
      </c>
      <c r="U956" s="4">
        <v>42326</v>
      </c>
    </row>
    <row r="957" spans="1:21" x14ac:dyDescent="0.3">
      <c r="A957" t="s">
        <v>1485</v>
      </c>
      <c r="B957" s="1" t="s">
        <v>270</v>
      </c>
      <c r="C957" s="1" t="s">
        <v>271</v>
      </c>
      <c r="D957" s="1" t="s">
        <v>35</v>
      </c>
      <c r="E957" s="2" t="s">
        <v>3314</v>
      </c>
      <c r="F957" s="2" t="b">
        <f t="shared" si="59"/>
        <v>0</v>
      </c>
      <c r="G957" s="2">
        <f t="shared" si="57"/>
        <v>41876</v>
      </c>
      <c r="H957" s="1" t="s">
        <v>14</v>
      </c>
      <c r="I957" s="1" t="s">
        <v>715</v>
      </c>
      <c r="J957" s="1">
        <v>80</v>
      </c>
      <c r="K957" s="1">
        <v>78</v>
      </c>
      <c r="L957" s="3">
        <v>2.5000000000000001E-2</v>
      </c>
      <c r="N957" t="s">
        <v>3314</v>
      </c>
      <c r="P957">
        <v>8</v>
      </c>
      <c r="Q957">
        <v>25</v>
      </c>
      <c r="R957">
        <v>2014</v>
      </c>
      <c r="S957" s="4">
        <f t="shared" si="58"/>
        <v>41876</v>
      </c>
      <c r="T957" s="4">
        <f t="shared" si="56"/>
        <v>41876</v>
      </c>
      <c r="U957" s="4">
        <v>41876</v>
      </c>
    </row>
    <row r="958" spans="1:21" x14ac:dyDescent="0.3">
      <c r="A958" t="s">
        <v>1486</v>
      </c>
      <c r="B958" s="1" t="s">
        <v>49</v>
      </c>
      <c r="C958" s="1" t="s">
        <v>50</v>
      </c>
      <c r="D958" s="1" t="s">
        <v>24</v>
      </c>
      <c r="E958" s="2" t="s">
        <v>3423</v>
      </c>
      <c r="F958" s="2" t="b">
        <f t="shared" si="59"/>
        <v>0</v>
      </c>
      <c r="G958" s="2">
        <f t="shared" si="57"/>
        <v>42051</v>
      </c>
      <c r="H958" s="1" t="s">
        <v>36</v>
      </c>
      <c r="I958" s="1" t="s">
        <v>51</v>
      </c>
      <c r="J958" s="1">
        <v>50</v>
      </c>
      <c r="K958" s="1">
        <v>49</v>
      </c>
      <c r="L958" s="3">
        <v>0.02</v>
      </c>
      <c r="N958" t="s">
        <v>3423</v>
      </c>
      <c r="P958">
        <v>2</v>
      </c>
      <c r="Q958">
        <v>16</v>
      </c>
      <c r="R958">
        <v>2015</v>
      </c>
      <c r="S958" s="4">
        <f t="shared" si="58"/>
        <v>42051</v>
      </c>
      <c r="T958" s="4">
        <f t="shared" si="56"/>
        <v>42051</v>
      </c>
      <c r="U958" s="4">
        <v>42051</v>
      </c>
    </row>
    <row r="959" spans="1:21" x14ac:dyDescent="0.3">
      <c r="A959" t="s">
        <v>1487</v>
      </c>
      <c r="B959" s="1" t="s">
        <v>170</v>
      </c>
      <c r="C959" s="1" t="s">
        <v>171</v>
      </c>
      <c r="D959" s="1" t="s">
        <v>13</v>
      </c>
      <c r="E959" s="2" t="s">
        <v>2970</v>
      </c>
      <c r="F959" s="2" t="b">
        <f t="shared" si="59"/>
        <v>0</v>
      </c>
      <c r="G959" s="2">
        <f t="shared" si="57"/>
        <v>43144</v>
      </c>
      <c r="H959" s="1" t="s">
        <v>14</v>
      </c>
      <c r="I959" s="1" t="s">
        <v>1100</v>
      </c>
      <c r="J959" s="1">
        <v>80</v>
      </c>
      <c r="K959" s="1">
        <v>69</v>
      </c>
      <c r="L959" s="3">
        <v>0.13750000000000001</v>
      </c>
      <c r="N959" t="s">
        <v>2970</v>
      </c>
      <c r="P959">
        <v>2</v>
      </c>
      <c r="Q959">
        <v>13</v>
      </c>
      <c r="R959">
        <v>2018</v>
      </c>
      <c r="S959" s="4">
        <f t="shared" si="58"/>
        <v>43144</v>
      </c>
      <c r="T959" s="4">
        <f t="shared" si="56"/>
        <v>43144</v>
      </c>
      <c r="U959" s="4">
        <v>43144</v>
      </c>
    </row>
    <row r="960" spans="1:21" x14ac:dyDescent="0.3">
      <c r="A960" t="s">
        <v>1488</v>
      </c>
      <c r="B960" s="1" t="s">
        <v>400</v>
      </c>
      <c r="C960" s="1" t="s">
        <v>401</v>
      </c>
      <c r="D960" s="1" t="s">
        <v>13</v>
      </c>
      <c r="E960" s="2">
        <v>42317</v>
      </c>
      <c r="F960" s="2" t="b">
        <f t="shared" si="59"/>
        <v>1</v>
      </c>
      <c r="G960" s="2">
        <f t="shared" si="57"/>
        <v>42317</v>
      </c>
      <c r="H960" s="1" t="s">
        <v>122</v>
      </c>
      <c r="I960" s="1" t="s">
        <v>711</v>
      </c>
      <c r="J960" s="1">
        <v>50</v>
      </c>
      <c r="K960" s="1">
        <v>32</v>
      </c>
      <c r="L960" s="3">
        <v>0.36</v>
      </c>
      <c r="N960" t="s">
        <v>3763</v>
      </c>
      <c r="S960" s="4" t="e">
        <f t="shared" si="58"/>
        <v>#NUM!</v>
      </c>
      <c r="T960" s="4" t="str">
        <f t="shared" si="56"/>
        <v/>
      </c>
      <c r="U960" s="4" t="s">
        <v>3763</v>
      </c>
    </row>
    <row r="961" spans="1:21" x14ac:dyDescent="0.3">
      <c r="A961" t="s">
        <v>1489</v>
      </c>
      <c r="B961" s="1" t="s">
        <v>49</v>
      </c>
      <c r="C961" s="1" t="s">
        <v>50</v>
      </c>
      <c r="D961" s="1" t="s">
        <v>24</v>
      </c>
      <c r="E961" s="2">
        <v>42614</v>
      </c>
      <c r="F961" s="2" t="b">
        <f t="shared" si="59"/>
        <v>1</v>
      </c>
      <c r="G961" s="2">
        <f t="shared" si="57"/>
        <v>42614</v>
      </c>
      <c r="H961" s="1" t="s">
        <v>61</v>
      </c>
      <c r="I961" s="1" t="s">
        <v>378</v>
      </c>
      <c r="J961" s="1">
        <v>1000</v>
      </c>
      <c r="K961" s="1">
        <v>580</v>
      </c>
      <c r="L961" s="3">
        <v>0.42</v>
      </c>
      <c r="N961" t="s">
        <v>3763</v>
      </c>
      <c r="S961" s="4" t="e">
        <f t="shared" si="58"/>
        <v>#NUM!</v>
      </c>
      <c r="T961" s="4" t="str">
        <f t="shared" si="56"/>
        <v/>
      </c>
      <c r="U961" s="4" t="s">
        <v>3763</v>
      </c>
    </row>
    <row r="962" spans="1:21" x14ac:dyDescent="0.3">
      <c r="A962" t="s">
        <v>1490</v>
      </c>
      <c r="B962" s="1" t="s">
        <v>241</v>
      </c>
      <c r="C962" s="1" t="s">
        <v>242</v>
      </c>
      <c r="D962" s="1" t="s">
        <v>13</v>
      </c>
      <c r="E962" s="2" t="s">
        <v>3180</v>
      </c>
      <c r="F962" s="2" t="b">
        <f t="shared" si="59"/>
        <v>0</v>
      </c>
      <c r="G962" s="2">
        <f t="shared" si="57"/>
        <v>42546</v>
      </c>
      <c r="H962" s="1" t="s">
        <v>25</v>
      </c>
      <c r="I962" s="1" t="s">
        <v>287</v>
      </c>
      <c r="J962" s="1">
        <v>700</v>
      </c>
      <c r="K962" s="1">
        <v>609</v>
      </c>
      <c r="L962" s="3">
        <v>0.13</v>
      </c>
      <c r="N962" t="s">
        <v>3180</v>
      </c>
      <c r="P962">
        <v>6</v>
      </c>
      <c r="Q962">
        <v>25</v>
      </c>
      <c r="R962">
        <v>2016</v>
      </c>
      <c r="S962" s="4">
        <f t="shared" si="58"/>
        <v>42546</v>
      </c>
      <c r="T962" s="4">
        <f t="shared" si="56"/>
        <v>42546</v>
      </c>
      <c r="U962" s="4">
        <v>42546</v>
      </c>
    </row>
    <row r="963" spans="1:21" x14ac:dyDescent="0.3">
      <c r="A963" t="s">
        <v>1491</v>
      </c>
      <c r="B963" s="1" t="s">
        <v>146</v>
      </c>
      <c r="C963" s="1" t="s">
        <v>147</v>
      </c>
      <c r="D963" s="1" t="s">
        <v>13</v>
      </c>
      <c r="E963" s="2">
        <v>43012</v>
      </c>
      <c r="F963" s="2" t="b">
        <f t="shared" si="59"/>
        <v>1</v>
      </c>
      <c r="G963" s="2">
        <f t="shared" si="57"/>
        <v>43012</v>
      </c>
      <c r="H963" s="1" t="s">
        <v>46</v>
      </c>
      <c r="I963" s="1" t="s">
        <v>148</v>
      </c>
      <c r="J963" s="1">
        <v>500</v>
      </c>
      <c r="K963" s="1">
        <v>480</v>
      </c>
      <c r="L963" s="3">
        <v>0.04</v>
      </c>
      <c r="N963" t="s">
        <v>3763</v>
      </c>
      <c r="S963" s="4" t="e">
        <f t="shared" si="58"/>
        <v>#NUM!</v>
      </c>
      <c r="T963" s="4" t="str">
        <f t="shared" ref="T963:T1026" si="60">IF(AND(P963&lt;&gt;"",Q963&lt;&gt;"",R963&lt;&gt;""),IFERROR(DATE(R963,P963,Q963),""),"")</f>
        <v/>
      </c>
      <c r="U963" s="4" t="s">
        <v>3763</v>
      </c>
    </row>
    <row r="964" spans="1:21" x14ac:dyDescent="0.3">
      <c r="A964" t="s">
        <v>1492</v>
      </c>
      <c r="B964" s="1" t="s">
        <v>81</v>
      </c>
      <c r="C964" s="1" t="s">
        <v>82</v>
      </c>
      <c r="D964" s="1" t="s">
        <v>13</v>
      </c>
      <c r="E964" s="2" t="s">
        <v>3424</v>
      </c>
      <c r="F964" s="2" t="b">
        <f t="shared" si="59"/>
        <v>0</v>
      </c>
      <c r="G964" s="2">
        <f t="shared" ref="G964:G1027" si="61">IF(F964=TRUE,E964,U964)</f>
        <v>42626</v>
      </c>
      <c r="H964" s="1" t="s">
        <v>122</v>
      </c>
      <c r="I964" s="1" t="s">
        <v>1493</v>
      </c>
      <c r="J964" s="1">
        <v>50</v>
      </c>
      <c r="K964" s="1">
        <v>45</v>
      </c>
      <c r="L964" s="3">
        <v>0.1</v>
      </c>
      <c r="N964" t="s">
        <v>3424</v>
      </c>
      <c r="P964">
        <v>9</v>
      </c>
      <c r="Q964">
        <v>13</v>
      </c>
      <c r="R964">
        <v>2016</v>
      </c>
      <c r="S964" s="4">
        <f t="shared" ref="S964:S1027" si="62">DATE(R964,P964,Q964)</f>
        <v>42626</v>
      </c>
      <c r="T964" s="4">
        <f t="shared" si="60"/>
        <v>42626</v>
      </c>
      <c r="U964" s="4">
        <v>42626</v>
      </c>
    </row>
    <row r="965" spans="1:21" x14ac:dyDescent="0.3">
      <c r="A965" t="s">
        <v>1494</v>
      </c>
      <c r="B965" s="1" t="s">
        <v>91</v>
      </c>
      <c r="C965" s="1" t="s">
        <v>92</v>
      </c>
      <c r="D965" s="1" t="s">
        <v>35</v>
      </c>
      <c r="E965" s="2">
        <v>42619</v>
      </c>
      <c r="F965" s="2" t="b">
        <f t="shared" ref="F965:F1028" si="63">ISNUMBER(E965)</f>
        <v>1</v>
      </c>
      <c r="G965" s="2">
        <f t="shared" si="61"/>
        <v>42619</v>
      </c>
      <c r="H965" s="1" t="s">
        <v>36</v>
      </c>
      <c r="I965" s="1" t="s">
        <v>285</v>
      </c>
      <c r="J965" s="1">
        <v>50</v>
      </c>
      <c r="K965" s="1">
        <v>37</v>
      </c>
      <c r="L965" s="3">
        <v>0.26</v>
      </c>
      <c r="N965" t="s">
        <v>3763</v>
      </c>
      <c r="S965" s="4" t="e">
        <f t="shared" si="62"/>
        <v>#NUM!</v>
      </c>
      <c r="T965" s="4" t="str">
        <f t="shared" si="60"/>
        <v/>
      </c>
      <c r="U965" s="4" t="s">
        <v>3763</v>
      </c>
    </row>
    <row r="966" spans="1:21" x14ac:dyDescent="0.3">
      <c r="A966" t="s">
        <v>1495</v>
      </c>
      <c r="B966" s="1" t="s">
        <v>114</v>
      </c>
      <c r="C966" s="1" t="s">
        <v>54</v>
      </c>
      <c r="D966" s="1" t="s">
        <v>13</v>
      </c>
      <c r="E966" s="2">
        <v>42649</v>
      </c>
      <c r="F966" s="2" t="b">
        <f t="shared" si="63"/>
        <v>1</v>
      </c>
      <c r="G966" s="2">
        <f t="shared" si="61"/>
        <v>42649</v>
      </c>
      <c r="H966" s="1" t="s">
        <v>46</v>
      </c>
      <c r="I966" s="1" t="s">
        <v>1496</v>
      </c>
      <c r="J966" s="1">
        <v>500</v>
      </c>
      <c r="K966" s="1">
        <v>455</v>
      </c>
      <c r="L966" s="3">
        <v>0.09</v>
      </c>
      <c r="N966" t="s">
        <v>3763</v>
      </c>
      <c r="S966" s="4" t="e">
        <f t="shared" si="62"/>
        <v>#NUM!</v>
      </c>
      <c r="T966" s="4" t="str">
        <f t="shared" si="60"/>
        <v/>
      </c>
      <c r="U966" s="4" t="s">
        <v>3763</v>
      </c>
    </row>
    <row r="967" spans="1:21" x14ac:dyDescent="0.3">
      <c r="A967" t="s">
        <v>1497</v>
      </c>
      <c r="B967" s="1" t="s">
        <v>59</v>
      </c>
      <c r="C967" s="1" t="s">
        <v>60</v>
      </c>
      <c r="D967" s="1" t="s">
        <v>13</v>
      </c>
      <c r="E967" s="2">
        <v>42438</v>
      </c>
      <c r="F967" s="2" t="b">
        <f t="shared" si="63"/>
        <v>1</v>
      </c>
      <c r="G967" s="2">
        <f t="shared" si="61"/>
        <v>42438</v>
      </c>
      <c r="H967" s="1" t="s">
        <v>122</v>
      </c>
      <c r="I967" s="1" t="s">
        <v>841</v>
      </c>
      <c r="J967" s="1">
        <v>50</v>
      </c>
      <c r="K967" s="1">
        <v>43</v>
      </c>
      <c r="L967" s="3">
        <v>0.14000000000000001</v>
      </c>
      <c r="N967" t="s">
        <v>3763</v>
      </c>
      <c r="S967" s="4" t="e">
        <f t="shared" si="62"/>
        <v>#NUM!</v>
      </c>
      <c r="T967" s="4" t="str">
        <f t="shared" si="60"/>
        <v/>
      </c>
      <c r="U967" s="4" t="s">
        <v>3763</v>
      </c>
    </row>
    <row r="968" spans="1:21" x14ac:dyDescent="0.3">
      <c r="A968" t="s">
        <v>1498</v>
      </c>
      <c r="B968" s="1" t="s">
        <v>53</v>
      </c>
      <c r="C968" s="1" t="s">
        <v>54</v>
      </c>
      <c r="D968" s="1" t="s">
        <v>13</v>
      </c>
      <c r="E968" s="2">
        <v>42896</v>
      </c>
      <c r="F968" s="2" t="b">
        <f t="shared" si="63"/>
        <v>1</v>
      </c>
      <c r="G968" s="2">
        <f t="shared" si="61"/>
        <v>42896</v>
      </c>
      <c r="H968" s="1" t="s">
        <v>61</v>
      </c>
      <c r="I968" s="1" t="s">
        <v>814</v>
      </c>
      <c r="J968" s="1">
        <v>1000</v>
      </c>
      <c r="K968" s="1">
        <v>780</v>
      </c>
      <c r="L968" s="3">
        <v>0.22</v>
      </c>
      <c r="N968" t="s">
        <v>3763</v>
      </c>
      <c r="S968" s="4" t="e">
        <f t="shared" si="62"/>
        <v>#NUM!</v>
      </c>
      <c r="T968" s="4" t="str">
        <f t="shared" si="60"/>
        <v/>
      </c>
      <c r="U968" s="4" t="s">
        <v>3763</v>
      </c>
    </row>
    <row r="969" spans="1:21" x14ac:dyDescent="0.3">
      <c r="A969" t="s">
        <v>1499</v>
      </c>
      <c r="B969" s="1" t="s">
        <v>264</v>
      </c>
      <c r="C969" s="1" t="s">
        <v>265</v>
      </c>
      <c r="D969" s="1" t="s">
        <v>13</v>
      </c>
      <c r="E969" s="2" t="s">
        <v>3425</v>
      </c>
      <c r="F969" s="2" t="b">
        <f t="shared" si="63"/>
        <v>0</v>
      </c>
      <c r="G969" s="2">
        <f t="shared" si="61"/>
        <v>42995</v>
      </c>
      <c r="H969" s="1" t="s">
        <v>61</v>
      </c>
      <c r="I969" s="1" t="s">
        <v>599</v>
      </c>
      <c r="J969" s="1">
        <v>1000</v>
      </c>
      <c r="K969" s="1">
        <v>670</v>
      </c>
      <c r="L969" s="3">
        <v>0.33</v>
      </c>
      <c r="N969" t="s">
        <v>3425</v>
      </c>
      <c r="P969">
        <v>9</v>
      </c>
      <c r="Q969">
        <v>17</v>
      </c>
      <c r="R969">
        <v>2017</v>
      </c>
      <c r="S969" s="4">
        <f t="shared" si="62"/>
        <v>42995</v>
      </c>
      <c r="T969" s="4">
        <f t="shared" si="60"/>
        <v>42995</v>
      </c>
      <c r="U969" s="4">
        <v>42995</v>
      </c>
    </row>
    <row r="970" spans="1:21" x14ac:dyDescent="0.3">
      <c r="A970" t="s">
        <v>1500</v>
      </c>
      <c r="B970" s="1" t="s">
        <v>17</v>
      </c>
      <c r="C970" s="1" t="s">
        <v>18</v>
      </c>
      <c r="D970" s="1" t="s">
        <v>19</v>
      </c>
      <c r="E970" s="2" t="s">
        <v>3426</v>
      </c>
      <c r="F970" s="2" t="b">
        <f t="shared" si="63"/>
        <v>0</v>
      </c>
      <c r="G970" s="2">
        <f t="shared" si="61"/>
        <v>42291</v>
      </c>
      <c r="H970" s="1" t="s">
        <v>14</v>
      </c>
      <c r="I970" s="1" t="s">
        <v>913</v>
      </c>
      <c r="J970" s="1">
        <v>80</v>
      </c>
      <c r="K970" s="1">
        <v>77</v>
      </c>
      <c r="L970" s="3">
        <v>3.7499999999999999E-2</v>
      </c>
      <c r="N970" t="s">
        <v>3426</v>
      </c>
      <c r="P970">
        <v>10</v>
      </c>
      <c r="Q970">
        <v>14</v>
      </c>
      <c r="R970">
        <v>2015</v>
      </c>
      <c r="S970" s="4">
        <f t="shared" si="62"/>
        <v>42291</v>
      </c>
      <c r="T970" s="4">
        <f t="shared" si="60"/>
        <v>42291</v>
      </c>
      <c r="U970" s="4">
        <v>42291</v>
      </c>
    </row>
    <row r="971" spans="1:21" x14ac:dyDescent="0.3">
      <c r="A971" t="s">
        <v>1501</v>
      </c>
      <c r="B971" s="1" t="s">
        <v>49</v>
      </c>
      <c r="C971" s="1" t="s">
        <v>50</v>
      </c>
      <c r="D971" s="1" t="s">
        <v>24</v>
      </c>
      <c r="E971" s="2">
        <v>42803</v>
      </c>
      <c r="F971" s="2" t="b">
        <f t="shared" si="63"/>
        <v>1</v>
      </c>
      <c r="G971" s="2">
        <f t="shared" si="61"/>
        <v>42803</v>
      </c>
      <c r="H971" s="1" t="s">
        <v>41</v>
      </c>
      <c r="I971" s="1" t="s">
        <v>1502</v>
      </c>
      <c r="J971" s="1">
        <v>30</v>
      </c>
      <c r="K971" s="1">
        <v>29</v>
      </c>
      <c r="L971" s="3">
        <v>3.3300000000000003E-2</v>
      </c>
      <c r="N971" t="s">
        <v>3763</v>
      </c>
      <c r="S971" s="4" t="e">
        <f t="shared" si="62"/>
        <v>#NUM!</v>
      </c>
      <c r="T971" s="4" t="str">
        <f t="shared" si="60"/>
        <v/>
      </c>
      <c r="U971" s="4" t="s">
        <v>3763</v>
      </c>
    </row>
    <row r="972" spans="1:21" x14ac:dyDescent="0.3">
      <c r="A972" t="s">
        <v>1503</v>
      </c>
      <c r="B972" s="1" t="s">
        <v>134</v>
      </c>
      <c r="C972" s="1" t="s">
        <v>92</v>
      </c>
      <c r="D972" s="1" t="s">
        <v>35</v>
      </c>
      <c r="E972" s="2" t="s">
        <v>3333</v>
      </c>
      <c r="F972" s="2" t="b">
        <f t="shared" si="63"/>
        <v>0</v>
      </c>
      <c r="G972" s="2">
        <f t="shared" si="61"/>
        <v>41745</v>
      </c>
      <c r="H972" s="1" t="s">
        <v>115</v>
      </c>
      <c r="I972" s="1" t="s">
        <v>1127</v>
      </c>
      <c r="J972" s="1">
        <v>250</v>
      </c>
      <c r="K972" s="1">
        <v>225</v>
      </c>
      <c r="L972" s="3">
        <v>0.1</v>
      </c>
      <c r="N972" t="s">
        <v>3333</v>
      </c>
      <c r="P972">
        <v>4</v>
      </c>
      <c r="Q972">
        <v>16</v>
      </c>
      <c r="R972">
        <v>2014</v>
      </c>
      <c r="S972" s="4">
        <f t="shared" si="62"/>
        <v>41745</v>
      </c>
      <c r="T972" s="4">
        <f t="shared" si="60"/>
        <v>41745</v>
      </c>
      <c r="U972" s="4">
        <v>41745</v>
      </c>
    </row>
    <row r="973" spans="1:21" x14ac:dyDescent="0.3">
      <c r="A973" t="s">
        <v>1504</v>
      </c>
      <c r="B973" s="1" t="s">
        <v>127</v>
      </c>
      <c r="C973" s="1" t="s">
        <v>128</v>
      </c>
      <c r="D973" s="1" t="s">
        <v>13</v>
      </c>
      <c r="E973" s="2">
        <v>43413</v>
      </c>
      <c r="F973" s="2" t="b">
        <f t="shared" si="63"/>
        <v>1</v>
      </c>
      <c r="G973" s="2">
        <f t="shared" si="61"/>
        <v>43413</v>
      </c>
      <c r="H973" s="1" t="s">
        <v>115</v>
      </c>
      <c r="I973" s="1" t="s">
        <v>233</v>
      </c>
      <c r="J973" s="1">
        <v>250</v>
      </c>
      <c r="K973" s="1">
        <v>228</v>
      </c>
      <c r="L973" s="3">
        <v>8.7999999999999995E-2</v>
      </c>
      <c r="N973" t="s">
        <v>3763</v>
      </c>
      <c r="S973" s="4" t="e">
        <f t="shared" si="62"/>
        <v>#NUM!</v>
      </c>
      <c r="T973" s="4" t="str">
        <f t="shared" si="60"/>
        <v/>
      </c>
      <c r="U973" s="4" t="s">
        <v>3763</v>
      </c>
    </row>
    <row r="974" spans="1:21" x14ac:dyDescent="0.3">
      <c r="A974" t="s">
        <v>1505</v>
      </c>
      <c r="B974" s="1" t="s">
        <v>255</v>
      </c>
      <c r="C974" s="1" t="s">
        <v>256</v>
      </c>
      <c r="D974" s="1" t="s">
        <v>13</v>
      </c>
      <c r="E974" s="2">
        <v>41736</v>
      </c>
      <c r="F974" s="2" t="b">
        <f t="shared" si="63"/>
        <v>1</v>
      </c>
      <c r="G974" s="2">
        <f t="shared" si="61"/>
        <v>41736</v>
      </c>
      <c r="H974" s="1" t="s">
        <v>115</v>
      </c>
      <c r="I974" s="1" t="s">
        <v>805</v>
      </c>
      <c r="J974" s="1">
        <v>250</v>
      </c>
      <c r="K974" s="1">
        <v>225</v>
      </c>
      <c r="L974" s="3">
        <v>0.1</v>
      </c>
      <c r="N974" t="s">
        <v>3763</v>
      </c>
      <c r="S974" s="4" t="e">
        <f t="shared" si="62"/>
        <v>#NUM!</v>
      </c>
      <c r="T974" s="4" t="str">
        <f t="shared" si="60"/>
        <v/>
      </c>
      <c r="U974" s="4" t="s">
        <v>3763</v>
      </c>
    </row>
    <row r="975" spans="1:21" x14ac:dyDescent="0.3">
      <c r="A975" t="s">
        <v>1506</v>
      </c>
      <c r="B975" s="1" t="s">
        <v>255</v>
      </c>
      <c r="C975" s="1" t="s">
        <v>256</v>
      </c>
      <c r="D975" s="1" t="s">
        <v>13</v>
      </c>
      <c r="E975" s="2" t="s">
        <v>2992</v>
      </c>
      <c r="F975" s="2" t="b">
        <f t="shared" si="63"/>
        <v>0</v>
      </c>
      <c r="G975" s="2">
        <f t="shared" si="61"/>
        <v>43031</v>
      </c>
      <c r="H975" s="1" t="s">
        <v>41</v>
      </c>
      <c r="I975" s="1" t="s">
        <v>1266</v>
      </c>
      <c r="J975" s="1">
        <v>30</v>
      </c>
      <c r="K975" s="1">
        <v>28</v>
      </c>
      <c r="L975" s="3">
        <v>6.6699999999999995E-2</v>
      </c>
      <c r="N975" t="s">
        <v>2992</v>
      </c>
      <c r="P975">
        <v>10</v>
      </c>
      <c r="Q975">
        <v>23</v>
      </c>
      <c r="R975">
        <v>2017</v>
      </c>
      <c r="S975" s="4">
        <f t="shared" si="62"/>
        <v>43031</v>
      </c>
      <c r="T975" s="4">
        <f t="shared" si="60"/>
        <v>43031</v>
      </c>
      <c r="U975" s="4">
        <v>43031</v>
      </c>
    </row>
    <row r="976" spans="1:21" x14ac:dyDescent="0.3">
      <c r="A976" t="s">
        <v>1507</v>
      </c>
      <c r="B976" s="1" t="s">
        <v>17</v>
      </c>
      <c r="C976" s="1" t="s">
        <v>18</v>
      </c>
      <c r="D976" s="1" t="s">
        <v>19</v>
      </c>
      <c r="E976" s="2">
        <v>43354</v>
      </c>
      <c r="F976" s="2" t="b">
        <f t="shared" si="63"/>
        <v>1</v>
      </c>
      <c r="G976" s="2">
        <f t="shared" si="61"/>
        <v>43354</v>
      </c>
      <c r="H976" s="1" t="s">
        <v>14</v>
      </c>
      <c r="I976" s="1" t="s">
        <v>543</v>
      </c>
      <c r="J976" s="1">
        <v>80</v>
      </c>
      <c r="K976" s="1">
        <v>72</v>
      </c>
      <c r="L976" s="3">
        <v>0.1</v>
      </c>
      <c r="N976" t="s">
        <v>3763</v>
      </c>
      <c r="S976" s="4" t="e">
        <f t="shared" si="62"/>
        <v>#NUM!</v>
      </c>
      <c r="T976" s="4" t="str">
        <f t="shared" si="60"/>
        <v/>
      </c>
      <c r="U976" s="4" t="s">
        <v>3763</v>
      </c>
    </row>
    <row r="977" spans="1:21" x14ac:dyDescent="0.3">
      <c r="A977" t="s">
        <v>1508</v>
      </c>
      <c r="B977" s="1" t="s">
        <v>221</v>
      </c>
      <c r="C977" s="1" t="s">
        <v>40</v>
      </c>
      <c r="D977" s="1" t="s">
        <v>35</v>
      </c>
      <c r="E977" s="2">
        <v>41646</v>
      </c>
      <c r="F977" s="2" t="b">
        <f t="shared" si="63"/>
        <v>1</v>
      </c>
      <c r="G977" s="2">
        <f t="shared" si="61"/>
        <v>41646</v>
      </c>
      <c r="H977" s="1" t="s">
        <v>104</v>
      </c>
      <c r="I977" s="1" t="s">
        <v>1059</v>
      </c>
      <c r="J977" s="1">
        <v>70</v>
      </c>
      <c r="K977" s="1">
        <v>62</v>
      </c>
      <c r="L977" s="3">
        <v>0.1143</v>
      </c>
      <c r="N977" t="s">
        <v>3763</v>
      </c>
      <c r="S977" s="4" t="e">
        <f t="shared" si="62"/>
        <v>#NUM!</v>
      </c>
      <c r="T977" s="4" t="str">
        <f t="shared" si="60"/>
        <v/>
      </c>
      <c r="U977" s="4" t="s">
        <v>3763</v>
      </c>
    </row>
    <row r="978" spans="1:21" x14ac:dyDescent="0.3">
      <c r="A978" t="s">
        <v>1509</v>
      </c>
      <c r="B978" s="1" t="s">
        <v>95</v>
      </c>
      <c r="C978" s="1" t="s">
        <v>96</v>
      </c>
      <c r="D978" s="1" t="s">
        <v>13</v>
      </c>
      <c r="E978" s="2">
        <v>43252</v>
      </c>
      <c r="F978" s="2" t="b">
        <f t="shared" si="63"/>
        <v>1</v>
      </c>
      <c r="G978" s="2">
        <f t="shared" si="61"/>
        <v>43252</v>
      </c>
      <c r="H978" s="1" t="s">
        <v>122</v>
      </c>
      <c r="I978" s="1" t="s">
        <v>645</v>
      </c>
      <c r="J978" s="1">
        <v>50</v>
      </c>
      <c r="K978" s="1">
        <v>31</v>
      </c>
      <c r="L978" s="3">
        <v>0.38</v>
      </c>
      <c r="N978" t="s">
        <v>3763</v>
      </c>
      <c r="S978" s="4" t="e">
        <f t="shared" si="62"/>
        <v>#NUM!</v>
      </c>
      <c r="T978" s="4" t="str">
        <f t="shared" si="60"/>
        <v/>
      </c>
      <c r="U978" s="4" t="s">
        <v>3763</v>
      </c>
    </row>
    <row r="979" spans="1:21" x14ac:dyDescent="0.3">
      <c r="A979" t="s">
        <v>1510</v>
      </c>
      <c r="B979" s="1" t="s">
        <v>170</v>
      </c>
      <c r="C979" s="1" t="s">
        <v>171</v>
      </c>
      <c r="D979" s="1" t="s">
        <v>13</v>
      </c>
      <c r="E979" s="2">
        <v>42100</v>
      </c>
      <c r="F979" s="2" t="b">
        <f t="shared" si="63"/>
        <v>1</v>
      </c>
      <c r="G979" s="2">
        <f t="shared" si="61"/>
        <v>42100</v>
      </c>
      <c r="H979" s="1" t="s">
        <v>115</v>
      </c>
      <c r="I979" s="1" t="s">
        <v>274</v>
      </c>
      <c r="J979" s="1">
        <v>250</v>
      </c>
      <c r="K979" s="1">
        <v>190</v>
      </c>
      <c r="L979" s="3">
        <v>0.24</v>
      </c>
      <c r="N979" t="s">
        <v>3763</v>
      </c>
      <c r="S979" s="4" t="e">
        <f t="shared" si="62"/>
        <v>#NUM!</v>
      </c>
      <c r="T979" s="4" t="str">
        <f t="shared" si="60"/>
        <v/>
      </c>
      <c r="U979" s="4" t="s">
        <v>3763</v>
      </c>
    </row>
    <row r="980" spans="1:21" x14ac:dyDescent="0.3">
      <c r="A980" t="s">
        <v>1511</v>
      </c>
      <c r="B980" s="1" t="s">
        <v>77</v>
      </c>
      <c r="C980" s="1" t="s">
        <v>78</v>
      </c>
      <c r="D980" s="1" t="s">
        <v>35</v>
      </c>
      <c r="E980" s="2" t="s">
        <v>3427</v>
      </c>
      <c r="F980" s="2" t="b">
        <f t="shared" si="63"/>
        <v>0</v>
      </c>
      <c r="G980" s="2">
        <f t="shared" si="61"/>
        <v>42477</v>
      </c>
      <c r="H980" s="1" t="s">
        <v>14</v>
      </c>
      <c r="I980" s="1" t="s">
        <v>162</v>
      </c>
      <c r="J980" s="1">
        <v>80</v>
      </c>
      <c r="K980" s="1">
        <v>78</v>
      </c>
      <c r="L980" s="3">
        <v>2.5000000000000001E-2</v>
      </c>
      <c r="N980" t="s">
        <v>3427</v>
      </c>
      <c r="P980">
        <v>4</v>
      </c>
      <c r="Q980">
        <v>17</v>
      </c>
      <c r="R980">
        <v>2016</v>
      </c>
      <c r="S980" s="4">
        <f t="shared" si="62"/>
        <v>42477</v>
      </c>
      <c r="T980" s="4">
        <f t="shared" si="60"/>
        <v>42477</v>
      </c>
      <c r="U980" s="4">
        <v>42477</v>
      </c>
    </row>
    <row r="981" spans="1:21" x14ac:dyDescent="0.3">
      <c r="A981" t="s">
        <v>1512</v>
      </c>
      <c r="B981" s="1" t="s">
        <v>91</v>
      </c>
      <c r="C981" s="1" t="s">
        <v>92</v>
      </c>
      <c r="D981" s="1" t="s">
        <v>35</v>
      </c>
      <c r="E981" s="2" t="s">
        <v>3428</v>
      </c>
      <c r="F981" s="2" t="b">
        <f t="shared" si="63"/>
        <v>0</v>
      </c>
      <c r="G981" s="2">
        <f t="shared" si="61"/>
        <v>41697</v>
      </c>
      <c r="H981" s="1" t="s">
        <v>25</v>
      </c>
      <c r="I981" s="1" t="s">
        <v>1513</v>
      </c>
      <c r="J981" s="1">
        <v>700</v>
      </c>
      <c r="K981" s="1">
        <v>651</v>
      </c>
      <c r="L981" s="3">
        <v>7.0000000000000007E-2</v>
      </c>
      <c r="N981" t="s">
        <v>3428</v>
      </c>
      <c r="P981">
        <v>2</v>
      </c>
      <c r="Q981">
        <v>27</v>
      </c>
      <c r="R981">
        <v>2014</v>
      </c>
      <c r="S981" s="4">
        <f t="shared" si="62"/>
        <v>41697</v>
      </c>
      <c r="T981" s="4">
        <f t="shared" si="60"/>
        <v>41697</v>
      </c>
      <c r="U981" s="4">
        <v>41697</v>
      </c>
    </row>
    <row r="982" spans="1:21" x14ac:dyDescent="0.3">
      <c r="A982" t="s">
        <v>1514</v>
      </c>
      <c r="B982" s="1" t="s">
        <v>255</v>
      </c>
      <c r="C982" s="1" t="s">
        <v>256</v>
      </c>
      <c r="D982" s="1" t="s">
        <v>13</v>
      </c>
      <c r="E982" s="2" t="s">
        <v>3429</v>
      </c>
      <c r="F982" s="2" t="b">
        <f t="shared" si="63"/>
        <v>0</v>
      </c>
      <c r="G982" s="2">
        <f t="shared" si="61"/>
        <v>43127</v>
      </c>
      <c r="H982" s="1" t="s">
        <v>14</v>
      </c>
      <c r="I982" s="1" t="s">
        <v>800</v>
      </c>
      <c r="J982" s="1">
        <v>80</v>
      </c>
      <c r="K982" s="1">
        <v>70</v>
      </c>
      <c r="L982" s="3">
        <v>0.125</v>
      </c>
      <c r="N982" t="s">
        <v>3429</v>
      </c>
      <c r="P982">
        <v>1</v>
      </c>
      <c r="Q982">
        <v>27</v>
      </c>
      <c r="R982">
        <v>2018</v>
      </c>
      <c r="S982" s="4">
        <f t="shared" si="62"/>
        <v>43127</v>
      </c>
      <c r="T982" s="4">
        <f t="shared" si="60"/>
        <v>43127</v>
      </c>
      <c r="U982" s="4">
        <v>43127</v>
      </c>
    </row>
    <row r="983" spans="1:21" x14ac:dyDescent="0.3">
      <c r="A983" t="s">
        <v>1515</v>
      </c>
      <c r="B983" s="1" t="s">
        <v>182</v>
      </c>
      <c r="C983" s="1" t="s">
        <v>108</v>
      </c>
      <c r="D983" s="1" t="s">
        <v>19</v>
      </c>
      <c r="E983" s="2" t="s">
        <v>3131</v>
      </c>
      <c r="F983" s="2" t="b">
        <f t="shared" si="63"/>
        <v>0</v>
      </c>
      <c r="G983" s="2">
        <f t="shared" si="61"/>
        <v>41902</v>
      </c>
      <c r="H983" s="1" t="s">
        <v>104</v>
      </c>
      <c r="I983" s="1" t="s">
        <v>1295</v>
      </c>
      <c r="J983" s="1">
        <v>70</v>
      </c>
      <c r="K983" s="1">
        <v>64</v>
      </c>
      <c r="L983" s="3">
        <v>8.5699999999999998E-2</v>
      </c>
      <c r="N983" t="s">
        <v>3131</v>
      </c>
      <c r="P983">
        <v>9</v>
      </c>
      <c r="Q983">
        <v>20</v>
      </c>
      <c r="R983">
        <v>2014</v>
      </c>
      <c r="S983" s="4">
        <f t="shared" si="62"/>
        <v>41902</v>
      </c>
      <c r="T983" s="4">
        <f t="shared" si="60"/>
        <v>41902</v>
      </c>
      <c r="U983" s="4">
        <v>41902</v>
      </c>
    </row>
    <row r="984" spans="1:21" x14ac:dyDescent="0.3">
      <c r="A984" t="s">
        <v>1516</v>
      </c>
      <c r="B984" s="1" t="s">
        <v>85</v>
      </c>
      <c r="C984" s="1" t="s">
        <v>86</v>
      </c>
      <c r="D984" s="1" t="s">
        <v>13</v>
      </c>
      <c r="E984" s="2" t="s">
        <v>3430</v>
      </c>
      <c r="F984" s="2" t="b">
        <f t="shared" si="63"/>
        <v>0</v>
      </c>
      <c r="G984" s="2">
        <f t="shared" si="61"/>
        <v>43272</v>
      </c>
      <c r="H984" s="1" t="s">
        <v>41</v>
      </c>
      <c r="I984" s="1" t="s">
        <v>1249</v>
      </c>
      <c r="J984" s="1">
        <v>30</v>
      </c>
      <c r="K984" s="1">
        <v>30</v>
      </c>
      <c r="L984" s="3">
        <v>0</v>
      </c>
      <c r="N984" t="s">
        <v>3430</v>
      </c>
      <c r="P984">
        <v>6</v>
      </c>
      <c r="Q984">
        <v>21</v>
      </c>
      <c r="R984">
        <v>2018</v>
      </c>
      <c r="S984" s="4">
        <f t="shared" si="62"/>
        <v>43272</v>
      </c>
      <c r="T984" s="4">
        <f t="shared" si="60"/>
        <v>43272</v>
      </c>
      <c r="U984" s="4">
        <v>43272</v>
      </c>
    </row>
    <row r="985" spans="1:21" x14ac:dyDescent="0.3">
      <c r="A985" t="s">
        <v>1517</v>
      </c>
      <c r="B985" s="1" t="s">
        <v>103</v>
      </c>
      <c r="C985" s="1" t="s">
        <v>71</v>
      </c>
      <c r="D985" s="1" t="s">
        <v>35</v>
      </c>
      <c r="E985" s="2" t="s">
        <v>3393</v>
      </c>
      <c r="F985" s="2" t="b">
        <f t="shared" si="63"/>
        <v>0</v>
      </c>
      <c r="G985" s="2">
        <f t="shared" si="61"/>
        <v>41967</v>
      </c>
      <c r="H985" s="1" t="s">
        <v>72</v>
      </c>
      <c r="I985" s="1" t="s">
        <v>727</v>
      </c>
      <c r="J985" s="1">
        <v>500</v>
      </c>
      <c r="K985" s="1">
        <v>490</v>
      </c>
      <c r="L985" s="3">
        <v>0.02</v>
      </c>
      <c r="N985" t="s">
        <v>3393</v>
      </c>
      <c r="P985">
        <v>11</v>
      </c>
      <c r="Q985">
        <v>24</v>
      </c>
      <c r="R985">
        <v>2014</v>
      </c>
      <c r="S985" s="4">
        <f t="shared" si="62"/>
        <v>41967</v>
      </c>
      <c r="T985" s="4">
        <f t="shared" si="60"/>
        <v>41967</v>
      </c>
      <c r="U985" s="4">
        <v>41967</v>
      </c>
    </row>
    <row r="986" spans="1:21" x14ac:dyDescent="0.3">
      <c r="A986" t="s">
        <v>1518</v>
      </c>
      <c r="B986" s="1" t="s">
        <v>146</v>
      </c>
      <c r="C986" s="1" t="s">
        <v>147</v>
      </c>
      <c r="D986" s="1" t="s">
        <v>13</v>
      </c>
      <c r="E986" s="2">
        <v>43018</v>
      </c>
      <c r="F986" s="2" t="b">
        <f t="shared" si="63"/>
        <v>1</v>
      </c>
      <c r="G986" s="2">
        <f t="shared" si="61"/>
        <v>43018</v>
      </c>
      <c r="H986" s="1" t="s">
        <v>30</v>
      </c>
      <c r="I986" s="1" t="s">
        <v>1235</v>
      </c>
      <c r="J986" s="1">
        <v>150</v>
      </c>
      <c r="K986" s="1">
        <v>138</v>
      </c>
      <c r="L986" s="3">
        <v>0.08</v>
      </c>
      <c r="N986" t="s">
        <v>3763</v>
      </c>
      <c r="S986" s="4" t="e">
        <f t="shared" si="62"/>
        <v>#NUM!</v>
      </c>
      <c r="T986" s="4" t="str">
        <f t="shared" si="60"/>
        <v/>
      </c>
      <c r="U986" s="4" t="s">
        <v>3763</v>
      </c>
    </row>
    <row r="987" spans="1:21" x14ac:dyDescent="0.3">
      <c r="A987" t="s">
        <v>1519</v>
      </c>
      <c r="B987" s="1" t="s">
        <v>205</v>
      </c>
      <c r="C987" s="1" t="s">
        <v>206</v>
      </c>
      <c r="D987" s="1" t="s">
        <v>24</v>
      </c>
      <c r="E987" s="2">
        <v>42835</v>
      </c>
      <c r="F987" s="2" t="b">
        <f t="shared" si="63"/>
        <v>1</v>
      </c>
      <c r="G987" s="2">
        <f t="shared" si="61"/>
        <v>42835</v>
      </c>
      <c r="H987" s="1" t="s">
        <v>115</v>
      </c>
      <c r="I987" s="1" t="s">
        <v>759</v>
      </c>
      <c r="J987" s="1">
        <v>250</v>
      </c>
      <c r="K987" s="1">
        <v>235</v>
      </c>
      <c r="L987" s="3">
        <v>0.06</v>
      </c>
      <c r="N987" t="s">
        <v>3763</v>
      </c>
      <c r="S987" s="4" t="e">
        <f t="shared" si="62"/>
        <v>#NUM!</v>
      </c>
      <c r="T987" s="4" t="str">
        <f t="shared" si="60"/>
        <v/>
      </c>
      <c r="U987" s="4" t="s">
        <v>3763</v>
      </c>
    </row>
    <row r="988" spans="1:21" x14ac:dyDescent="0.3">
      <c r="A988" t="s">
        <v>1520</v>
      </c>
      <c r="B988" s="1" t="s">
        <v>39</v>
      </c>
      <c r="C988" s="1" t="s">
        <v>40</v>
      </c>
      <c r="D988" s="1" t="s">
        <v>35</v>
      </c>
      <c r="E988" s="2" t="s">
        <v>3431</v>
      </c>
      <c r="F988" s="2" t="b">
        <f t="shared" si="63"/>
        <v>0</v>
      </c>
      <c r="G988" s="2">
        <f t="shared" si="61"/>
        <v>42112</v>
      </c>
      <c r="H988" s="1" t="s">
        <v>72</v>
      </c>
      <c r="I988" s="1" t="s">
        <v>1290</v>
      </c>
      <c r="J988" s="1">
        <v>500</v>
      </c>
      <c r="K988" s="1">
        <v>500</v>
      </c>
      <c r="L988" s="3">
        <v>0</v>
      </c>
      <c r="N988" t="s">
        <v>3431</v>
      </c>
      <c r="P988">
        <v>4</v>
      </c>
      <c r="Q988">
        <v>18</v>
      </c>
      <c r="R988">
        <v>2015</v>
      </c>
      <c r="S988" s="4">
        <f t="shared" si="62"/>
        <v>42112</v>
      </c>
      <c r="T988" s="4">
        <f t="shared" si="60"/>
        <v>42112</v>
      </c>
      <c r="U988" s="4">
        <v>42112</v>
      </c>
    </row>
    <row r="989" spans="1:21" x14ac:dyDescent="0.3">
      <c r="A989" t="s">
        <v>1521</v>
      </c>
      <c r="B989" s="1" t="s">
        <v>81</v>
      </c>
      <c r="C989" s="1" t="s">
        <v>82</v>
      </c>
      <c r="D989" s="1" t="s">
        <v>13</v>
      </c>
      <c r="E989" s="2" t="s">
        <v>3432</v>
      </c>
      <c r="F989" s="2" t="b">
        <f t="shared" si="63"/>
        <v>0</v>
      </c>
      <c r="G989" s="2">
        <f t="shared" si="61"/>
        <v>42764</v>
      </c>
      <c r="H989" s="1" t="s">
        <v>55</v>
      </c>
      <c r="I989" s="1" t="s">
        <v>1232</v>
      </c>
      <c r="J989" s="1">
        <v>800</v>
      </c>
      <c r="K989" s="1">
        <v>616</v>
      </c>
      <c r="L989" s="3">
        <v>0.23</v>
      </c>
      <c r="N989" t="s">
        <v>3432</v>
      </c>
      <c r="P989">
        <v>1</v>
      </c>
      <c r="Q989">
        <v>29</v>
      </c>
      <c r="R989">
        <v>2017</v>
      </c>
      <c r="S989" s="4">
        <f t="shared" si="62"/>
        <v>42764</v>
      </c>
      <c r="T989" s="4">
        <f t="shared" si="60"/>
        <v>42764</v>
      </c>
      <c r="U989" s="4">
        <v>42764</v>
      </c>
    </row>
    <row r="990" spans="1:21" x14ac:dyDescent="0.3">
      <c r="A990" t="s">
        <v>1522</v>
      </c>
      <c r="B990" s="1" t="s">
        <v>400</v>
      </c>
      <c r="C990" s="1" t="s">
        <v>401</v>
      </c>
      <c r="D990" s="1" t="s">
        <v>13</v>
      </c>
      <c r="E990" s="2" t="s">
        <v>3164</v>
      </c>
      <c r="F990" s="2" t="b">
        <f t="shared" si="63"/>
        <v>0</v>
      </c>
      <c r="G990" s="2">
        <f t="shared" si="61"/>
        <v>42671</v>
      </c>
      <c r="H990" s="1" t="s">
        <v>55</v>
      </c>
      <c r="I990" s="1" t="s">
        <v>443</v>
      </c>
      <c r="J990" s="1">
        <v>800</v>
      </c>
      <c r="K990" s="1">
        <v>664</v>
      </c>
      <c r="L990" s="3">
        <v>0.17</v>
      </c>
      <c r="N990" t="s">
        <v>3164</v>
      </c>
      <c r="P990">
        <v>10</v>
      </c>
      <c r="Q990">
        <v>28</v>
      </c>
      <c r="R990">
        <v>2016</v>
      </c>
      <c r="S990" s="4">
        <f t="shared" si="62"/>
        <v>42671</v>
      </c>
      <c r="T990" s="4">
        <f t="shared" si="60"/>
        <v>42671</v>
      </c>
      <c r="U990" s="4">
        <v>42671</v>
      </c>
    </row>
    <row r="991" spans="1:21" x14ac:dyDescent="0.3">
      <c r="A991" t="s">
        <v>1523</v>
      </c>
      <c r="B991" s="1" t="s">
        <v>111</v>
      </c>
      <c r="C991" s="1" t="s">
        <v>82</v>
      </c>
      <c r="D991" s="1" t="s">
        <v>13</v>
      </c>
      <c r="E991" s="2" t="s">
        <v>3433</v>
      </c>
      <c r="F991" s="2" t="b">
        <f t="shared" si="63"/>
        <v>0</v>
      </c>
      <c r="G991" s="2">
        <f t="shared" si="61"/>
        <v>41726</v>
      </c>
      <c r="H991" s="1" t="s">
        <v>72</v>
      </c>
      <c r="I991" s="1" t="s">
        <v>295</v>
      </c>
      <c r="J991" s="1">
        <v>500</v>
      </c>
      <c r="K991" s="1">
        <v>500</v>
      </c>
      <c r="L991" s="3">
        <v>0</v>
      </c>
      <c r="N991" t="s">
        <v>3433</v>
      </c>
      <c r="P991">
        <v>3</v>
      </c>
      <c r="Q991">
        <v>28</v>
      </c>
      <c r="R991">
        <v>2014</v>
      </c>
      <c r="S991" s="4">
        <f t="shared" si="62"/>
        <v>41726</v>
      </c>
      <c r="T991" s="4">
        <f t="shared" si="60"/>
        <v>41726</v>
      </c>
      <c r="U991" s="4">
        <v>41726</v>
      </c>
    </row>
    <row r="992" spans="1:21" x14ac:dyDescent="0.3">
      <c r="A992" t="s">
        <v>1524</v>
      </c>
      <c r="B992" s="1" t="s">
        <v>400</v>
      </c>
      <c r="C992" s="1" t="s">
        <v>401</v>
      </c>
      <c r="D992" s="1" t="s">
        <v>13</v>
      </c>
      <c r="E992" s="2">
        <v>43049</v>
      </c>
      <c r="F992" s="2" t="b">
        <f t="shared" si="63"/>
        <v>1</v>
      </c>
      <c r="G992" s="2">
        <f t="shared" si="61"/>
        <v>43049</v>
      </c>
      <c r="H992" s="1" t="s">
        <v>36</v>
      </c>
      <c r="I992" s="1" t="s">
        <v>856</v>
      </c>
      <c r="J992" s="1">
        <v>50</v>
      </c>
      <c r="K992" s="1">
        <v>46</v>
      </c>
      <c r="L992" s="3">
        <v>0.08</v>
      </c>
      <c r="N992" t="s">
        <v>3763</v>
      </c>
      <c r="S992" s="4" t="e">
        <f t="shared" si="62"/>
        <v>#NUM!</v>
      </c>
      <c r="T992" s="4" t="str">
        <f t="shared" si="60"/>
        <v/>
      </c>
      <c r="U992" s="4" t="s">
        <v>3763</v>
      </c>
    </row>
    <row r="993" spans="1:21" x14ac:dyDescent="0.3">
      <c r="A993" t="s">
        <v>1525</v>
      </c>
      <c r="B993" s="1" t="s">
        <v>39</v>
      </c>
      <c r="C993" s="1" t="s">
        <v>40</v>
      </c>
      <c r="D993" s="1" t="s">
        <v>35</v>
      </c>
      <c r="E993" s="2" t="s">
        <v>3434</v>
      </c>
      <c r="F993" s="2" t="b">
        <f t="shared" si="63"/>
        <v>0</v>
      </c>
      <c r="G993" s="2">
        <f t="shared" si="61"/>
        <v>42385</v>
      </c>
      <c r="H993" s="1" t="s">
        <v>30</v>
      </c>
      <c r="I993" s="1" t="s">
        <v>1526</v>
      </c>
      <c r="J993" s="1">
        <v>150</v>
      </c>
      <c r="K993" s="1">
        <v>138</v>
      </c>
      <c r="L993" s="3">
        <v>0.08</v>
      </c>
      <c r="N993" t="s">
        <v>3434</v>
      </c>
      <c r="P993">
        <v>1</v>
      </c>
      <c r="Q993">
        <v>16</v>
      </c>
      <c r="R993">
        <v>2016</v>
      </c>
      <c r="S993" s="4">
        <f t="shared" si="62"/>
        <v>42385</v>
      </c>
      <c r="T993" s="4">
        <f t="shared" si="60"/>
        <v>42385</v>
      </c>
      <c r="U993" s="4">
        <v>42385</v>
      </c>
    </row>
    <row r="994" spans="1:21" x14ac:dyDescent="0.3">
      <c r="A994" t="s">
        <v>1527</v>
      </c>
      <c r="B994" s="1" t="s">
        <v>221</v>
      </c>
      <c r="C994" s="1" t="s">
        <v>40</v>
      </c>
      <c r="D994" s="1" t="s">
        <v>35</v>
      </c>
      <c r="E994" s="2" t="s">
        <v>3435</v>
      </c>
      <c r="F994" s="2" t="b">
        <f t="shared" si="63"/>
        <v>0</v>
      </c>
      <c r="G994" s="2">
        <f t="shared" si="61"/>
        <v>41670</v>
      </c>
      <c r="H994" s="1" t="s">
        <v>41</v>
      </c>
      <c r="I994" s="1" t="s">
        <v>245</v>
      </c>
      <c r="J994" s="1">
        <v>30</v>
      </c>
      <c r="K994" s="1">
        <v>28</v>
      </c>
      <c r="L994" s="3">
        <v>6.6699999999999995E-2</v>
      </c>
      <c r="N994" t="s">
        <v>3435</v>
      </c>
      <c r="P994">
        <v>1</v>
      </c>
      <c r="Q994">
        <v>31</v>
      </c>
      <c r="R994">
        <v>2014</v>
      </c>
      <c r="S994" s="4">
        <f t="shared" si="62"/>
        <v>41670</v>
      </c>
      <c r="T994" s="4">
        <f t="shared" si="60"/>
        <v>41670</v>
      </c>
      <c r="U994" s="4">
        <v>41670</v>
      </c>
    </row>
    <row r="995" spans="1:21" x14ac:dyDescent="0.3">
      <c r="A995" t="s">
        <v>1528</v>
      </c>
      <c r="B995" s="1" t="s">
        <v>227</v>
      </c>
      <c r="C995" s="1" t="s">
        <v>228</v>
      </c>
      <c r="D995" s="1" t="s">
        <v>24</v>
      </c>
      <c r="E995" s="2">
        <v>42461</v>
      </c>
      <c r="F995" s="2" t="b">
        <f t="shared" si="63"/>
        <v>1</v>
      </c>
      <c r="G995" s="2">
        <f t="shared" si="61"/>
        <v>42461</v>
      </c>
      <c r="H995" s="1" t="s">
        <v>122</v>
      </c>
      <c r="I995" s="1" t="s">
        <v>1400</v>
      </c>
      <c r="J995" s="1">
        <v>50</v>
      </c>
      <c r="K995" s="1">
        <v>49</v>
      </c>
      <c r="L995" s="3">
        <v>0.02</v>
      </c>
      <c r="N995" t="s">
        <v>3763</v>
      </c>
      <c r="S995" s="4" t="e">
        <f t="shared" si="62"/>
        <v>#NUM!</v>
      </c>
      <c r="T995" s="4" t="str">
        <f t="shared" si="60"/>
        <v/>
      </c>
      <c r="U995" s="4" t="s">
        <v>3763</v>
      </c>
    </row>
    <row r="996" spans="1:21" x14ac:dyDescent="0.3">
      <c r="A996" t="s">
        <v>1529</v>
      </c>
      <c r="B996" s="1" t="s">
        <v>157</v>
      </c>
      <c r="C996" s="1" t="s">
        <v>108</v>
      </c>
      <c r="D996" s="1" t="s">
        <v>19</v>
      </c>
      <c r="E996" s="2" t="s">
        <v>3436</v>
      </c>
      <c r="F996" s="2" t="b">
        <f t="shared" si="63"/>
        <v>0</v>
      </c>
      <c r="G996" s="2">
        <f t="shared" si="61"/>
        <v>43419</v>
      </c>
      <c r="H996" s="1" t="s">
        <v>41</v>
      </c>
      <c r="I996" s="1" t="s">
        <v>633</v>
      </c>
      <c r="J996" s="1">
        <v>30</v>
      </c>
      <c r="K996" s="1">
        <v>29</v>
      </c>
      <c r="L996" s="3">
        <v>3.3300000000000003E-2</v>
      </c>
      <c r="N996" t="s">
        <v>3436</v>
      </c>
      <c r="P996">
        <v>11</v>
      </c>
      <c r="Q996">
        <v>15</v>
      </c>
      <c r="R996">
        <v>2018</v>
      </c>
      <c r="S996" s="4">
        <f t="shared" si="62"/>
        <v>43419</v>
      </c>
      <c r="T996" s="4">
        <f t="shared" si="60"/>
        <v>43419</v>
      </c>
      <c r="U996" s="4">
        <v>43419</v>
      </c>
    </row>
    <row r="997" spans="1:21" x14ac:dyDescent="0.3">
      <c r="A997" t="s">
        <v>1530</v>
      </c>
      <c r="B997" s="1" t="s">
        <v>103</v>
      </c>
      <c r="C997" s="1" t="s">
        <v>71</v>
      </c>
      <c r="D997" s="1" t="s">
        <v>35</v>
      </c>
      <c r="E997" s="2" t="s">
        <v>3142</v>
      </c>
      <c r="F997" s="2" t="b">
        <f t="shared" si="63"/>
        <v>0</v>
      </c>
      <c r="G997" s="2">
        <f t="shared" si="61"/>
        <v>42938</v>
      </c>
      <c r="H997" s="1" t="s">
        <v>115</v>
      </c>
      <c r="I997" s="1" t="s">
        <v>1531</v>
      </c>
      <c r="J997" s="1">
        <v>250</v>
      </c>
      <c r="K997" s="1">
        <v>238</v>
      </c>
      <c r="L997" s="3">
        <v>4.8000000000000001E-2</v>
      </c>
      <c r="N997" t="s">
        <v>3142</v>
      </c>
      <c r="P997">
        <v>7</v>
      </c>
      <c r="Q997">
        <v>22</v>
      </c>
      <c r="R997">
        <v>2017</v>
      </c>
      <c r="S997" s="4">
        <f t="shared" si="62"/>
        <v>42938</v>
      </c>
      <c r="T997" s="4">
        <f t="shared" si="60"/>
        <v>42938</v>
      </c>
      <c r="U997" s="4">
        <v>42938</v>
      </c>
    </row>
    <row r="998" spans="1:21" x14ac:dyDescent="0.3">
      <c r="A998" t="s">
        <v>1532</v>
      </c>
      <c r="B998" s="1" t="s">
        <v>28</v>
      </c>
      <c r="C998" s="1" t="s">
        <v>29</v>
      </c>
      <c r="D998" s="1" t="s">
        <v>13</v>
      </c>
      <c r="E998" s="2">
        <v>43378</v>
      </c>
      <c r="F998" s="2" t="b">
        <f t="shared" si="63"/>
        <v>1</v>
      </c>
      <c r="G998" s="2">
        <f t="shared" si="61"/>
        <v>43378</v>
      </c>
      <c r="H998" s="1" t="s">
        <v>14</v>
      </c>
      <c r="I998" s="1" t="s">
        <v>1533</v>
      </c>
      <c r="J998" s="1">
        <v>80</v>
      </c>
      <c r="K998" s="1">
        <v>80</v>
      </c>
      <c r="L998" s="3">
        <v>0</v>
      </c>
      <c r="N998" t="s">
        <v>3763</v>
      </c>
      <c r="S998" s="4" t="e">
        <f t="shared" si="62"/>
        <v>#NUM!</v>
      </c>
      <c r="T998" s="4" t="str">
        <f t="shared" si="60"/>
        <v/>
      </c>
      <c r="U998" s="4" t="s">
        <v>3763</v>
      </c>
    </row>
    <row r="999" spans="1:21" x14ac:dyDescent="0.3">
      <c r="A999" t="s">
        <v>1534</v>
      </c>
      <c r="B999" s="1" t="s">
        <v>146</v>
      </c>
      <c r="C999" s="1" t="s">
        <v>147</v>
      </c>
      <c r="D999" s="1" t="s">
        <v>13</v>
      </c>
      <c r="E999" s="2" t="s">
        <v>3437</v>
      </c>
      <c r="F999" s="2" t="b">
        <f t="shared" si="63"/>
        <v>0</v>
      </c>
      <c r="G999" s="2">
        <f t="shared" si="61"/>
        <v>42668</v>
      </c>
      <c r="H999" s="1" t="s">
        <v>72</v>
      </c>
      <c r="I999" s="1" t="s">
        <v>1033</v>
      </c>
      <c r="J999" s="1">
        <v>500</v>
      </c>
      <c r="K999" s="1">
        <v>495</v>
      </c>
      <c r="L999" s="3">
        <v>0.01</v>
      </c>
      <c r="N999" t="s">
        <v>3437</v>
      </c>
      <c r="P999">
        <v>10</v>
      </c>
      <c r="Q999">
        <v>25</v>
      </c>
      <c r="R999">
        <v>2016</v>
      </c>
      <c r="S999" s="4">
        <f t="shared" si="62"/>
        <v>42668</v>
      </c>
      <c r="T999" s="4">
        <f t="shared" si="60"/>
        <v>42668</v>
      </c>
      <c r="U999" s="4">
        <v>42668</v>
      </c>
    </row>
    <row r="1000" spans="1:21" x14ac:dyDescent="0.3">
      <c r="A1000" t="s">
        <v>1535</v>
      </c>
      <c r="B1000" s="1" t="s">
        <v>64</v>
      </c>
      <c r="C1000" s="1" t="s">
        <v>65</v>
      </c>
      <c r="D1000" s="1" t="s">
        <v>35</v>
      </c>
      <c r="E1000" s="2" t="s">
        <v>3136</v>
      </c>
      <c r="F1000" s="2" t="b">
        <f t="shared" si="63"/>
        <v>0</v>
      </c>
      <c r="G1000" s="2">
        <f t="shared" si="61"/>
        <v>42144</v>
      </c>
      <c r="H1000" s="1" t="s">
        <v>30</v>
      </c>
      <c r="I1000" s="1" t="s">
        <v>1536</v>
      </c>
      <c r="J1000" s="1">
        <v>150</v>
      </c>
      <c r="K1000" s="1">
        <v>146</v>
      </c>
      <c r="L1000" s="3">
        <v>2.6700000000000002E-2</v>
      </c>
      <c r="N1000" t="s">
        <v>3136</v>
      </c>
      <c r="P1000">
        <v>5</v>
      </c>
      <c r="Q1000">
        <v>20</v>
      </c>
      <c r="R1000">
        <v>2015</v>
      </c>
      <c r="S1000" s="4">
        <f t="shared" si="62"/>
        <v>42144</v>
      </c>
      <c r="T1000" s="4">
        <f t="shared" si="60"/>
        <v>42144</v>
      </c>
      <c r="U1000" s="4">
        <v>42144</v>
      </c>
    </row>
    <row r="1001" spans="1:21" x14ac:dyDescent="0.3">
      <c r="A1001" t="s">
        <v>1537</v>
      </c>
      <c r="B1001" s="1" t="s">
        <v>187</v>
      </c>
      <c r="C1001" s="1" t="s">
        <v>188</v>
      </c>
      <c r="D1001" s="1" t="s">
        <v>13</v>
      </c>
      <c r="E1001" s="2">
        <v>42502</v>
      </c>
      <c r="F1001" s="2" t="b">
        <f t="shared" si="63"/>
        <v>1</v>
      </c>
      <c r="G1001" s="2">
        <f t="shared" si="61"/>
        <v>42502</v>
      </c>
      <c r="H1001" s="1" t="s">
        <v>14</v>
      </c>
      <c r="I1001" s="1" t="s">
        <v>237</v>
      </c>
      <c r="J1001" s="1">
        <v>80</v>
      </c>
      <c r="K1001" s="1">
        <v>70</v>
      </c>
      <c r="L1001" s="3">
        <v>0.125</v>
      </c>
      <c r="N1001" t="s">
        <v>3763</v>
      </c>
      <c r="S1001" s="4" t="e">
        <f t="shared" si="62"/>
        <v>#NUM!</v>
      </c>
      <c r="T1001" s="4" t="str">
        <f t="shared" si="60"/>
        <v/>
      </c>
      <c r="U1001" s="4" t="s">
        <v>3763</v>
      </c>
    </row>
    <row r="1002" spans="1:21" x14ac:dyDescent="0.3">
      <c r="A1002" t="s">
        <v>1538</v>
      </c>
      <c r="B1002" s="1" t="s">
        <v>11</v>
      </c>
      <c r="C1002" s="1" t="s">
        <v>12</v>
      </c>
      <c r="D1002" s="1" t="s">
        <v>13</v>
      </c>
      <c r="E1002" s="2" t="s">
        <v>3158</v>
      </c>
      <c r="F1002" s="2" t="b">
        <f t="shared" si="63"/>
        <v>0</v>
      </c>
      <c r="G1002" s="2">
        <f t="shared" si="61"/>
        <v>42026</v>
      </c>
      <c r="H1002" s="1" t="s">
        <v>61</v>
      </c>
      <c r="I1002" s="1" t="s">
        <v>193</v>
      </c>
      <c r="J1002" s="1">
        <v>1000</v>
      </c>
      <c r="K1002" s="1">
        <v>970</v>
      </c>
      <c r="L1002" s="3">
        <v>0.03</v>
      </c>
      <c r="N1002" t="s">
        <v>3158</v>
      </c>
      <c r="P1002">
        <v>1</v>
      </c>
      <c r="Q1002">
        <v>22</v>
      </c>
      <c r="R1002">
        <v>2015</v>
      </c>
      <c r="S1002" s="4">
        <f t="shared" si="62"/>
        <v>42026</v>
      </c>
      <c r="T1002" s="4">
        <f t="shared" si="60"/>
        <v>42026</v>
      </c>
      <c r="U1002" s="4">
        <v>42026</v>
      </c>
    </row>
    <row r="1003" spans="1:21" x14ac:dyDescent="0.3">
      <c r="A1003" t="s">
        <v>1539</v>
      </c>
      <c r="B1003" s="1" t="s">
        <v>182</v>
      </c>
      <c r="C1003" s="1" t="s">
        <v>108</v>
      </c>
      <c r="D1003" s="1" t="s">
        <v>19</v>
      </c>
      <c r="E1003" s="2" t="s">
        <v>3438</v>
      </c>
      <c r="F1003" s="2" t="b">
        <f t="shared" si="63"/>
        <v>0</v>
      </c>
      <c r="G1003" s="2">
        <f t="shared" si="61"/>
        <v>41995</v>
      </c>
      <c r="H1003" s="1" t="s">
        <v>61</v>
      </c>
      <c r="I1003" s="1" t="s">
        <v>1295</v>
      </c>
      <c r="J1003" s="1">
        <v>1000</v>
      </c>
      <c r="K1003" s="1">
        <v>690</v>
      </c>
      <c r="L1003" s="3">
        <v>0.31</v>
      </c>
      <c r="N1003" t="s">
        <v>3438</v>
      </c>
      <c r="P1003">
        <v>12</v>
      </c>
      <c r="Q1003">
        <v>22</v>
      </c>
      <c r="R1003">
        <v>2014</v>
      </c>
      <c r="S1003" s="4">
        <f t="shared" si="62"/>
        <v>41995</v>
      </c>
      <c r="T1003" s="4">
        <f t="shared" si="60"/>
        <v>41995</v>
      </c>
      <c r="U1003" s="4">
        <v>41995</v>
      </c>
    </row>
    <row r="1004" spans="1:21" x14ac:dyDescent="0.3">
      <c r="A1004" t="s">
        <v>1540</v>
      </c>
      <c r="B1004" s="1" t="s">
        <v>17</v>
      </c>
      <c r="C1004" s="1" t="s">
        <v>18</v>
      </c>
      <c r="D1004" s="1" t="s">
        <v>19</v>
      </c>
      <c r="E1004" s="2">
        <v>42706</v>
      </c>
      <c r="F1004" s="2" t="b">
        <f t="shared" si="63"/>
        <v>1</v>
      </c>
      <c r="G1004" s="2">
        <f t="shared" si="61"/>
        <v>42706</v>
      </c>
      <c r="H1004" s="1" t="s">
        <v>36</v>
      </c>
      <c r="I1004" s="1" t="s">
        <v>543</v>
      </c>
      <c r="J1004" s="1">
        <v>50</v>
      </c>
      <c r="K1004" s="1">
        <v>43</v>
      </c>
      <c r="L1004" s="3">
        <v>0.14000000000000001</v>
      </c>
      <c r="N1004" t="s">
        <v>3763</v>
      </c>
      <c r="S1004" s="4" t="e">
        <f t="shared" si="62"/>
        <v>#NUM!</v>
      </c>
      <c r="T1004" s="4" t="str">
        <f t="shared" si="60"/>
        <v/>
      </c>
      <c r="U1004" s="4" t="s">
        <v>3763</v>
      </c>
    </row>
    <row r="1005" spans="1:21" x14ac:dyDescent="0.3">
      <c r="A1005" t="s">
        <v>1541</v>
      </c>
      <c r="B1005" s="1" t="s">
        <v>150</v>
      </c>
      <c r="C1005" s="1" t="s">
        <v>151</v>
      </c>
      <c r="D1005" s="1" t="s">
        <v>13</v>
      </c>
      <c r="E1005" s="2">
        <v>41732</v>
      </c>
      <c r="F1005" s="2" t="b">
        <f t="shared" si="63"/>
        <v>1</v>
      </c>
      <c r="G1005" s="2">
        <f t="shared" si="61"/>
        <v>41732</v>
      </c>
      <c r="H1005" s="1" t="s">
        <v>61</v>
      </c>
      <c r="I1005" s="1" t="s">
        <v>152</v>
      </c>
      <c r="J1005" s="1">
        <v>1000</v>
      </c>
      <c r="K1005" s="1">
        <v>650</v>
      </c>
      <c r="L1005" s="3">
        <v>0.35</v>
      </c>
      <c r="N1005" t="s">
        <v>3763</v>
      </c>
      <c r="S1005" s="4" t="e">
        <f t="shared" si="62"/>
        <v>#NUM!</v>
      </c>
      <c r="T1005" s="4" t="str">
        <f t="shared" si="60"/>
        <v/>
      </c>
      <c r="U1005" s="4" t="s">
        <v>3763</v>
      </c>
    </row>
    <row r="1006" spans="1:21" x14ac:dyDescent="0.3">
      <c r="A1006" t="s">
        <v>1542</v>
      </c>
      <c r="B1006" s="1" t="s">
        <v>146</v>
      </c>
      <c r="C1006" s="1" t="s">
        <v>147</v>
      </c>
      <c r="D1006" s="1" t="s">
        <v>13</v>
      </c>
      <c r="E1006" s="2" t="s">
        <v>3302</v>
      </c>
      <c r="F1006" s="2" t="b">
        <f t="shared" si="63"/>
        <v>0</v>
      </c>
      <c r="G1006" s="2">
        <f t="shared" si="61"/>
        <v>42929</v>
      </c>
      <c r="H1006" s="1" t="s">
        <v>61</v>
      </c>
      <c r="I1006" s="1" t="s">
        <v>1318</v>
      </c>
      <c r="J1006" s="1">
        <v>1000</v>
      </c>
      <c r="K1006" s="1">
        <v>520</v>
      </c>
      <c r="L1006" s="3">
        <v>0.48</v>
      </c>
      <c r="N1006" t="s">
        <v>3302</v>
      </c>
      <c r="P1006">
        <v>7</v>
      </c>
      <c r="Q1006">
        <v>13</v>
      </c>
      <c r="R1006">
        <v>2017</v>
      </c>
      <c r="S1006" s="4">
        <f t="shared" si="62"/>
        <v>42929</v>
      </c>
      <c r="T1006" s="4">
        <f t="shared" si="60"/>
        <v>42929</v>
      </c>
      <c r="U1006" s="4">
        <v>42929</v>
      </c>
    </row>
    <row r="1007" spans="1:21" x14ac:dyDescent="0.3">
      <c r="A1007" t="s">
        <v>1543</v>
      </c>
      <c r="B1007" s="1" t="s">
        <v>11</v>
      </c>
      <c r="C1007" s="1" t="s">
        <v>12</v>
      </c>
      <c r="D1007" s="1" t="s">
        <v>13</v>
      </c>
      <c r="E1007" s="2">
        <v>43009</v>
      </c>
      <c r="F1007" s="2" t="b">
        <f t="shared" si="63"/>
        <v>1</v>
      </c>
      <c r="G1007" s="2">
        <f t="shared" si="61"/>
        <v>43009</v>
      </c>
      <c r="H1007" s="1" t="s">
        <v>30</v>
      </c>
      <c r="I1007" s="1" t="s">
        <v>348</v>
      </c>
      <c r="J1007" s="1">
        <v>150</v>
      </c>
      <c r="K1007" s="1">
        <v>149</v>
      </c>
      <c r="L1007" s="3">
        <v>6.7000000000000002E-3</v>
      </c>
      <c r="N1007" t="s">
        <v>3763</v>
      </c>
      <c r="S1007" s="4" t="e">
        <f t="shared" si="62"/>
        <v>#NUM!</v>
      </c>
      <c r="T1007" s="4" t="str">
        <f t="shared" si="60"/>
        <v/>
      </c>
      <c r="U1007" s="4" t="s">
        <v>3763</v>
      </c>
    </row>
    <row r="1008" spans="1:21" x14ac:dyDescent="0.3">
      <c r="A1008" t="s">
        <v>1544</v>
      </c>
      <c r="B1008" s="1" t="s">
        <v>289</v>
      </c>
      <c r="C1008" s="1" t="s">
        <v>108</v>
      </c>
      <c r="D1008" s="1" t="s">
        <v>19</v>
      </c>
      <c r="E1008" s="2" t="s">
        <v>3079</v>
      </c>
      <c r="F1008" s="2" t="b">
        <f t="shared" si="63"/>
        <v>0</v>
      </c>
      <c r="G1008" s="2">
        <f t="shared" si="61"/>
        <v>42031</v>
      </c>
      <c r="H1008" s="1" t="s">
        <v>25</v>
      </c>
      <c r="I1008" s="1" t="s">
        <v>1545</v>
      </c>
      <c r="J1008" s="1">
        <v>700</v>
      </c>
      <c r="K1008" s="1">
        <v>665</v>
      </c>
      <c r="L1008" s="3">
        <v>0.05</v>
      </c>
      <c r="N1008" t="s">
        <v>3079</v>
      </c>
      <c r="P1008">
        <v>1</v>
      </c>
      <c r="Q1008">
        <v>27</v>
      </c>
      <c r="R1008">
        <v>2015</v>
      </c>
      <c r="S1008" s="4">
        <f t="shared" si="62"/>
        <v>42031</v>
      </c>
      <c r="T1008" s="4">
        <f t="shared" si="60"/>
        <v>42031</v>
      </c>
      <c r="U1008" s="4">
        <v>42031</v>
      </c>
    </row>
    <row r="1009" spans="1:21" x14ac:dyDescent="0.3">
      <c r="A1009" t="s">
        <v>1546</v>
      </c>
      <c r="B1009" s="1" t="s">
        <v>182</v>
      </c>
      <c r="C1009" s="1" t="s">
        <v>108</v>
      </c>
      <c r="D1009" s="1" t="s">
        <v>19</v>
      </c>
      <c r="E1009" s="2" t="s">
        <v>3439</v>
      </c>
      <c r="F1009" s="2" t="b">
        <f t="shared" si="63"/>
        <v>0</v>
      </c>
      <c r="G1009" s="2">
        <f t="shared" si="61"/>
        <v>42142</v>
      </c>
      <c r="H1009" s="1" t="s">
        <v>25</v>
      </c>
      <c r="I1009" s="1" t="s">
        <v>502</v>
      </c>
      <c r="J1009" s="1">
        <v>700</v>
      </c>
      <c r="K1009" s="1">
        <v>560</v>
      </c>
      <c r="L1009" s="3">
        <v>0.2</v>
      </c>
      <c r="N1009" t="s">
        <v>3439</v>
      </c>
      <c r="P1009">
        <v>5</v>
      </c>
      <c r="Q1009">
        <v>18</v>
      </c>
      <c r="R1009">
        <v>2015</v>
      </c>
      <c r="S1009" s="4">
        <f t="shared" si="62"/>
        <v>42142</v>
      </c>
      <c r="T1009" s="4">
        <f t="shared" si="60"/>
        <v>42142</v>
      </c>
      <c r="U1009" s="4">
        <v>42142</v>
      </c>
    </row>
    <row r="1010" spans="1:21" x14ac:dyDescent="0.3">
      <c r="A1010" t="s">
        <v>1547</v>
      </c>
      <c r="B1010" s="1" t="s">
        <v>124</v>
      </c>
      <c r="C1010" s="1" t="s">
        <v>40</v>
      </c>
      <c r="D1010" s="1" t="s">
        <v>35</v>
      </c>
      <c r="E1010" s="2" t="s">
        <v>3440</v>
      </c>
      <c r="F1010" s="2" t="b">
        <f t="shared" si="63"/>
        <v>0</v>
      </c>
      <c r="G1010" s="2">
        <f t="shared" si="61"/>
        <v>42629</v>
      </c>
      <c r="H1010" s="1" t="s">
        <v>36</v>
      </c>
      <c r="I1010" s="1" t="s">
        <v>1017</v>
      </c>
      <c r="J1010" s="1">
        <v>50</v>
      </c>
      <c r="K1010" s="1">
        <v>44</v>
      </c>
      <c r="L1010" s="3">
        <v>0.12</v>
      </c>
      <c r="N1010" t="s">
        <v>3440</v>
      </c>
      <c r="P1010">
        <v>9</v>
      </c>
      <c r="Q1010">
        <v>16</v>
      </c>
      <c r="R1010">
        <v>2016</v>
      </c>
      <c r="S1010" s="4">
        <f t="shared" si="62"/>
        <v>42629</v>
      </c>
      <c r="T1010" s="4">
        <f t="shared" si="60"/>
        <v>42629</v>
      </c>
      <c r="U1010" s="4">
        <v>42629</v>
      </c>
    </row>
    <row r="1011" spans="1:21" x14ac:dyDescent="0.3">
      <c r="A1011" t="s">
        <v>1548</v>
      </c>
      <c r="B1011" s="1" t="s">
        <v>182</v>
      </c>
      <c r="C1011" s="1" t="s">
        <v>108</v>
      </c>
      <c r="D1011" s="1" t="s">
        <v>19</v>
      </c>
      <c r="E1011" s="2">
        <v>42402</v>
      </c>
      <c r="F1011" s="2" t="b">
        <f t="shared" si="63"/>
        <v>1</v>
      </c>
      <c r="G1011" s="2">
        <f t="shared" si="61"/>
        <v>42402</v>
      </c>
      <c r="H1011" s="1" t="s">
        <v>61</v>
      </c>
      <c r="I1011" s="1" t="s">
        <v>183</v>
      </c>
      <c r="J1011" s="1">
        <v>1000</v>
      </c>
      <c r="K1011" s="1">
        <v>760</v>
      </c>
      <c r="L1011" s="3">
        <v>0.24</v>
      </c>
      <c r="N1011" t="s">
        <v>3763</v>
      </c>
      <c r="S1011" s="4" t="e">
        <f t="shared" si="62"/>
        <v>#NUM!</v>
      </c>
      <c r="T1011" s="4" t="str">
        <f t="shared" si="60"/>
        <v/>
      </c>
      <c r="U1011" s="4" t="s">
        <v>3763</v>
      </c>
    </row>
    <row r="1012" spans="1:21" x14ac:dyDescent="0.3">
      <c r="A1012" t="s">
        <v>1549</v>
      </c>
      <c r="B1012" s="1" t="s">
        <v>131</v>
      </c>
      <c r="C1012" s="1" t="s">
        <v>108</v>
      </c>
      <c r="D1012" s="1" t="s">
        <v>19</v>
      </c>
      <c r="E1012" s="2">
        <v>42441</v>
      </c>
      <c r="F1012" s="2" t="b">
        <f t="shared" si="63"/>
        <v>1</v>
      </c>
      <c r="G1012" s="2">
        <f t="shared" si="61"/>
        <v>42441</v>
      </c>
      <c r="H1012" s="1" t="s">
        <v>115</v>
      </c>
      <c r="I1012" s="1" t="s">
        <v>1550</v>
      </c>
      <c r="J1012" s="1">
        <v>250</v>
      </c>
      <c r="K1012" s="1">
        <v>228</v>
      </c>
      <c r="L1012" s="3">
        <v>8.7999999999999995E-2</v>
      </c>
      <c r="N1012" t="s">
        <v>3763</v>
      </c>
      <c r="S1012" s="4" t="e">
        <f t="shared" si="62"/>
        <v>#NUM!</v>
      </c>
      <c r="T1012" s="4" t="str">
        <f t="shared" si="60"/>
        <v/>
      </c>
      <c r="U1012" s="4" t="s">
        <v>3763</v>
      </c>
    </row>
    <row r="1013" spans="1:21" x14ac:dyDescent="0.3">
      <c r="A1013" t="s">
        <v>1551</v>
      </c>
      <c r="B1013" s="1" t="s">
        <v>99</v>
      </c>
      <c r="C1013" s="1" t="s">
        <v>100</v>
      </c>
      <c r="D1013" s="1" t="s">
        <v>13</v>
      </c>
      <c r="E1013" s="2">
        <v>43046</v>
      </c>
      <c r="F1013" s="2" t="b">
        <f t="shared" si="63"/>
        <v>1</v>
      </c>
      <c r="G1013" s="2">
        <f t="shared" si="61"/>
        <v>43046</v>
      </c>
      <c r="H1013" s="1" t="s">
        <v>115</v>
      </c>
      <c r="I1013" s="1" t="s">
        <v>1090</v>
      </c>
      <c r="J1013" s="1">
        <v>250</v>
      </c>
      <c r="K1013" s="1">
        <v>248</v>
      </c>
      <c r="L1013" s="3">
        <v>8.0000000000000002E-3</v>
      </c>
      <c r="N1013" t="s">
        <v>3763</v>
      </c>
      <c r="S1013" s="4" t="e">
        <f t="shared" si="62"/>
        <v>#NUM!</v>
      </c>
      <c r="T1013" s="4" t="str">
        <f t="shared" si="60"/>
        <v/>
      </c>
      <c r="U1013" s="4" t="s">
        <v>3763</v>
      </c>
    </row>
    <row r="1014" spans="1:21" x14ac:dyDescent="0.3">
      <c r="A1014" t="s">
        <v>1552</v>
      </c>
      <c r="B1014" s="1" t="s">
        <v>205</v>
      </c>
      <c r="C1014" s="1" t="s">
        <v>206</v>
      </c>
      <c r="D1014" s="1" t="s">
        <v>24</v>
      </c>
      <c r="E1014" s="2" t="s">
        <v>3441</v>
      </c>
      <c r="F1014" s="2" t="b">
        <f t="shared" si="63"/>
        <v>0</v>
      </c>
      <c r="G1014" s="2">
        <f t="shared" si="61"/>
        <v>41718</v>
      </c>
      <c r="H1014" s="1" t="s">
        <v>36</v>
      </c>
      <c r="I1014" s="1" t="s">
        <v>722</v>
      </c>
      <c r="J1014" s="1">
        <v>50</v>
      </c>
      <c r="K1014" s="1">
        <v>39</v>
      </c>
      <c r="L1014" s="3">
        <v>0.22</v>
      </c>
      <c r="N1014" t="s">
        <v>3441</v>
      </c>
      <c r="P1014">
        <v>3</v>
      </c>
      <c r="Q1014">
        <v>20</v>
      </c>
      <c r="R1014">
        <v>2014</v>
      </c>
      <c r="S1014" s="4">
        <f t="shared" si="62"/>
        <v>41718</v>
      </c>
      <c r="T1014" s="4">
        <f t="shared" si="60"/>
        <v>41718</v>
      </c>
      <c r="U1014" s="4">
        <v>41718</v>
      </c>
    </row>
    <row r="1015" spans="1:21" x14ac:dyDescent="0.3">
      <c r="A1015" t="s">
        <v>1553</v>
      </c>
      <c r="B1015" s="1" t="s">
        <v>324</v>
      </c>
      <c r="C1015" s="1" t="s">
        <v>325</v>
      </c>
      <c r="D1015" s="1" t="s">
        <v>13</v>
      </c>
      <c r="E1015" s="2" t="s">
        <v>3114</v>
      </c>
      <c r="F1015" s="2" t="b">
        <f t="shared" si="63"/>
        <v>0</v>
      </c>
      <c r="G1015" s="2">
        <f t="shared" si="61"/>
        <v>41662</v>
      </c>
      <c r="H1015" s="1" t="s">
        <v>115</v>
      </c>
      <c r="I1015" s="1" t="s">
        <v>922</v>
      </c>
      <c r="J1015" s="1">
        <v>250</v>
      </c>
      <c r="K1015" s="1">
        <v>248</v>
      </c>
      <c r="L1015" s="3">
        <v>8.0000000000000002E-3</v>
      </c>
      <c r="N1015" t="s">
        <v>3114</v>
      </c>
      <c r="P1015">
        <v>1</v>
      </c>
      <c r="Q1015">
        <v>23</v>
      </c>
      <c r="R1015">
        <v>2014</v>
      </c>
      <c r="S1015" s="4">
        <f t="shared" si="62"/>
        <v>41662</v>
      </c>
      <c r="T1015" s="4">
        <f t="shared" si="60"/>
        <v>41662</v>
      </c>
      <c r="U1015" s="4">
        <v>41662</v>
      </c>
    </row>
    <row r="1016" spans="1:21" x14ac:dyDescent="0.3">
      <c r="A1016" t="s">
        <v>1554</v>
      </c>
      <c r="B1016" s="1" t="s">
        <v>241</v>
      </c>
      <c r="C1016" s="1" t="s">
        <v>242</v>
      </c>
      <c r="D1016" s="1" t="s">
        <v>13</v>
      </c>
      <c r="E1016" s="2" t="s">
        <v>3442</v>
      </c>
      <c r="F1016" s="2" t="b">
        <f t="shared" si="63"/>
        <v>0</v>
      </c>
      <c r="G1016" s="2">
        <f t="shared" si="61"/>
        <v>42630</v>
      </c>
      <c r="H1016" s="1" t="s">
        <v>115</v>
      </c>
      <c r="I1016" s="1" t="s">
        <v>626</v>
      </c>
      <c r="J1016" s="1">
        <v>250</v>
      </c>
      <c r="K1016" s="1">
        <v>250</v>
      </c>
      <c r="L1016" s="3">
        <v>0</v>
      </c>
      <c r="N1016" t="s">
        <v>3442</v>
      </c>
      <c r="P1016">
        <v>9</v>
      </c>
      <c r="Q1016">
        <v>17</v>
      </c>
      <c r="R1016">
        <v>2016</v>
      </c>
      <c r="S1016" s="4">
        <f t="shared" si="62"/>
        <v>42630</v>
      </c>
      <c r="T1016" s="4">
        <f t="shared" si="60"/>
        <v>42630</v>
      </c>
      <c r="U1016" s="4">
        <v>42630</v>
      </c>
    </row>
    <row r="1017" spans="1:21" x14ac:dyDescent="0.3">
      <c r="A1017" t="s">
        <v>1555</v>
      </c>
      <c r="B1017" s="1" t="s">
        <v>107</v>
      </c>
      <c r="C1017" s="1" t="s">
        <v>108</v>
      </c>
      <c r="D1017" s="1" t="s">
        <v>19</v>
      </c>
      <c r="E1017" s="2">
        <v>42860</v>
      </c>
      <c r="F1017" s="2" t="b">
        <f t="shared" si="63"/>
        <v>1</v>
      </c>
      <c r="G1017" s="2">
        <f t="shared" si="61"/>
        <v>42860</v>
      </c>
      <c r="H1017" s="1" t="s">
        <v>36</v>
      </c>
      <c r="I1017" s="1" t="s">
        <v>1556</v>
      </c>
      <c r="J1017" s="1">
        <v>50</v>
      </c>
      <c r="K1017" s="1">
        <v>48</v>
      </c>
      <c r="L1017" s="3">
        <v>0.04</v>
      </c>
      <c r="N1017" t="s">
        <v>3763</v>
      </c>
      <c r="S1017" s="4" t="e">
        <f t="shared" si="62"/>
        <v>#NUM!</v>
      </c>
      <c r="T1017" s="4" t="str">
        <f t="shared" si="60"/>
        <v/>
      </c>
      <c r="U1017" s="4" t="s">
        <v>3763</v>
      </c>
    </row>
    <row r="1018" spans="1:21" x14ac:dyDescent="0.3">
      <c r="A1018" t="s">
        <v>1557</v>
      </c>
      <c r="B1018" s="1" t="s">
        <v>174</v>
      </c>
      <c r="C1018" s="1" t="s">
        <v>175</v>
      </c>
      <c r="D1018" s="1" t="s">
        <v>13</v>
      </c>
      <c r="E1018" s="2" t="s">
        <v>3443</v>
      </c>
      <c r="F1018" s="2" t="b">
        <f t="shared" si="63"/>
        <v>0</v>
      </c>
      <c r="G1018" s="2">
        <f t="shared" si="61"/>
        <v>42389</v>
      </c>
      <c r="H1018" s="1" t="s">
        <v>61</v>
      </c>
      <c r="I1018" s="1" t="s">
        <v>1558</v>
      </c>
      <c r="J1018" s="1">
        <v>1000</v>
      </c>
      <c r="K1018" s="1">
        <v>590</v>
      </c>
      <c r="L1018" s="3">
        <v>0.41</v>
      </c>
      <c r="N1018" t="s">
        <v>3443</v>
      </c>
      <c r="P1018">
        <v>1</v>
      </c>
      <c r="Q1018">
        <v>20</v>
      </c>
      <c r="R1018">
        <v>2016</v>
      </c>
      <c r="S1018" s="4">
        <f t="shared" si="62"/>
        <v>42389</v>
      </c>
      <c r="T1018" s="4">
        <f t="shared" si="60"/>
        <v>42389</v>
      </c>
      <c r="U1018" s="4">
        <v>42389</v>
      </c>
    </row>
    <row r="1019" spans="1:21" x14ac:dyDescent="0.3">
      <c r="A1019" t="s">
        <v>1559</v>
      </c>
      <c r="B1019" s="1" t="s">
        <v>53</v>
      </c>
      <c r="C1019" s="1" t="s">
        <v>54</v>
      </c>
      <c r="D1019" s="1" t="s">
        <v>13</v>
      </c>
      <c r="E1019" s="2" t="s">
        <v>3075</v>
      </c>
      <c r="F1019" s="2" t="b">
        <f t="shared" si="63"/>
        <v>0</v>
      </c>
      <c r="G1019" s="2">
        <f t="shared" si="61"/>
        <v>42851</v>
      </c>
      <c r="H1019" s="1" t="s">
        <v>14</v>
      </c>
      <c r="I1019" s="1" t="s">
        <v>1206</v>
      </c>
      <c r="J1019" s="1">
        <v>80</v>
      </c>
      <c r="K1019" s="1">
        <v>76</v>
      </c>
      <c r="L1019" s="3">
        <v>0.05</v>
      </c>
      <c r="N1019" t="s">
        <v>3075</v>
      </c>
      <c r="P1019">
        <v>4</v>
      </c>
      <c r="Q1019">
        <v>26</v>
      </c>
      <c r="R1019">
        <v>2017</v>
      </c>
      <c r="S1019" s="4">
        <f t="shared" si="62"/>
        <v>42851</v>
      </c>
      <c r="T1019" s="4">
        <f t="shared" si="60"/>
        <v>42851</v>
      </c>
      <c r="U1019" s="4">
        <v>42851</v>
      </c>
    </row>
    <row r="1020" spans="1:21" x14ac:dyDescent="0.3">
      <c r="A1020" t="s">
        <v>1560</v>
      </c>
      <c r="B1020" s="1" t="s">
        <v>44</v>
      </c>
      <c r="C1020" s="1" t="s">
        <v>45</v>
      </c>
      <c r="D1020" s="1" t="s">
        <v>24</v>
      </c>
      <c r="E1020" s="2" t="s">
        <v>3348</v>
      </c>
      <c r="F1020" s="2" t="b">
        <f t="shared" si="63"/>
        <v>0</v>
      </c>
      <c r="G1020" s="2">
        <f t="shared" si="61"/>
        <v>41905</v>
      </c>
      <c r="H1020" s="1" t="s">
        <v>46</v>
      </c>
      <c r="I1020" s="1" t="s">
        <v>1146</v>
      </c>
      <c r="J1020" s="1">
        <v>500</v>
      </c>
      <c r="K1020" s="1">
        <v>480</v>
      </c>
      <c r="L1020" s="3">
        <v>0.04</v>
      </c>
      <c r="N1020" t="s">
        <v>3348</v>
      </c>
      <c r="P1020">
        <v>9</v>
      </c>
      <c r="Q1020">
        <v>23</v>
      </c>
      <c r="R1020">
        <v>2014</v>
      </c>
      <c r="S1020" s="4">
        <f t="shared" si="62"/>
        <v>41905</v>
      </c>
      <c r="T1020" s="4">
        <f t="shared" si="60"/>
        <v>41905</v>
      </c>
      <c r="U1020" s="4">
        <v>41905</v>
      </c>
    </row>
    <row r="1021" spans="1:21" x14ac:dyDescent="0.3">
      <c r="A1021" t="s">
        <v>1561</v>
      </c>
      <c r="B1021" s="1" t="s">
        <v>150</v>
      </c>
      <c r="C1021" s="1" t="s">
        <v>151</v>
      </c>
      <c r="D1021" s="1" t="s">
        <v>13</v>
      </c>
      <c r="E1021" s="2">
        <v>42676</v>
      </c>
      <c r="F1021" s="2" t="b">
        <f t="shared" si="63"/>
        <v>1</v>
      </c>
      <c r="G1021" s="2">
        <f t="shared" si="61"/>
        <v>42676</v>
      </c>
      <c r="H1021" s="1" t="s">
        <v>55</v>
      </c>
      <c r="I1021" s="1" t="s">
        <v>824</v>
      </c>
      <c r="J1021" s="1">
        <v>800</v>
      </c>
      <c r="K1021" s="1">
        <v>720</v>
      </c>
      <c r="L1021" s="3">
        <v>0.1</v>
      </c>
      <c r="N1021" t="s">
        <v>3763</v>
      </c>
      <c r="S1021" s="4" t="e">
        <f t="shared" si="62"/>
        <v>#NUM!</v>
      </c>
      <c r="T1021" s="4" t="str">
        <f t="shared" si="60"/>
        <v/>
      </c>
      <c r="U1021" s="4" t="s">
        <v>3763</v>
      </c>
    </row>
    <row r="1022" spans="1:21" x14ac:dyDescent="0.3">
      <c r="A1022" t="s">
        <v>1562</v>
      </c>
      <c r="B1022" s="1" t="s">
        <v>64</v>
      </c>
      <c r="C1022" s="1" t="s">
        <v>65</v>
      </c>
      <c r="D1022" s="1" t="s">
        <v>35</v>
      </c>
      <c r="E1022" s="2">
        <v>43109</v>
      </c>
      <c r="F1022" s="2" t="b">
        <f t="shared" si="63"/>
        <v>1</v>
      </c>
      <c r="G1022" s="2">
        <f t="shared" si="61"/>
        <v>43109</v>
      </c>
      <c r="H1022" s="1" t="s">
        <v>104</v>
      </c>
      <c r="I1022" s="1" t="s">
        <v>783</v>
      </c>
      <c r="J1022" s="1">
        <v>70</v>
      </c>
      <c r="K1022" s="1">
        <v>69</v>
      </c>
      <c r="L1022" s="3">
        <v>1.43E-2</v>
      </c>
      <c r="N1022" t="s">
        <v>3763</v>
      </c>
      <c r="S1022" s="4" t="e">
        <f t="shared" si="62"/>
        <v>#NUM!</v>
      </c>
      <c r="T1022" s="4" t="str">
        <f t="shared" si="60"/>
        <v/>
      </c>
      <c r="U1022" s="4" t="s">
        <v>3763</v>
      </c>
    </row>
    <row r="1023" spans="1:21" x14ac:dyDescent="0.3">
      <c r="A1023" t="s">
        <v>1563</v>
      </c>
      <c r="B1023" s="1" t="s">
        <v>81</v>
      </c>
      <c r="C1023" s="1" t="s">
        <v>82</v>
      </c>
      <c r="D1023" s="1" t="s">
        <v>13</v>
      </c>
      <c r="E1023" s="2" t="s">
        <v>3444</v>
      </c>
      <c r="F1023" s="2" t="b">
        <f t="shared" si="63"/>
        <v>0</v>
      </c>
      <c r="G1023" s="2">
        <f t="shared" si="61"/>
        <v>42723</v>
      </c>
      <c r="H1023" s="1" t="s">
        <v>104</v>
      </c>
      <c r="I1023" s="1" t="s">
        <v>195</v>
      </c>
      <c r="J1023" s="1">
        <v>70</v>
      </c>
      <c r="K1023" s="1">
        <v>60</v>
      </c>
      <c r="L1023" s="3">
        <v>0.1429</v>
      </c>
      <c r="N1023" t="s">
        <v>3444</v>
      </c>
      <c r="P1023">
        <v>12</v>
      </c>
      <c r="Q1023">
        <v>19</v>
      </c>
      <c r="R1023">
        <v>2016</v>
      </c>
      <c r="S1023" s="4">
        <f t="shared" si="62"/>
        <v>42723</v>
      </c>
      <c r="T1023" s="4">
        <f t="shared" si="60"/>
        <v>42723</v>
      </c>
      <c r="U1023" s="4">
        <v>42723</v>
      </c>
    </row>
    <row r="1024" spans="1:21" x14ac:dyDescent="0.3">
      <c r="A1024" t="s">
        <v>1564</v>
      </c>
      <c r="B1024" s="1" t="s">
        <v>434</v>
      </c>
      <c r="C1024" s="1" t="s">
        <v>435</v>
      </c>
      <c r="D1024" s="1" t="s">
        <v>24</v>
      </c>
      <c r="E1024" s="2" t="s">
        <v>3445</v>
      </c>
      <c r="F1024" s="2" t="b">
        <f t="shared" si="63"/>
        <v>0</v>
      </c>
      <c r="G1024" s="2">
        <f t="shared" si="61"/>
        <v>42083</v>
      </c>
      <c r="H1024" s="1" t="s">
        <v>36</v>
      </c>
      <c r="I1024" s="1" t="s">
        <v>585</v>
      </c>
      <c r="J1024" s="1">
        <v>50</v>
      </c>
      <c r="K1024" s="1">
        <v>44</v>
      </c>
      <c r="L1024" s="3">
        <v>0.12</v>
      </c>
      <c r="N1024" t="s">
        <v>3445</v>
      </c>
      <c r="P1024">
        <v>3</v>
      </c>
      <c r="Q1024">
        <v>20</v>
      </c>
      <c r="R1024">
        <v>2015</v>
      </c>
      <c r="S1024" s="4">
        <f t="shared" si="62"/>
        <v>42083</v>
      </c>
      <c r="T1024" s="4">
        <f t="shared" si="60"/>
        <v>42083</v>
      </c>
      <c r="U1024" s="4">
        <v>42083</v>
      </c>
    </row>
    <row r="1025" spans="1:21" x14ac:dyDescent="0.3">
      <c r="A1025" t="s">
        <v>1565</v>
      </c>
      <c r="B1025" s="1" t="s">
        <v>270</v>
      </c>
      <c r="C1025" s="1" t="s">
        <v>271</v>
      </c>
      <c r="D1025" s="1" t="s">
        <v>35</v>
      </c>
      <c r="E1025" s="2" t="s">
        <v>3446</v>
      </c>
      <c r="F1025" s="2" t="b">
        <f t="shared" si="63"/>
        <v>0</v>
      </c>
      <c r="G1025" s="2">
        <f t="shared" si="61"/>
        <v>43269</v>
      </c>
      <c r="H1025" s="1" t="s">
        <v>14</v>
      </c>
      <c r="I1025" s="1" t="s">
        <v>337</v>
      </c>
      <c r="J1025" s="1">
        <v>80</v>
      </c>
      <c r="K1025" s="1">
        <v>74</v>
      </c>
      <c r="L1025" s="3">
        <v>7.4999999999999997E-2</v>
      </c>
      <c r="N1025" t="s">
        <v>3446</v>
      </c>
      <c r="P1025">
        <v>6</v>
      </c>
      <c r="Q1025">
        <v>18</v>
      </c>
      <c r="R1025">
        <v>2018</v>
      </c>
      <c r="S1025" s="4">
        <f t="shared" si="62"/>
        <v>43269</v>
      </c>
      <c r="T1025" s="4">
        <f t="shared" si="60"/>
        <v>43269</v>
      </c>
      <c r="U1025" s="4">
        <v>43269</v>
      </c>
    </row>
    <row r="1026" spans="1:21" x14ac:dyDescent="0.3">
      <c r="A1026" t="s">
        <v>1566</v>
      </c>
      <c r="B1026" s="1" t="s">
        <v>99</v>
      </c>
      <c r="C1026" s="1" t="s">
        <v>100</v>
      </c>
      <c r="D1026" s="1" t="s">
        <v>13</v>
      </c>
      <c r="E1026" s="2" t="s">
        <v>2970</v>
      </c>
      <c r="F1026" s="2" t="b">
        <f t="shared" si="63"/>
        <v>0</v>
      </c>
      <c r="G1026" s="2">
        <f t="shared" si="61"/>
        <v>43144</v>
      </c>
      <c r="H1026" s="1" t="s">
        <v>104</v>
      </c>
      <c r="I1026" s="1" t="s">
        <v>101</v>
      </c>
      <c r="J1026" s="1">
        <v>70</v>
      </c>
      <c r="K1026" s="1">
        <v>68</v>
      </c>
      <c r="L1026" s="3">
        <v>2.86E-2</v>
      </c>
      <c r="N1026" t="s">
        <v>2970</v>
      </c>
      <c r="P1026">
        <v>2</v>
      </c>
      <c r="Q1026">
        <v>13</v>
      </c>
      <c r="R1026">
        <v>2018</v>
      </c>
      <c r="S1026" s="4">
        <f t="shared" si="62"/>
        <v>43144</v>
      </c>
      <c r="T1026" s="4">
        <f t="shared" si="60"/>
        <v>43144</v>
      </c>
      <c r="U1026" s="4">
        <v>43144</v>
      </c>
    </row>
    <row r="1027" spans="1:21" x14ac:dyDescent="0.3">
      <c r="A1027" t="s">
        <v>1567</v>
      </c>
      <c r="B1027" s="1" t="s">
        <v>400</v>
      </c>
      <c r="C1027" s="1" t="s">
        <v>401</v>
      </c>
      <c r="D1027" s="1" t="s">
        <v>13</v>
      </c>
      <c r="E1027" s="2" t="s">
        <v>3190</v>
      </c>
      <c r="F1027" s="2" t="b">
        <f t="shared" si="63"/>
        <v>0</v>
      </c>
      <c r="G1027" s="2">
        <f t="shared" si="61"/>
        <v>42448</v>
      </c>
      <c r="H1027" s="1" t="s">
        <v>104</v>
      </c>
      <c r="I1027" s="1" t="s">
        <v>693</v>
      </c>
      <c r="J1027" s="1">
        <v>70</v>
      </c>
      <c r="K1027" s="1">
        <v>66</v>
      </c>
      <c r="L1027" s="3">
        <v>5.7099999999999998E-2</v>
      </c>
      <c r="N1027" t="s">
        <v>3190</v>
      </c>
      <c r="P1027">
        <v>3</v>
      </c>
      <c r="Q1027">
        <v>19</v>
      </c>
      <c r="R1027">
        <v>2016</v>
      </c>
      <c r="S1027" s="4">
        <f t="shared" si="62"/>
        <v>42448</v>
      </c>
      <c r="T1027" s="4">
        <f t="shared" ref="T1027:T1090" si="64">IF(AND(P1027&lt;&gt;"",Q1027&lt;&gt;"",R1027&lt;&gt;""),IFERROR(DATE(R1027,P1027,Q1027),""),"")</f>
        <v>42448</v>
      </c>
      <c r="U1027" s="4">
        <v>42448</v>
      </c>
    </row>
    <row r="1028" spans="1:21" x14ac:dyDescent="0.3">
      <c r="A1028" t="s">
        <v>1568</v>
      </c>
      <c r="B1028" s="1" t="s">
        <v>224</v>
      </c>
      <c r="C1028" s="1" t="s">
        <v>50</v>
      </c>
      <c r="D1028" s="1" t="s">
        <v>24</v>
      </c>
      <c r="E1028" s="2" t="s">
        <v>3176</v>
      </c>
      <c r="F1028" s="2" t="b">
        <f t="shared" si="63"/>
        <v>0</v>
      </c>
      <c r="G1028" s="2">
        <f t="shared" ref="G1028:G1091" si="65">IF(F1028=TRUE,E1028,U1028)</f>
        <v>43037</v>
      </c>
      <c r="H1028" s="1" t="s">
        <v>30</v>
      </c>
      <c r="I1028" s="1" t="s">
        <v>906</v>
      </c>
      <c r="J1028" s="1">
        <v>150</v>
      </c>
      <c r="K1028" s="1">
        <v>144</v>
      </c>
      <c r="L1028" s="3">
        <v>0.04</v>
      </c>
      <c r="N1028" t="s">
        <v>3176</v>
      </c>
      <c r="P1028">
        <v>10</v>
      </c>
      <c r="Q1028">
        <v>29</v>
      </c>
      <c r="R1028">
        <v>2017</v>
      </c>
      <c r="S1028" s="4">
        <f t="shared" ref="S1028:S1091" si="66">DATE(R1028,P1028,Q1028)</f>
        <v>43037</v>
      </c>
      <c r="T1028" s="4">
        <f t="shared" si="64"/>
        <v>43037</v>
      </c>
      <c r="U1028" s="4">
        <v>43037</v>
      </c>
    </row>
    <row r="1029" spans="1:21" x14ac:dyDescent="0.3">
      <c r="A1029" t="s">
        <v>1569</v>
      </c>
      <c r="B1029" s="1" t="s">
        <v>77</v>
      </c>
      <c r="C1029" s="1" t="s">
        <v>78</v>
      </c>
      <c r="D1029" s="1" t="s">
        <v>35</v>
      </c>
      <c r="E1029" s="2" t="s">
        <v>3447</v>
      </c>
      <c r="F1029" s="2" t="b">
        <f t="shared" ref="F1029:F1092" si="67">ISNUMBER(E1029)</f>
        <v>0</v>
      </c>
      <c r="G1029" s="2">
        <f t="shared" si="65"/>
        <v>42729</v>
      </c>
      <c r="H1029" s="1" t="s">
        <v>104</v>
      </c>
      <c r="I1029" s="1" t="s">
        <v>668</v>
      </c>
      <c r="J1029" s="1">
        <v>70</v>
      </c>
      <c r="K1029" s="1">
        <v>65</v>
      </c>
      <c r="L1029" s="3">
        <v>7.1400000000000005E-2</v>
      </c>
      <c r="N1029" t="s">
        <v>3447</v>
      </c>
      <c r="P1029">
        <v>12</v>
      </c>
      <c r="Q1029">
        <v>25</v>
      </c>
      <c r="R1029">
        <v>2016</v>
      </c>
      <c r="S1029" s="4">
        <f t="shared" si="66"/>
        <v>42729</v>
      </c>
      <c r="T1029" s="4">
        <f t="shared" si="64"/>
        <v>42729</v>
      </c>
      <c r="U1029" s="4">
        <v>42729</v>
      </c>
    </row>
    <row r="1030" spans="1:21" x14ac:dyDescent="0.3">
      <c r="A1030" t="s">
        <v>1570</v>
      </c>
      <c r="B1030" s="1" t="s">
        <v>124</v>
      </c>
      <c r="C1030" s="1" t="s">
        <v>40</v>
      </c>
      <c r="D1030" s="1" t="s">
        <v>35</v>
      </c>
      <c r="E1030" s="2" t="s">
        <v>3099</v>
      </c>
      <c r="F1030" s="2" t="b">
        <f t="shared" si="67"/>
        <v>0</v>
      </c>
      <c r="G1030" s="2">
        <f t="shared" si="65"/>
        <v>41750</v>
      </c>
      <c r="H1030" s="1" t="s">
        <v>61</v>
      </c>
      <c r="I1030" s="1" t="s">
        <v>1017</v>
      </c>
      <c r="J1030" s="1">
        <v>1000</v>
      </c>
      <c r="K1030" s="1">
        <v>630</v>
      </c>
      <c r="L1030" s="3">
        <v>0.37</v>
      </c>
      <c r="N1030" t="s">
        <v>3099</v>
      </c>
      <c r="P1030">
        <v>4</v>
      </c>
      <c r="Q1030">
        <v>21</v>
      </c>
      <c r="R1030">
        <v>2014</v>
      </c>
      <c r="S1030" s="4">
        <f t="shared" si="66"/>
        <v>41750</v>
      </c>
      <c r="T1030" s="4">
        <f t="shared" si="64"/>
        <v>41750</v>
      </c>
      <c r="U1030" s="4">
        <v>41750</v>
      </c>
    </row>
    <row r="1031" spans="1:21" x14ac:dyDescent="0.3">
      <c r="A1031" t="s">
        <v>1571</v>
      </c>
      <c r="B1031" s="1" t="s">
        <v>150</v>
      </c>
      <c r="C1031" s="1" t="s">
        <v>151</v>
      </c>
      <c r="D1031" s="1" t="s">
        <v>13</v>
      </c>
      <c r="E1031" s="2" t="s">
        <v>3448</v>
      </c>
      <c r="F1031" s="2" t="b">
        <f t="shared" si="67"/>
        <v>0</v>
      </c>
      <c r="G1031" s="2">
        <f t="shared" si="65"/>
        <v>42323</v>
      </c>
      <c r="H1031" s="1" t="s">
        <v>30</v>
      </c>
      <c r="I1031" s="1" t="s">
        <v>824</v>
      </c>
      <c r="J1031" s="1">
        <v>150</v>
      </c>
      <c r="K1031" s="1">
        <v>113</v>
      </c>
      <c r="L1031" s="3">
        <v>0.2467</v>
      </c>
      <c r="N1031" t="s">
        <v>3448</v>
      </c>
      <c r="P1031">
        <v>11</v>
      </c>
      <c r="Q1031">
        <v>15</v>
      </c>
      <c r="R1031">
        <v>2015</v>
      </c>
      <c r="S1031" s="4">
        <f t="shared" si="66"/>
        <v>42323</v>
      </c>
      <c r="T1031" s="4">
        <f t="shared" si="64"/>
        <v>42323</v>
      </c>
      <c r="U1031" s="4">
        <v>42323</v>
      </c>
    </row>
    <row r="1032" spans="1:21" x14ac:dyDescent="0.3">
      <c r="A1032" t="s">
        <v>1572</v>
      </c>
      <c r="B1032" s="1" t="s">
        <v>174</v>
      </c>
      <c r="C1032" s="1" t="s">
        <v>175</v>
      </c>
      <c r="D1032" s="1" t="s">
        <v>13</v>
      </c>
      <c r="E1032" s="2" t="s">
        <v>3449</v>
      </c>
      <c r="F1032" s="2" t="b">
        <f t="shared" si="67"/>
        <v>0</v>
      </c>
      <c r="G1032" s="2">
        <f t="shared" si="65"/>
        <v>42034</v>
      </c>
      <c r="H1032" s="1" t="s">
        <v>72</v>
      </c>
      <c r="I1032" s="1" t="s">
        <v>1456</v>
      </c>
      <c r="J1032" s="1">
        <v>500</v>
      </c>
      <c r="K1032" s="1">
        <v>490</v>
      </c>
      <c r="L1032" s="3">
        <v>0.02</v>
      </c>
      <c r="N1032" t="s">
        <v>3449</v>
      </c>
      <c r="P1032">
        <v>1</v>
      </c>
      <c r="Q1032">
        <v>30</v>
      </c>
      <c r="R1032">
        <v>2015</v>
      </c>
      <c r="S1032" s="4">
        <f t="shared" si="66"/>
        <v>42034</v>
      </c>
      <c r="T1032" s="4">
        <f t="shared" si="64"/>
        <v>42034</v>
      </c>
      <c r="U1032" s="4">
        <v>42034</v>
      </c>
    </row>
    <row r="1033" spans="1:21" x14ac:dyDescent="0.3">
      <c r="A1033" t="s">
        <v>1573</v>
      </c>
      <c r="B1033" s="1" t="s">
        <v>107</v>
      </c>
      <c r="C1033" s="1" t="s">
        <v>108</v>
      </c>
      <c r="D1033" s="1" t="s">
        <v>19</v>
      </c>
      <c r="E1033" s="2" t="s">
        <v>3450</v>
      </c>
      <c r="F1033" s="2" t="b">
        <f t="shared" si="67"/>
        <v>0</v>
      </c>
      <c r="G1033" s="2">
        <f t="shared" si="65"/>
        <v>42511</v>
      </c>
      <c r="H1033" s="1" t="s">
        <v>36</v>
      </c>
      <c r="I1033" s="1" t="s">
        <v>354</v>
      </c>
      <c r="J1033" s="1">
        <v>50</v>
      </c>
      <c r="K1033" s="1">
        <v>46</v>
      </c>
      <c r="L1033" s="3">
        <v>0.08</v>
      </c>
      <c r="N1033" t="s">
        <v>3450</v>
      </c>
      <c r="P1033">
        <v>5</v>
      </c>
      <c r="Q1033">
        <v>21</v>
      </c>
      <c r="R1033">
        <v>2016</v>
      </c>
      <c r="S1033" s="4">
        <f t="shared" si="66"/>
        <v>42511</v>
      </c>
      <c r="T1033" s="4">
        <f t="shared" si="64"/>
        <v>42511</v>
      </c>
      <c r="U1033" s="4">
        <v>42511</v>
      </c>
    </row>
    <row r="1034" spans="1:21" x14ac:dyDescent="0.3">
      <c r="A1034" t="s">
        <v>1574</v>
      </c>
      <c r="B1034" s="1" t="s">
        <v>264</v>
      </c>
      <c r="C1034" s="1" t="s">
        <v>265</v>
      </c>
      <c r="D1034" s="1" t="s">
        <v>13</v>
      </c>
      <c r="E1034" s="2" t="s">
        <v>3152</v>
      </c>
      <c r="F1034" s="2" t="b">
        <f t="shared" si="67"/>
        <v>0</v>
      </c>
      <c r="G1034" s="2">
        <f t="shared" si="65"/>
        <v>42567</v>
      </c>
      <c r="H1034" s="1" t="s">
        <v>25</v>
      </c>
      <c r="I1034" s="1" t="s">
        <v>802</v>
      </c>
      <c r="J1034" s="1">
        <v>700</v>
      </c>
      <c r="K1034" s="1">
        <v>672</v>
      </c>
      <c r="L1034" s="3">
        <v>0.04</v>
      </c>
      <c r="N1034" t="s">
        <v>3152</v>
      </c>
      <c r="P1034">
        <v>7</v>
      </c>
      <c r="Q1034">
        <v>16</v>
      </c>
      <c r="R1034">
        <v>2016</v>
      </c>
      <c r="S1034" s="4">
        <f t="shared" si="66"/>
        <v>42567</v>
      </c>
      <c r="T1034" s="4">
        <f t="shared" si="64"/>
        <v>42567</v>
      </c>
      <c r="U1034" s="4">
        <v>42567</v>
      </c>
    </row>
    <row r="1035" spans="1:21" x14ac:dyDescent="0.3">
      <c r="A1035" t="s">
        <v>1575</v>
      </c>
      <c r="B1035" s="1" t="s">
        <v>99</v>
      </c>
      <c r="C1035" s="1" t="s">
        <v>100</v>
      </c>
      <c r="D1035" s="1" t="s">
        <v>13</v>
      </c>
      <c r="E1035" s="2">
        <v>42952</v>
      </c>
      <c r="F1035" s="2" t="b">
        <f t="shared" si="67"/>
        <v>1</v>
      </c>
      <c r="G1035" s="2">
        <f t="shared" si="65"/>
        <v>42952</v>
      </c>
      <c r="H1035" s="1" t="s">
        <v>122</v>
      </c>
      <c r="I1035" s="1" t="s">
        <v>1090</v>
      </c>
      <c r="J1035" s="1">
        <v>50</v>
      </c>
      <c r="K1035" s="1">
        <v>48</v>
      </c>
      <c r="L1035" s="3">
        <v>0.04</v>
      </c>
      <c r="N1035" t="s">
        <v>3763</v>
      </c>
      <c r="S1035" s="4" t="e">
        <f t="shared" si="66"/>
        <v>#NUM!</v>
      </c>
      <c r="T1035" s="4" t="str">
        <f t="shared" si="64"/>
        <v/>
      </c>
      <c r="U1035" s="4" t="s">
        <v>3763</v>
      </c>
    </row>
    <row r="1036" spans="1:21" x14ac:dyDescent="0.3">
      <c r="A1036" t="s">
        <v>1576</v>
      </c>
      <c r="B1036" s="1" t="s">
        <v>134</v>
      </c>
      <c r="C1036" s="1" t="s">
        <v>92</v>
      </c>
      <c r="D1036" s="1" t="s">
        <v>35</v>
      </c>
      <c r="E1036" s="2" t="s">
        <v>3451</v>
      </c>
      <c r="F1036" s="2" t="b">
        <f t="shared" si="67"/>
        <v>0</v>
      </c>
      <c r="G1036" s="2">
        <f t="shared" si="65"/>
        <v>41756</v>
      </c>
      <c r="H1036" s="1" t="s">
        <v>72</v>
      </c>
      <c r="I1036" s="1" t="s">
        <v>747</v>
      </c>
      <c r="J1036" s="1">
        <v>500</v>
      </c>
      <c r="K1036" s="1">
        <v>490</v>
      </c>
      <c r="L1036" s="3">
        <v>0.02</v>
      </c>
      <c r="N1036" t="s">
        <v>3451</v>
      </c>
      <c r="P1036">
        <v>4</v>
      </c>
      <c r="Q1036">
        <v>27</v>
      </c>
      <c r="R1036">
        <v>2014</v>
      </c>
      <c r="S1036" s="4">
        <f t="shared" si="66"/>
        <v>41756</v>
      </c>
      <c r="T1036" s="4">
        <f t="shared" si="64"/>
        <v>41756</v>
      </c>
      <c r="U1036" s="4">
        <v>41756</v>
      </c>
    </row>
    <row r="1037" spans="1:21" x14ac:dyDescent="0.3">
      <c r="A1037" t="s">
        <v>1577</v>
      </c>
      <c r="B1037" s="1" t="s">
        <v>205</v>
      </c>
      <c r="C1037" s="1" t="s">
        <v>206</v>
      </c>
      <c r="D1037" s="1" t="s">
        <v>24</v>
      </c>
      <c r="E1037" s="2">
        <v>42311</v>
      </c>
      <c r="F1037" s="2" t="b">
        <f t="shared" si="67"/>
        <v>1</v>
      </c>
      <c r="G1037" s="2">
        <f t="shared" si="65"/>
        <v>42311</v>
      </c>
      <c r="H1037" s="1" t="s">
        <v>104</v>
      </c>
      <c r="I1037" s="1" t="s">
        <v>722</v>
      </c>
      <c r="J1037" s="1">
        <v>70</v>
      </c>
      <c r="K1037" s="1">
        <v>58</v>
      </c>
      <c r="L1037" s="3">
        <v>0.1714</v>
      </c>
      <c r="N1037" t="s">
        <v>3763</v>
      </c>
      <c r="S1037" s="4" t="e">
        <f t="shared" si="66"/>
        <v>#NUM!</v>
      </c>
      <c r="T1037" s="4" t="str">
        <f t="shared" si="64"/>
        <v/>
      </c>
      <c r="U1037" s="4" t="s">
        <v>3763</v>
      </c>
    </row>
    <row r="1038" spans="1:21" x14ac:dyDescent="0.3">
      <c r="A1038" t="s">
        <v>1578</v>
      </c>
      <c r="B1038" s="1" t="s">
        <v>170</v>
      </c>
      <c r="C1038" s="1" t="s">
        <v>171</v>
      </c>
      <c r="D1038" s="1" t="s">
        <v>13</v>
      </c>
      <c r="E1038" s="2" t="s">
        <v>3202</v>
      </c>
      <c r="F1038" s="2" t="b">
        <f t="shared" si="67"/>
        <v>0</v>
      </c>
      <c r="G1038" s="2">
        <f t="shared" si="65"/>
        <v>42414</v>
      </c>
      <c r="H1038" s="1" t="s">
        <v>104</v>
      </c>
      <c r="I1038" s="1" t="s">
        <v>941</v>
      </c>
      <c r="J1038" s="1">
        <v>70</v>
      </c>
      <c r="K1038" s="1">
        <v>60</v>
      </c>
      <c r="L1038" s="3">
        <v>0.1429</v>
      </c>
      <c r="N1038" t="s">
        <v>3202</v>
      </c>
      <c r="P1038">
        <v>2</v>
      </c>
      <c r="Q1038">
        <v>14</v>
      </c>
      <c r="R1038">
        <v>2016</v>
      </c>
      <c r="S1038" s="4">
        <f t="shared" si="66"/>
        <v>42414</v>
      </c>
      <c r="T1038" s="4">
        <f t="shared" si="64"/>
        <v>42414</v>
      </c>
      <c r="U1038" s="4">
        <v>42414</v>
      </c>
    </row>
    <row r="1039" spans="1:21" x14ac:dyDescent="0.3">
      <c r="A1039" t="s">
        <v>1579</v>
      </c>
      <c r="B1039" s="1" t="s">
        <v>227</v>
      </c>
      <c r="C1039" s="1" t="s">
        <v>228</v>
      </c>
      <c r="D1039" s="1" t="s">
        <v>24</v>
      </c>
      <c r="E1039" s="2">
        <v>41768</v>
      </c>
      <c r="F1039" s="2" t="b">
        <f t="shared" si="67"/>
        <v>1</v>
      </c>
      <c r="G1039" s="2">
        <f t="shared" si="65"/>
        <v>41768</v>
      </c>
      <c r="H1039" s="1" t="s">
        <v>55</v>
      </c>
      <c r="I1039" s="1" t="s">
        <v>621</v>
      </c>
      <c r="J1039" s="1">
        <v>800</v>
      </c>
      <c r="K1039" s="1">
        <v>688</v>
      </c>
      <c r="L1039" s="3">
        <v>0.14000000000000001</v>
      </c>
      <c r="N1039" t="s">
        <v>3763</v>
      </c>
      <c r="S1039" s="4" t="e">
        <f t="shared" si="66"/>
        <v>#NUM!</v>
      </c>
      <c r="T1039" s="4" t="str">
        <f t="shared" si="64"/>
        <v/>
      </c>
      <c r="U1039" s="4" t="s">
        <v>3763</v>
      </c>
    </row>
    <row r="1040" spans="1:21" x14ac:dyDescent="0.3">
      <c r="A1040" t="s">
        <v>1580</v>
      </c>
      <c r="B1040" s="1" t="s">
        <v>146</v>
      </c>
      <c r="C1040" s="1" t="s">
        <v>147</v>
      </c>
      <c r="D1040" s="1" t="s">
        <v>13</v>
      </c>
      <c r="E1040" s="2" t="s">
        <v>3452</v>
      </c>
      <c r="F1040" s="2" t="b">
        <f t="shared" si="67"/>
        <v>0</v>
      </c>
      <c r="G1040" s="2">
        <f t="shared" si="65"/>
        <v>42061</v>
      </c>
      <c r="H1040" s="1" t="s">
        <v>115</v>
      </c>
      <c r="I1040" s="1" t="s">
        <v>1318</v>
      </c>
      <c r="J1040" s="1">
        <v>250</v>
      </c>
      <c r="K1040" s="1">
        <v>155</v>
      </c>
      <c r="L1040" s="3">
        <v>0.38</v>
      </c>
      <c r="N1040" t="s">
        <v>3452</v>
      </c>
      <c r="P1040">
        <v>2</v>
      </c>
      <c r="Q1040">
        <v>26</v>
      </c>
      <c r="R1040">
        <v>2015</v>
      </c>
      <c r="S1040" s="4">
        <f t="shared" si="66"/>
        <v>42061</v>
      </c>
      <c r="T1040" s="4">
        <f t="shared" si="64"/>
        <v>42061</v>
      </c>
      <c r="U1040" s="4">
        <v>42061</v>
      </c>
    </row>
    <row r="1041" spans="1:21" x14ac:dyDescent="0.3">
      <c r="A1041" t="s">
        <v>1581</v>
      </c>
      <c r="B1041" s="1" t="s">
        <v>85</v>
      </c>
      <c r="C1041" s="1" t="s">
        <v>86</v>
      </c>
      <c r="D1041" s="1" t="s">
        <v>13</v>
      </c>
      <c r="E1041" s="2">
        <v>41920</v>
      </c>
      <c r="F1041" s="2" t="b">
        <f t="shared" si="67"/>
        <v>1</v>
      </c>
      <c r="G1041" s="2">
        <f t="shared" si="65"/>
        <v>41920</v>
      </c>
      <c r="H1041" s="1" t="s">
        <v>25</v>
      </c>
      <c r="I1041" s="1" t="s">
        <v>340</v>
      </c>
      <c r="J1041" s="1">
        <v>700</v>
      </c>
      <c r="K1041" s="1">
        <v>504</v>
      </c>
      <c r="L1041" s="3">
        <v>0.28000000000000003</v>
      </c>
      <c r="N1041" t="s">
        <v>3763</v>
      </c>
      <c r="S1041" s="4" t="e">
        <f t="shared" si="66"/>
        <v>#NUM!</v>
      </c>
      <c r="T1041" s="4" t="str">
        <f t="shared" si="64"/>
        <v/>
      </c>
      <c r="U1041" s="4" t="s">
        <v>3763</v>
      </c>
    </row>
    <row r="1042" spans="1:21" x14ac:dyDescent="0.3">
      <c r="A1042" t="s">
        <v>1582</v>
      </c>
      <c r="B1042" s="1" t="s">
        <v>146</v>
      </c>
      <c r="C1042" s="1" t="s">
        <v>147</v>
      </c>
      <c r="D1042" s="1" t="s">
        <v>13</v>
      </c>
      <c r="E1042" s="2" t="s">
        <v>3333</v>
      </c>
      <c r="F1042" s="2" t="b">
        <f t="shared" si="67"/>
        <v>0</v>
      </c>
      <c r="G1042" s="2">
        <f t="shared" si="65"/>
        <v>41745</v>
      </c>
      <c r="H1042" s="1" t="s">
        <v>25</v>
      </c>
      <c r="I1042" s="1" t="s">
        <v>1318</v>
      </c>
      <c r="J1042" s="1">
        <v>700</v>
      </c>
      <c r="K1042" s="1">
        <v>511</v>
      </c>
      <c r="L1042" s="3">
        <v>0.27</v>
      </c>
      <c r="N1042" t="s">
        <v>3333</v>
      </c>
      <c r="P1042">
        <v>4</v>
      </c>
      <c r="Q1042">
        <v>16</v>
      </c>
      <c r="R1042">
        <v>2014</v>
      </c>
      <c r="S1042" s="4">
        <f t="shared" si="66"/>
        <v>41745</v>
      </c>
      <c r="T1042" s="4">
        <f t="shared" si="64"/>
        <v>41745</v>
      </c>
      <c r="U1042" s="4">
        <v>41745</v>
      </c>
    </row>
    <row r="1043" spans="1:21" x14ac:dyDescent="0.3">
      <c r="A1043" t="s">
        <v>1583</v>
      </c>
      <c r="B1043" s="1" t="s">
        <v>22</v>
      </c>
      <c r="C1043" s="1" t="s">
        <v>23</v>
      </c>
      <c r="D1043" s="1" t="s">
        <v>24</v>
      </c>
      <c r="E1043" s="2" t="s">
        <v>2961</v>
      </c>
      <c r="F1043" s="2" t="b">
        <f t="shared" si="67"/>
        <v>0</v>
      </c>
      <c r="G1043" s="2">
        <f t="shared" si="65"/>
        <v>43326</v>
      </c>
      <c r="H1043" s="1" t="s">
        <v>115</v>
      </c>
      <c r="I1043" s="1" t="s">
        <v>1584</v>
      </c>
      <c r="J1043" s="1">
        <v>250</v>
      </c>
      <c r="K1043" s="1">
        <v>250</v>
      </c>
      <c r="L1043" s="3">
        <v>0</v>
      </c>
      <c r="N1043" t="s">
        <v>2961</v>
      </c>
      <c r="P1043">
        <v>8</v>
      </c>
      <c r="Q1043">
        <v>14</v>
      </c>
      <c r="R1043">
        <v>2018</v>
      </c>
      <c r="S1043" s="4">
        <f t="shared" si="66"/>
        <v>43326</v>
      </c>
      <c r="T1043" s="4">
        <f t="shared" si="64"/>
        <v>43326</v>
      </c>
      <c r="U1043" s="4">
        <v>43326</v>
      </c>
    </row>
    <row r="1044" spans="1:21" x14ac:dyDescent="0.3">
      <c r="A1044" t="s">
        <v>1585</v>
      </c>
      <c r="B1044" s="1" t="s">
        <v>241</v>
      </c>
      <c r="C1044" s="1" t="s">
        <v>242</v>
      </c>
      <c r="D1044" s="1" t="s">
        <v>13</v>
      </c>
      <c r="E1044" s="2" t="s">
        <v>3453</v>
      </c>
      <c r="F1044" s="2" t="b">
        <f t="shared" si="67"/>
        <v>0</v>
      </c>
      <c r="G1044" s="2">
        <f t="shared" si="65"/>
        <v>43247</v>
      </c>
      <c r="H1044" s="1" t="s">
        <v>36</v>
      </c>
      <c r="I1044" s="1" t="s">
        <v>380</v>
      </c>
      <c r="J1044" s="1">
        <v>50</v>
      </c>
      <c r="K1044" s="1">
        <v>50</v>
      </c>
      <c r="L1044" s="3">
        <v>0</v>
      </c>
      <c r="N1044" t="s">
        <v>3453</v>
      </c>
      <c r="P1044">
        <v>5</v>
      </c>
      <c r="Q1044">
        <v>27</v>
      </c>
      <c r="R1044">
        <v>2018</v>
      </c>
      <c r="S1044" s="4">
        <f t="shared" si="66"/>
        <v>43247</v>
      </c>
      <c r="T1044" s="4">
        <f t="shared" si="64"/>
        <v>43247</v>
      </c>
      <c r="U1044" s="4">
        <v>43247</v>
      </c>
    </row>
    <row r="1045" spans="1:21" x14ac:dyDescent="0.3">
      <c r="A1045" t="s">
        <v>1586</v>
      </c>
      <c r="B1045" s="1" t="s">
        <v>59</v>
      </c>
      <c r="C1045" s="1" t="s">
        <v>60</v>
      </c>
      <c r="D1045" s="1" t="s">
        <v>13</v>
      </c>
      <c r="E1045" s="2" t="s">
        <v>3107</v>
      </c>
      <c r="F1045" s="2" t="b">
        <f t="shared" si="67"/>
        <v>0</v>
      </c>
      <c r="G1045" s="2">
        <f t="shared" si="65"/>
        <v>42474</v>
      </c>
      <c r="H1045" s="1" t="s">
        <v>30</v>
      </c>
      <c r="I1045" s="1" t="s">
        <v>312</v>
      </c>
      <c r="J1045" s="1">
        <v>150</v>
      </c>
      <c r="K1045" s="1">
        <v>135</v>
      </c>
      <c r="L1045" s="3">
        <v>0.1</v>
      </c>
      <c r="N1045" t="s">
        <v>3107</v>
      </c>
      <c r="P1045">
        <v>4</v>
      </c>
      <c r="Q1045">
        <v>14</v>
      </c>
      <c r="R1045">
        <v>2016</v>
      </c>
      <c r="S1045" s="4">
        <f t="shared" si="66"/>
        <v>42474</v>
      </c>
      <c r="T1045" s="4">
        <f t="shared" si="64"/>
        <v>42474</v>
      </c>
      <c r="U1045" s="4">
        <v>42474</v>
      </c>
    </row>
    <row r="1046" spans="1:21" x14ac:dyDescent="0.3">
      <c r="A1046" t="s">
        <v>1587</v>
      </c>
      <c r="B1046" s="1" t="s">
        <v>28</v>
      </c>
      <c r="C1046" s="1" t="s">
        <v>29</v>
      </c>
      <c r="D1046" s="1" t="s">
        <v>13</v>
      </c>
      <c r="E1046" s="2">
        <v>43050</v>
      </c>
      <c r="F1046" s="2" t="b">
        <f t="shared" si="67"/>
        <v>1</v>
      </c>
      <c r="G1046" s="2">
        <f t="shared" si="65"/>
        <v>43050</v>
      </c>
      <c r="H1046" s="1" t="s">
        <v>104</v>
      </c>
      <c r="I1046" s="1" t="s">
        <v>249</v>
      </c>
      <c r="J1046" s="1">
        <v>70</v>
      </c>
      <c r="K1046" s="1">
        <v>68</v>
      </c>
      <c r="L1046" s="3">
        <v>2.86E-2</v>
      </c>
      <c r="N1046" t="s">
        <v>3763</v>
      </c>
      <c r="S1046" s="4" t="e">
        <f t="shared" si="66"/>
        <v>#NUM!</v>
      </c>
      <c r="T1046" s="4" t="str">
        <f t="shared" si="64"/>
        <v/>
      </c>
      <c r="U1046" s="4" t="s">
        <v>3763</v>
      </c>
    </row>
    <row r="1047" spans="1:21" x14ac:dyDescent="0.3">
      <c r="A1047" t="s">
        <v>1588</v>
      </c>
      <c r="B1047" s="1" t="s">
        <v>154</v>
      </c>
      <c r="C1047" s="1" t="s">
        <v>108</v>
      </c>
      <c r="D1047" s="1" t="s">
        <v>19</v>
      </c>
      <c r="E1047" s="2">
        <v>42008</v>
      </c>
      <c r="F1047" s="2" t="b">
        <f t="shared" si="67"/>
        <v>1</v>
      </c>
      <c r="G1047" s="2">
        <f t="shared" si="65"/>
        <v>42008</v>
      </c>
      <c r="H1047" s="1" t="s">
        <v>61</v>
      </c>
      <c r="I1047" s="1" t="s">
        <v>737</v>
      </c>
      <c r="J1047" s="1">
        <v>1000</v>
      </c>
      <c r="K1047" s="1">
        <v>680</v>
      </c>
      <c r="L1047" s="3">
        <v>0.32</v>
      </c>
      <c r="N1047" t="s">
        <v>3763</v>
      </c>
      <c r="S1047" s="4" t="e">
        <f t="shared" si="66"/>
        <v>#NUM!</v>
      </c>
      <c r="T1047" s="4" t="str">
        <f t="shared" si="64"/>
        <v/>
      </c>
      <c r="U1047" s="4" t="s">
        <v>3763</v>
      </c>
    </row>
    <row r="1048" spans="1:21" x14ac:dyDescent="0.3">
      <c r="A1048" t="s">
        <v>1589</v>
      </c>
      <c r="B1048" s="1" t="s">
        <v>187</v>
      </c>
      <c r="C1048" s="1" t="s">
        <v>188</v>
      </c>
      <c r="D1048" s="1" t="s">
        <v>13</v>
      </c>
      <c r="E1048" s="2" t="s">
        <v>3356</v>
      </c>
      <c r="F1048" s="2" t="b">
        <f t="shared" si="67"/>
        <v>0</v>
      </c>
      <c r="G1048" s="2">
        <f t="shared" si="65"/>
        <v>41850</v>
      </c>
      <c r="H1048" s="1" t="s">
        <v>104</v>
      </c>
      <c r="I1048" s="1" t="s">
        <v>189</v>
      </c>
      <c r="J1048" s="1">
        <v>70</v>
      </c>
      <c r="K1048" s="1">
        <v>65</v>
      </c>
      <c r="L1048" s="3">
        <v>7.1400000000000005E-2</v>
      </c>
      <c r="N1048" t="s">
        <v>3356</v>
      </c>
      <c r="P1048">
        <v>7</v>
      </c>
      <c r="Q1048">
        <v>30</v>
      </c>
      <c r="R1048">
        <v>2014</v>
      </c>
      <c r="S1048" s="4">
        <f t="shared" si="66"/>
        <v>41850</v>
      </c>
      <c r="T1048" s="4">
        <f t="shared" si="64"/>
        <v>41850</v>
      </c>
      <c r="U1048" s="4">
        <v>41850</v>
      </c>
    </row>
    <row r="1049" spans="1:21" x14ac:dyDescent="0.3">
      <c r="A1049" t="s">
        <v>1590</v>
      </c>
      <c r="B1049" s="1" t="s">
        <v>150</v>
      </c>
      <c r="C1049" s="1" t="s">
        <v>151</v>
      </c>
      <c r="D1049" s="1" t="s">
        <v>13</v>
      </c>
      <c r="E1049" s="2" t="s">
        <v>2967</v>
      </c>
      <c r="F1049" s="2" t="b">
        <f t="shared" si="67"/>
        <v>0</v>
      </c>
      <c r="G1049" s="2">
        <f t="shared" si="65"/>
        <v>43006</v>
      </c>
      <c r="H1049" s="1" t="s">
        <v>55</v>
      </c>
      <c r="I1049" s="1" t="s">
        <v>824</v>
      </c>
      <c r="J1049" s="1">
        <v>800</v>
      </c>
      <c r="K1049" s="1">
        <v>488</v>
      </c>
      <c r="L1049" s="3">
        <v>0.39</v>
      </c>
      <c r="N1049" t="s">
        <v>2967</v>
      </c>
      <c r="P1049">
        <v>9</v>
      </c>
      <c r="Q1049">
        <v>28</v>
      </c>
      <c r="R1049">
        <v>2017</v>
      </c>
      <c r="S1049" s="4">
        <f t="shared" si="66"/>
        <v>43006</v>
      </c>
      <c r="T1049" s="4">
        <f t="shared" si="64"/>
        <v>43006</v>
      </c>
      <c r="U1049" s="4">
        <v>43006</v>
      </c>
    </row>
    <row r="1050" spans="1:21" x14ac:dyDescent="0.3">
      <c r="A1050" t="s">
        <v>1591</v>
      </c>
      <c r="B1050" s="1" t="s">
        <v>131</v>
      </c>
      <c r="C1050" s="1" t="s">
        <v>108</v>
      </c>
      <c r="D1050" s="1" t="s">
        <v>19</v>
      </c>
      <c r="E1050" s="2">
        <v>42403</v>
      </c>
      <c r="F1050" s="2" t="b">
        <f t="shared" si="67"/>
        <v>1</v>
      </c>
      <c r="G1050" s="2">
        <f t="shared" si="65"/>
        <v>42403</v>
      </c>
      <c r="H1050" s="1" t="s">
        <v>41</v>
      </c>
      <c r="I1050" s="1" t="s">
        <v>474</v>
      </c>
      <c r="J1050" s="1">
        <v>30</v>
      </c>
      <c r="K1050" s="1">
        <v>27</v>
      </c>
      <c r="L1050" s="3">
        <v>0.1</v>
      </c>
      <c r="N1050" t="s">
        <v>3763</v>
      </c>
      <c r="S1050" s="4" t="e">
        <f t="shared" si="66"/>
        <v>#NUM!</v>
      </c>
      <c r="T1050" s="4" t="str">
        <f t="shared" si="64"/>
        <v/>
      </c>
      <c r="U1050" s="4" t="s">
        <v>3763</v>
      </c>
    </row>
    <row r="1051" spans="1:21" x14ac:dyDescent="0.3">
      <c r="A1051" t="s">
        <v>1592</v>
      </c>
      <c r="B1051" s="1" t="s">
        <v>44</v>
      </c>
      <c r="C1051" s="1" t="s">
        <v>45</v>
      </c>
      <c r="D1051" s="1" t="s">
        <v>24</v>
      </c>
      <c r="E1051" s="2">
        <v>41951</v>
      </c>
      <c r="F1051" s="2" t="b">
        <f t="shared" si="67"/>
        <v>1</v>
      </c>
      <c r="G1051" s="2">
        <f t="shared" si="65"/>
        <v>41951</v>
      </c>
      <c r="H1051" s="1" t="s">
        <v>55</v>
      </c>
      <c r="I1051" s="1" t="s">
        <v>1177</v>
      </c>
      <c r="J1051" s="1">
        <v>800</v>
      </c>
      <c r="K1051" s="1">
        <v>448</v>
      </c>
      <c r="L1051" s="3">
        <v>0.44</v>
      </c>
      <c r="N1051" t="s">
        <v>3763</v>
      </c>
      <c r="S1051" s="4" t="e">
        <f t="shared" si="66"/>
        <v>#NUM!</v>
      </c>
      <c r="T1051" s="4" t="str">
        <f t="shared" si="64"/>
        <v/>
      </c>
      <c r="U1051" s="4" t="s">
        <v>3763</v>
      </c>
    </row>
    <row r="1052" spans="1:21" x14ac:dyDescent="0.3">
      <c r="A1052" t="s">
        <v>1593</v>
      </c>
      <c r="B1052" s="1" t="s">
        <v>205</v>
      </c>
      <c r="C1052" s="1" t="s">
        <v>206</v>
      </c>
      <c r="D1052" s="1" t="s">
        <v>24</v>
      </c>
      <c r="E1052" s="2" t="s">
        <v>3454</v>
      </c>
      <c r="F1052" s="2" t="b">
        <f t="shared" si="67"/>
        <v>0</v>
      </c>
      <c r="G1052" s="2">
        <f t="shared" si="65"/>
        <v>43182</v>
      </c>
      <c r="H1052" s="1" t="s">
        <v>41</v>
      </c>
      <c r="I1052" s="1" t="s">
        <v>596</v>
      </c>
      <c r="J1052" s="1">
        <v>30</v>
      </c>
      <c r="K1052" s="1">
        <v>29</v>
      </c>
      <c r="L1052" s="3">
        <v>3.3300000000000003E-2</v>
      </c>
      <c r="N1052" t="s">
        <v>3454</v>
      </c>
      <c r="P1052">
        <v>3</v>
      </c>
      <c r="Q1052">
        <v>23</v>
      </c>
      <c r="R1052">
        <v>2018</v>
      </c>
      <c r="S1052" s="4">
        <f t="shared" si="66"/>
        <v>43182</v>
      </c>
      <c r="T1052" s="4">
        <f t="shared" si="64"/>
        <v>43182</v>
      </c>
      <c r="U1052" s="4">
        <v>43182</v>
      </c>
    </row>
    <row r="1053" spans="1:21" x14ac:dyDescent="0.3">
      <c r="A1053" t="s">
        <v>1594</v>
      </c>
      <c r="B1053" s="1" t="s">
        <v>227</v>
      </c>
      <c r="C1053" s="1" t="s">
        <v>228</v>
      </c>
      <c r="D1053" s="1" t="s">
        <v>24</v>
      </c>
      <c r="E1053" s="2" t="s">
        <v>3455</v>
      </c>
      <c r="F1053" s="2" t="b">
        <f t="shared" si="67"/>
        <v>0</v>
      </c>
      <c r="G1053" s="2">
        <f t="shared" si="65"/>
        <v>43244</v>
      </c>
      <c r="H1053" s="1" t="s">
        <v>25</v>
      </c>
      <c r="I1053" s="1" t="s">
        <v>229</v>
      </c>
      <c r="J1053" s="1">
        <v>700</v>
      </c>
      <c r="K1053" s="1">
        <v>651</v>
      </c>
      <c r="L1053" s="3">
        <v>7.0000000000000007E-2</v>
      </c>
      <c r="N1053" t="s">
        <v>3455</v>
      </c>
      <c r="P1053">
        <v>5</v>
      </c>
      <c r="Q1053">
        <v>24</v>
      </c>
      <c r="R1053">
        <v>2018</v>
      </c>
      <c r="S1053" s="4">
        <f t="shared" si="66"/>
        <v>43244</v>
      </c>
      <c r="T1053" s="4">
        <f t="shared" si="64"/>
        <v>43244</v>
      </c>
      <c r="U1053" s="4">
        <v>43244</v>
      </c>
    </row>
    <row r="1054" spans="1:21" x14ac:dyDescent="0.3">
      <c r="A1054" t="s">
        <v>1595</v>
      </c>
      <c r="B1054" s="1" t="s">
        <v>205</v>
      </c>
      <c r="C1054" s="1" t="s">
        <v>206</v>
      </c>
      <c r="D1054" s="1" t="s">
        <v>24</v>
      </c>
      <c r="E1054" s="2">
        <v>42593</v>
      </c>
      <c r="F1054" s="2" t="b">
        <f t="shared" si="67"/>
        <v>1</v>
      </c>
      <c r="G1054" s="2">
        <f t="shared" si="65"/>
        <v>42593</v>
      </c>
      <c r="H1054" s="1" t="s">
        <v>46</v>
      </c>
      <c r="I1054" s="1" t="s">
        <v>596</v>
      </c>
      <c r="J1054" s="1">
        <v>500</v>
      </c>
      <c r="K1054" s="1">
        <v>470</v>
      </c>
      <c r="L1054" s="3">
        <v>0.06</v>
      </c>
      <c r="N1054" t="s">
        <v>3763</v>
      </c>
      <c r="S1054" s="4" t="e">
        <f t="shared" si="66"/>
        <v>#NUM!</v>
      </c>
      <c r="T1054" s="4" t="str">
        <f t="shared" si="64"/>
        <v/>
      </c>
      <c r="U1054" s="4" t="s">
        <v>3763</v>
      </c>
    </row>
    <row r="1055" spans="1:21" x14ac:dyDescent="0.3">
      <c r="A1055" t="s">
        <v>1596</v>
      </c>
      <c r="B1055" s="1" t="s">
        <v>107</v>
      </c>
      <c r="C1055" s="1" t="s">
        <v>108</v>
      </c>
      <c r="D1055" s="1" t="s">
        <v>19</v>
      </c>
      <c r="E1055" s="2" t="s">
        <v>3279</v>
      </c>
      <c r="F1055" s="2" t="b">
        <f t="shared" si="67"/>
        <v>0</v>
      </c>
      <c r="G1055" s="2">
        <f t="shared" si="65"/>
        <v>43208</v>
      </c>
      <c r="H1055" s="1" t="s">
        <v>104</v>
      </c>
      <c r="I1055" s="1" t="s">
        <v>531</v>
      </c>
      <c r="J1055" s="1">
        <v>70</v>
      </c>
      <c r="K1055" s="1">
        <v>67</v>
      </c>
      <c r="L1055" s="3">
        <v>4.2900000000000001E-2</v>
      </c>
      <c r="N1055" t="s">
        <v>3279</v>
      </c>
      <c r="P1055">
        <v>4</v>
      </c>
      <c r="Q1055">
        <v>18</v>
      </c>
      <c r="R1055">
        <v>2018</v>
      </c>
      <c r="S1055" s="4">
        <f t="shared" si="66"/>
        <v>43208</v>
      </c>
      <c r="T1055" s="4">
        <f t="shared" si="64"/>
        <v>43208</v>
      </c>
      <c r="U1055" s="4">
        <v>43208</v>
      </c>
    </row>
    <row r="1056" spans="1:21" x14ac:dyDescent="0.3">
      <c r="A1056" t="s">
        <v>1597</v>
      </c>
      <c r="B1056" s="1" t="s">
        <v>146</v>
      </c>
      <c r="C1056" s="1" t="s">
        <v>147</v>
      </c>
      <c r="D1056" s="1" t="s">
        <v>13</v>
      </c>
      <c r="E1056" s="2">
        <v>43170</v>
      </c>
      <c r="F1056" s="2" t="b">
        <f t="shared" si="67"/>
        <v>1</v>
      </c>
      <c r="G1056" s="2">
        <f t="shared" si="65"/>
        <v>43170</v>
      </c>
      <c r="H1056" s="1" t="s">
        <v>25</v>
      </c>
      <c r="I1056" s="1" t="s">
        <v>1334</v>
      </c>
      <c r="J1056" s="1">
        <v>700</v>
      </c>
      <c r="K1056" s="1">
        <v>637</v>
      </c>
      <c r="L1056" s="3">
        <v>0.09</v>
      </c>
      <c r="N1056" t="s">
        <v>3763</v>
      </c>
      <c r="S1056" s="4" t="e">
        <f t="shared" si="66"/>
        <v>#NUM!</v>
      </c>
      <c r="T1056" s="4" t="str">
        <f t="shared" si="64"/>
        <v/>
      </c>
      <c r="U1056" s="4" t="s">
        <v>3763</v>
      </c>
    </row>
    <row r="1057" spans="1:21" x14ac:dyDescent="0.3">
      <c r="A1057" t="s">
        <v>1598</v>
      </c>
      <c r="B1057" s="1" t="s">
        <v>17</v>
      </c>
      <c r="C1057" s="1" t="s">
        <v>18</v>
      </c>
      <c r="D1057" s="1" t="s">
        <v>19</v>
      </c>
      <c r="E1057" s="2" t="s">
        <v>3456</v>
      </c>
      <c r="F1057" s="2" t="b">
        <f t="shared" si="67"/>
        <v>0</v>
      </c>
      <c r="G1057" s="2">
        <f t="shared" si="65"/>
        <v>42137</v>
      </c>
      <c r="H1057" s="1" t="s">
        <v>61</v>
      </c>
      <c r="I1057" s="1" t="s">
        <v>913</v>
      </c>
      <c r="J1057" s="1">
        <v>1000</v>
      </c>
      <c r="K1057" s="1">
        <v>680</v>
      </c>
      <c r="L1057" s="3">
        <v>0.32</v>
      </c>
      <c r="N1057" t="s">
        <v>3456</v>
      </c>
      <c r="P1057">
        <v>5</v>
      </c>
      <c r="Q1057">
        <v>13</v>
      </c>
      <c r="R1057">
        <v>2015</v>
      </c>
      <c r="S1057" s="4">
        <f t="shared" si="66"/>
        <v>42137</v>
      </c>
      <c r="T1057" s="4">
        <f t="shared" si="64"/>
        <v>42137</v>
      </c>
      <c r="U1057" s="4">
        <v>42137</v>
      </c>
    </row>
    <row r="1058" spans="1:21" x14ac:dyDescent="0.3">
      <c r="A1058" t="s">
        <v>1599</v>
      </c>
      <c r="B1058" s="1" t="s">
        <v>118</v>
      </c>
      <c r="C1058" s="1" t="s">
        <v>119</v>
      </c>
      <c r="D1058" s="1" t="s">
        <v>35</v>
      </c>
      <c r="E1058" s="2">
        <v>42467</v>
      </c>
      <c r="F1058" s="2" t="b">
        <f t="shared" si="67"/>
        <v>1</v>
      </c>
      <c r="G1058" s="2">
        <f t="shared" si="65"/>
        <v>42467</v>
      </c>
      <c r="H1058" s="1" t="s">
        <v>25</v>
      </c>
      <c r="I1058" s="1" t="s">
        <v>909</v>
      </c>
      <c r="J1058" s="1">
        <v>700</v>
      </c>
      <c r="K1058" s="1">
        <v>693</v>
      </c>
      <c r="L1058" s="3">
        <v>0.01</v>
      </c>
      <c r="N1058" t="s">
        <v>3763</v>
      </c>
      <c r="S1058" s="4" t="e">
        <f t="shared" si="66"/>
        <v>#NUM!</v>
      </c>
      <c r="T1058" s="4" t="str">
        <f t="shared" si="64"/>
        <v/>
      </c>
      <c r="U1058" s="4" t="s">
        <v>3763</v>
      </c>
    </row>
    <row r="1059" spans="1:21" x14ac:dyDescent="0.3">
      <c r="A1059" t="s">
        <v>1600</v>
      </c>
      <c r="B1059" s="1" t="s">
        <v>49</v>
      </c>
      <c r="C1059" s="1" t="s">
        <v>50</v>
      </c>
      <c r="D1059" s="1" t="s">
        <v>24</v>
      </c>
      <c r="E1059" s="2" t="s">
        <v>3286</v>
      </c>
      <c r="F1059" s="2" t="b">
        <f t="shared" si="67"/>
        <v>0</v>
      </c>
      <c r="G1059" s="2">
        <f t="shared" si="65"/>
        <v>41932</v>
      </c>
      <c r="H1059" s="1" t="s">
        <v>72</v>
      </c>
      <c r="I1059" s="1" t="s">
        <v>729</v>
      </c>
      <c r="J1059" s="1">
        <v>500</v>
      </c>
      <c r="K1059" s="1">
        <v>495</v>
      </c>
      <c r="L1059" s="3">
        <v>0.01</v>
      </c>
      <c r="N1059" t="s">
        <v>3286</v>
      </c>
      <c r="P1059">
        <v>10</v>
      </c>
      <c r="Q1059">
        <v>20</v>
      </c>
      <c r="R1059">
        <v>2014</v>
      </c>
      <c r="S1059" s="4">
        <f t="shared" si="66"/>
        <v>41932</v>
      </c>
      <c r="T1059" s="4">
        <f t="shared" si="64"/>
        <v>41932</v>
      </c>
      <c r="U1059" s="4">
        <v>41932</v>
      </c>
    </row>
    <row r="1060" spans="1:21" x14ac:dyDescent="0.3">
      <c r="A1060" t="s">
        <v>1601</v>
      </c>
      <c r="B1060" s="1" t="s">
        <v>434</v>
      </c>
      <c r="C1060" s="1" t="s">
        <v>435</v>
      </c>
      <c r="D1060" s="1" t="s">
        <v>24</v>
      </c>
      <c r="E1060" s="2" t="s">
        <v>3457</v>
      </c>
      <c r="F1060" s="2" t="b">
        <f t="shared" si="67"/>
        <v>0</v>
      </c>
      <c r="G1060" s="2">
        <f t="shared" si="65"/>
        <v>42842</v>
      </c>
      <c r="H1060" s="1" t="s">
        <v>36</v>
      </c>
      <c r="I1060" s="1" t="s">
        <v>764</v>
      </c>
      <c r="J1060" s="1">
        <v>50</v>
      </c>
      <c r="K1060" s="1">
        <v>46</v>
      </c>
      <c r="L1060" s="3">
        <v>0.08</v>
      </c>
      <c r="N1060" t="s">
        <v>3457</v>
      </c>
      <c r="P1060">
        <v>4</v>
      </c>
      <c r="Q1060">
        <v>17</v>
      </c>
      <c r="R1060">
        <v>2017</v>
      </c>
      <c r="S1060" s="4">
        <f t="shared" si="66"/>
        <v>42842</v>
      </c>
      <c r="T1060" s="4">
        <f t="shared" si="64"/>
        <v>42842</v>
      </c>
      <c r="U1060" s="4">
        <v>42842</v>
      </c>
    </row>
    <row r="1061" spans="1:21" x14ac:dyDescent="0.3">
      <c r="A1061" t="s">
        <v>1602</v>
      </c>
      <c r="B1061" s="1" t="s">
        <v>17</v>
      </c>
      <c r="C1061" s="1" t="s">
        <v>18</v>
      </c>
      <c r="D1061" s="1" t="s">
        <v>19</v>
      </c>
      <c r="E1061" s="2">
        <v>43262</v>
      </c>
      <c r="F1061" s="2" t="b">
        <f t="shared" si="67"/>
        <v>1</v>
      </c>
      <c r="G1061" s="2">
        <f t="shared" si="65"/>
        <v>43262</v>
      </c>
      <c r="H1061" s="1" t="s">
        <v>122</v>
      </c>
      <c r="I1061" s="1" t="s">
        <v>543</v>
      </c>
      <c r="J1061" s="1">
        <v>50</v>
      </c>
      <c r="K1061" s="1">
        <v>49</v>
      </c>
      <c r="L1061" s="3">
        <v>0.02</v>
      </c>
      <c r="N1061" t="s">
        <v>3763</v>
      </c>
      <c r="S1061" s="4" t="e">
        <f t="shared" si="66"/>
        <v>#NUM!</v>
      </c>
      <c r="T1061" s="4" t="str">
        <f t="shared" si="64"/>
        <v/>
      </c>
      <c r="U1061" s="4" t="s">
        <v>3763</v>
      </c>
    </row>
    <row r="1062" spans="1:21" x14ac:dyDescent="0.3">
      <c r="A1062" t="s">
        <v>1603</v>
      </c>
      <c r="B1062" s="1" t="s">
        <v>134</v>
      </c>
      <c r="C1062" s="1" t="s">
        <v>92</v>
      </c>
      <c r="D1062" s="1" t="s">
        <v>35</v>
      </c>
      <c r="E1062" s="2">
        <v>42738</v>
      </c>
      <c r="F1062" s="2" t="b">
        <f t="shared" si="67"/>
        <v>1</v>
      </c>
      <c r="G1062" s="2">
        <f t="shared" si="65"/>
        <v>42738</v>
      </c>
      <c r="H1062" s="1" t="s">
        <v>46</v>
      </c>
      <c r="I1062" s="1" t="s">
        <v>1127</v>
      </c>
      <c r="J1062" s="1">
        <v>500</v>
      </c>
      <c r="K1062" s="1">
        <v>455</v>
      </c>
      <c r="L1062" s="3">
        <v>0.09</v>
      </c>
      <c r="N1062" t="s">
        <v>3763</v>
      </c>
      <c r="S1062" s="4" t="e">
        <f t="shared" si="66"/>
        <v>#NUM!</v>
      </c>
      <c r="T1062" s="4" t="str">
        <f t="shared" si="64"/>
        <v/>
      </c>
      <c r="U1062" s="4" t="s">
        <v>3763</v>
      </c>
    </row>
    <row r="1063" spans="1:21" x14ac:dyDescent="0.3">
      <c r="A1063" t="s">
        <v>1604</v>
      </c>
      <c r="B1063" s="1" t="s">
        <v>59</v>
      </c>
      <c r="C1063" s="1" t="s">
        <v>60</v>
      </c>
      <c r="D1063" s="1" t="s">
        <v>13</v>
      </c>
      <c r="E1063" s="2" t="s">
        <v>3458</v>
      </c>
      <c r="F1063" s="2" t="b">
        <f t="shared" si="67"/>
        <v>0</v>
      </c>
      <c r="G1063" s="2">
        <f t="shared" si="65"/>
        <v>42577</v>
      </c>
      <c r="H1063" s="1" t="s">
        <v>72</v>
      </c>
      <c r="I1063" s="1" t="s">
        <v>1014</v>
      </c>
      <c r="J1063" s="1">
        <v>500</v>
      </c>
      <c r="K1063" s="1">
        <v>490</v>
      </c>
      <c r="L1063" s="3">
        <v>0.02</v>
      </c>
      <c r="N1063" t="s">
        <v>3458</v>
      </c>
      <c r="P1063">
        <v>7</v>
      </c>
      <c r="Q1063">
        <v>26</v>
      </c>
      <c r="R1063">
        <v>2016</v>
      </c>
      <c r="S1063" s="4">
        <f t="shared" si="66"/>
        <v>42577</v>
      </c>
      <c r="T1063" s="4">
        <f t="shared" si="64"/>
        <v>42577</v>
      </c>
      <c r="U1063" s="4">
        <v>42577</v>
      </c>
    </row>
    <row r="1064" spans="1:21" x14ac:dyDescent="0.3">
      <c r="A1064" t="s">
        <v>1605</v>
      </c>
      <c r="B1064" s="1" t="s">
        <v>17</v>
      </c>
      <c r="C1064" s="1" t="s">
        <v>18</v>
      </c>
      <c r="D1064" s="1" t="s">
        <v>19</v>
      </c>
      <c r="E1064" s="2" t="s">
        <v>3283</v>
      </c>
      <c r="F1064" s="2" t="b">
        <f t="shared" si="67"/>
        <v>0</v>
      </c>
      <c r="G1064" s="2">
        <f t="shared" si="65"/>
        <v>42384</v>
      </c>
      <c r="H1064" s="1" t="s">
        <v>122</v>
      </c>
      <c r="I1064" s="1" t="s">
        <v>913</v>
      </c>
      <c r="J1064" s="1">
        <v>50</v>
      </c>
      <c r="K1064" s="1">
        <v>47</v>
      </c>
      <c r="L1064" s="3">
        <v>0.06</v>
      </c>
      <c r="N1064" t="s">
        <v>3283</v>
      </c>
      <c r="P1064">
        <v>1</v>
      </c>
      <c r="Q1064">
        <v>15</v>
      </c>
      <c r="R1064">
        <v>2016</v>
      </c>
      <c r="S1064" s="4">
        <f t="shared" si="66"/>
        <v>42384</v>
      </c>
      <c r="T1064" s="4">
        <f t="shared" si="64"/>
        <v>42384</v>
      </c>
      <c r="U1064" s="4">
        <v>42384</v>
      </c>
    </row>
    <row r="1065" spans="1:21" x14ac:dyDescent="0.3">
      <c r="A1065" t="s">
        <v>1606</v>
      </c>
      <c r="B1065" s="1" t="s">
        <v>85</v>
      </c>
      <c r="C1065" s="1" t="s">
        <v>86</v>
      </c>
      <c r="D1065" s="1" t="s">
        <v>13</v>
      </c>
      <c r="E1065" s="2">
        <v>42096</v>
      </c>
      <c r="F1065" s="2" t="b">
        <f t="shared" si="67"/>
        <v>1</v>
      </c>
      <c r="G1065" s="2">
        <f t="shared" si="65"/>
        <v>42096</v>
      </c>
      <c r="H1065" s="1" t="s">
        <v>25</v>
      </c>
      <c r="I1065" s="1" t="s">
        <v>87</v>
      </c>
      <c r="J1065" s="1">
        <v>700</v>
      </c>
      <c r="K1065" s="1">
        <v>665</v>
      </c>
      <c r="L1065" s="3">
        <v>0.05</v>
      </c>
      <c r="N1065" t="s">
        <v>3763</v>
      </c>
      <c r="S1065" s="4" t="e">
        <f t="shared" si="66"/>
        <v>#NUM!</v>
      </c>
      <c r="T1065" s="4" t="str">
        <f t="shared" si="64"/>
        <v/>
      </c>
      <c r="U1065" s="4" t="s">
        <v>3763</v>
      </c>
    </row>
    <row r="1066" spans="1:21" x14ac:dyDescent="0.3">
      <c r="A1066" t="s">
        <v>1607</v>
      </c>
      <c r="B1066" s="1" t="s">
        <v>49</v>
      </c>
      <c r="C1066" s="1" t="s">
        <v>50</v>
      </c>
      <c r="D1066" s="1" t="s">
        <v>24</v>
      </c>
      <c r="E1066" s="2">
        <v>43379</v>
      </c>
      <c r="F1066" s="2" t="b">
        <f t="shared" si="67"/>
        <v>1</v>
      </c>
      <c r="G1066" s="2">
        <f t="shared" si="65"/>
        <v>43379</v>
      </c>
      <c r="H1066" s="1" t="s">
        <v>122</v>
      </c>
      <c r="I1066" s="1" t="s">
        <v>378</v>
      </c>
      <c r="J1066" s="1">
        <v>50</v>
      </c>
      <c r="K1066" s="1">
        <v>43</v>
      </c>
      <c r="L1066" s="3">
        <v>0.14000000000000001</v>
      </c>
      <c r="N1066" t="s">
        <v>3763</v>
      </c>
      <c r="S1066" s="4" t="e">
        <f t="shared" si="66"/>
        <v>#NUM!</v>
      </c>
      <c r="T1066" s="4" t="str">
        <f t="shared" si="64"/>
        <v/>
      </c>
      <c r="U1066" s="4" t="s">
        <v>3763</v>
      </c>
    </row>
    <row r="1067" spans="1:21" x14ac:dyDescent="0.3">
      <c r="A1067" t="s">
        <v>1608</v>
      </c>
      <c r="B1067" s="1" t="s">
        <v>53</v>
      </c>
      <c r="C1067" s="1" t="s">
        <v>54</v>
      </c>
      <c r="D1067" s="1" t="s">
        <v>13</v>
      </c>
      <c r="E1067" s="2" t="s">
        <v>3322</v>
      </c>
      <c r="F1067" s="2" t="b">
        <f t="shared" si="67"/>
        <v>0</v>
      </c>
      <c r="G1067" s="2">
        <f t="shared" si="65"/>
        <v>42942</v>
      </c>
      <c r="H1067" s="1" t="s">
        <v>115</v>
      </c>
      <c r="I1067" s="1" t="s">
        <v>795</v>
      </c>
      <c r="J1067" s="1">
        <v>250</v>
      </c>
      <c r="K1067" s="1">
        <v>243</v>
      </c>
      <c r="L1067" s="3">
        <v>2.8000000000000001E-2</v>
      </c>
      <c r="N1067" t="s">
        <v>3322</v>
      </c>
      <c r="P1067">
        <v>7</v>
      </c>
      <c r="Q1067">
        <v>26</v>
      </c>
      <c r="R1067">
        <v>2017</v>
      </c>
      <c r="S1067" s="4">
        <f t="shared" si="66"/>
        <v>42942</v>
      </c>
      <c r="T1067" s="4">
        <f t="shared" si="64"/>
        <v>42942</v>
      </c>
      <c r="U1067" s="4">
        <v>42942</v>
      </c>
    </row>
    <row r="1068" spans="1:21" x14ac:dyDescent="0.3">
      <c r="A1068" t="s">
        <v>1609</v>
      </c>
      <c r="B1068" s="1" t="s">
        <v>127</v>
      </c>
      <c r="C1068" s="1" t="s">
        <v>128</v>
      </c>
      <c r="D1068" s="1" t="s">
        <v>13</v>
      </c>
      <c r="E1068" s="2">
        <v>42441</v>
      </c>
      <c r="F1068" s="2" t="b">
        <f t="shared" si="67"/>
        <v>1</v>
      </c>
      <c r="G1068" s="2">
        <f t="shared" si="65"/>
        <v>42441</v>
      </c>
      <c r="H1068" s="1" t="s">
        <v>14</v>
      </c>
      <c r="I1068" s="1" t="s">
        <v>534</v>
      </c>
      <c r="J1068" s="1">
        <v>80</v>
      </c>
      <c r="K1068" s="1">
        <v>79</v>
      </c>
      <c r="L1068" s="3">
        <v>1.2500000000000001E-2</v>
      </c>
      <c r="N1068" t="s">
        <v>3763</v>
      </c>
      <c r="S1068" s="4" t="e">
        <f t="shared" si="66"/>
        <v>#NUM!</v>
      </c>
      <c r="T1068" s="4" t="str">
        <f t="shared" si="64"/>
        <v/>
      </c>
      <c r="U1068" s="4" t="s">
        <v>3763</v>
      </c>
    </row>
    <row r="1069" spans="1:21" x14ac:dyDescent="0.3">
      <c r="A1069" t="s">
        <v>1610</v>
      </c>
      <c r="B1069" s="1" t="s">
        <v>99</v>
      </c>
      <c r="C1069" s="1" t="s">
        <v>100</v>
      </c>
      <c r="D1069" s="1" t="s">
        <v>13</v>
      </c>
      <c r="E1069" s="2" t="s">
        <v>2993</v>
      </c>
      <c r="F1069" s="2" t="b">
        <f t="shared" si="67"/>
        <v>0</v>
      </c>
      <c r="G1069" s="2">
        <f t="shared" si="65"/>
        <v>41835</v>
      </c>
      <c r="H1069" s="1" t="s">
        <v>115</v>
      </c>
      <c r="I1069" s="1" t="s">
        <v>752</v>
      </c>
      <c r="J1069" s="1">
        <v>250</v>
      </c>
      <c r="K1069" s="1">
        <v>230</v>
      </c>
      <c r="L1069" s="3">
        <v>0.08</v>
      </c>
      <c r="N1069" t="s">
        <v>2993</v>
      </c>
      <c r="P1069">
        <v>7</v>
      </c>
      <c r="Q1069">
        <v>15</v>
      </c>
      <c r="R1069">
        <v>2014</v>
      </c>
      <c r="S1069" s="4">
        <f t="shared" si="66"/>
        <v>41835</v>
      </c>
      <c r="T1069" s="4">
        <f t="shared" si="64"/>
        <v>41835</v>
      </c>
      <c r="U1069" s="4">
        <v>41835</v>
      </c>
    </row>
    <row r="1070" spans="1:21" x14ac:dyDescent="0.3">
      <c r="A1070" t="s">
        <v>1611</v>
      </c>
      <c r="B1070" s="1" t="s">
        <v>17</v>
      </c>
      <c r="C1070" s="1" t="s">
        <v>18</v>
      </c>
      <c r="D1070" s="1" t="s">
        <v>19</v>
      </c>
      <c r="E1070" s="2" t="s">
        <v>3459</v>
      </c>
      <c r="F1070" s="2" t="b">
        <f t="shared" si="67"/>
        <v>0</v>
      </c>
      <c r="G1070" s="2">
        <f t="shared" si="65"/>
        <v>42910</v>
      </c>
      <c r="H1070" s="1" t="s">
        <v>104</v>
      </c>
      <c r="I1070" s="1" t="s">
        <v>478</v>
      </c>
      <c r="J1070" s="1">
        <v>70</v>
      </c>
      <c r="K1070" s="1">
        <v>67</v>
      </c>
      <c r="L1070" s="3">
        <v>4.2900000000000001E-2</v>
      </c>
      <c r="N1070" t="s">
        <v>3459</v>
      </c>
      <c r="P1070">
        <v>6</v>
      </c>
      <c r="Q1070">
        <v>24</v>
      </c>
      <c r="R1070">
        <v>2017</v>
      </c>
      <c r="S1070" s="4">
        <f t="shared" si="66"/>
        <v>42910</v>
      </c>
      <c r="T1070" s="4">
        <f t="shared" si="64"/>
        <v>42910</v>
      </c>
      <c r="U1070" s="4">
        <v>42910</v>
      </c>
    </row>
    <row r="1071" spans="1:21" x14ac:dyDescent="0.3">
      <c r="A1071" t="s">
        <v>1612</v>
      </c>
      <c r="B1071" s="1" t="s">
        <v>81</v>
      </c>
      <c r="C1071" s="1" t="s">
        <v>82</v>
      </c>
      <c r="D1071" s="1" t="s">
        <v>13</v>
      </c>
      <c r="E1071" s="2" t="s">
        <v>3460</v>
      </c>
      <c r="F1071" s="2" t="b">
        <f t="shared" si="67"/>
        <v>0</v>
      </c>
      <c r="G1071" s="2">
        <f t="shared" si="65"/>
        <v>43461</v>
      </c>
      <c r="H1071" s="1" t="s">
        <v>115</v>
      </c>
      <c r="I1071" s="1" t="s">
        <v>556</v>
      </c>
      <c r="J1071" s="1">
        <v>250</v>
      </c>
      <c r="K1071" s="1">
        <v>213</v>
      </c>
      <c r="L1071" s="3">
        <v>0.14799999999999999</v>
      </c>
      <c r="N1071" t="s">
        <v>3460</v>
      </c>
      <c r="P1071">
        <v>12</v>
      </c>
      <c r="Q1071">
        <v>27</v>
      </c>
      <c r="R1071">
        <v>2018</v>
      </c>
      <c r="S1071" s="4">
        <f t="shared" si="66"/>
        <v>43461</v>
      </c>
      <c r="T1071" s="4">
        <f t="shared" si="64"/>
        <v>43461</v>
      </c>
      <c r="U1071" s="4">
        <v>43461</v>
      </c>
    </row>
    <row r="1072" spans="1:21" x14ac:dyDescent="0.3">
      <c r="A1072" t="s">
        <v>1613</v>
      </c>
      <c r="B1072" s="1" t="s">
        <v>95</v>
      </c>
      <c r="C1072" s="1" t="s">
        <v>96</v>
      </c>
      <c r="D1072" s="1" t="s">
        <v>13</v>
      </c>
      <c r="E1072" s="2" t="s">
        <v>3461</v>
      </c>
      <c r="F1072" s="2" t="b">
        <f t="shared" si="67"/>
        <v>0</v>
      </c>
      <c r="G1072" s="2">
        <f t="shared" si="65"/>
        <v>43298</v>
      </c>
      <c r="H1072" s="1" t="s">
        <v>14</v>
      </c>
      <c r="I1072" s="1" t="s">
        <v>1275</v>
      </c>
      <c r="J1072" s="1">
        <v>80</v>
      </c>
      <c r="K1072" s="1">
        <v>79</v>
      </c>
      <c r="L1072" s="3">
        <v>1.2500000000000001E-2</v>
      </c>
      <c r="N1072" t="s">
        <v>3461</v>
      </c>
      <c r="P1072">
        <v>7</v>
      </c>
      <c r="Q1072">
        <v>17</v>
      </c>
      <c r="R1072">
        <v>2018</v>
      </c>
      <c r="S1072" s="4">
        <f t="shared" si="66"/>
        <v>43298</v>
      </c>
      <c r="T1072" s="4">
        <f t="shared" si="64"/>
        <v>43298</v>
      </c>
      <c r="U1072" s="4">
        <v>43298</v>
      </c>
    </row>
    <row r="1073" spans="1:21" x14ac:dyDescent="0.3">
      <c r="A1073" t="s">
        <v>1614</v>
      </c>
      <c r="B1073" s="1" t="s">
        <v>187</v>
      </c>
      <c r="C1073" s="1" t="s">
        <v>188</v>
      </c>
      <c r="D1073" s="1" t="s">
        <v>13</v>
      </c>
      <c r="E1073" s="2" t="s">
        <v>3310</v>
      </c>
      <c r="F1073" s="2" t="b">
        <f t="shared" si="67"/>
        <v>0</v>
      </c>
      <c r="G1073" s="2">
        <f t="shared" si="65"/>
        <v>42703</v>
      </c>
      <c r="H1073" s="1" t="s">
        <v>61</v>
      </c>
      <c r="I1073" s="1" t="s">
        <v>683</v>
      </c>
      <c r="J1073" s="1">
        <v>1000</v>
      </c>
      <c r="K1073" s="1">
        <v>700</v>
      </c>
      <c r="L1073" s="3">
        <v>0.3</v>
      </c>
      <c r="N1073" t="s">
        <v>3310</v>
      </c>
      <c r="P1073">
        <v>11</v>
      </c>
      <c r="Q1073">
        <v>29</v>
      </c>
      <c r="R1073">
        <v>2016</v>
      </c>
      <c r="S1073" s="4">
        <f t="shared" si="66"/>
        <v>42703</v>
      </c>
      <c r="T1073" s="4">
        <f t="shared" si="64"/>
        <v>42703</v>
      </c>
      <c r="U1073" s="4">
        <v>42703</v>
      </c>
    </row>
    <row r="1074" spans="1:21" x14ac:dyDescent="0.3">
      <c r="A1074" t="s">
        <v>1615</v>
      </c>
      <c r="B1074" s="1" t="s">
        <v>221</v>
      </c>
      <c r="C1074" s="1" t="s">
        <v>40</v>
      </c>
      <c r="D1074" s="1" t="s">
        <v>35</v>
      </c>
      <c r="E1074" s="2">
        <v>42554</v>
      </c>
      <c r="F1074" s="2" t="b">
        <f t="shared" si="67"/>
        <v>1</v>
      </c>
      <c r="G1074" s="2">
        <f t="shared" si="65"/>
        <v>42554</v>
      </c>
      <c r="H1074" s="1" t="s">
        <v>46</v>
      </c>
      <c r="I1074" s="1" t="s">
        <v>1059</v>
      </c>
      <c r="J1074" s="1">
        <v>500</v>
      </c>
      <c r="K1074" s="1">
        <v>445</v>
      </c>
      <c r="L1074" s="3">
        <v>0.11</v>
      </c>
      <c r="N1074" t="s">
        <v>3763</v>
      </c>
      <c r="S1074" s="4" t="e">
        <f t="shared" si="66"/>
        <v>#NUM!</v>
      </c>
      <c r="T1074" s="4" t="str">
        <f t="shared" si="64"/>
        <v/>
      </c>
      <c r="U1074" s="4" t="s">
        <v>3763</v>
      </c>
    </row>
    <row r="1075" spans="1:21" x14ac:dyDescent="0.3">
      <c r="A1075" t="s">
        <v>1616</v>
      </c>
      <c r="B1075" s="1" t="s">
        <v>103</v>
      </c>
      <c r="C1075" s="1" t="s">
        <v>71</v>
      </c>
      <c r="D1075" s="1" t="s">
        <v>35</v>
      </c>
      <c r="E1075" s="2">
        <v>43073</v>
      </c>
      <c r="F1075" s="2" t="b">
        <f t="shared" si="67"/>
        <v>1</v>
      </c>
      <c r="G1075" s="2">
        <f t="shared" si="65"/>
        <v>43073</v>
      </c>
      <c r="H1075" s="1" t="s">
        <v>122</v>
      </c>
      <c r="I1075" s="1" t="s">
        <v>105</v>
      </c>
      <c r="J1075" s="1">
        <v>50</v>
      </c>
      <c r="K1075" s="1">
        <v>47</v>
      </c>
      <c r="L1075" s="3">
        <v>0.06</v>
      </c>
      <c r="N1075" t="s">
        <v>3763</v>
      </c>
      <c r="S1075" s="4" t="e">
        <f t="shared" si="66"/>
        <v>#NUM!</v>
      </c>
      <c r="T1075" s="4" t="str">
        <f t="shared" si="64"/>
        <v/>
      </c>
      <c r="U1075" s="4" t="s">
        <v>3763</v>
      </c>
    </row>
    <row r="1076" spans="1:21" x14ac:dyDescent="0.3">
      <c r="A1076" t="s">
        <v>1617</v>
      </c>
      <c r="B1076" s="1" t="s">
        <v>241</v>
      </c>
      <c r="C1076" s="1" t="s">
        <v>242</v>
      </c>
      <c r="D1076" s="1" t="s">
        <v>13</v>
      </c>
      <c r="E1076" s="2" t="s">
        <v>3462</v>
      </c>
      <c r="F1076" s="2" t="b">
        <f t="shared" si="67"/>
        <v>0</v>
      </c>
      <c r="G1076" s="2">
        <f t="shared" si="65"/>
        <v>41713</v>
      </c>
      <c r="H1076" s="1" t="s">
        <v>30</v>
      </c>
      <c r="I1076" s="1" t="s">
        <v>350</v>
      </c>
      <c r="J1076" s="1">
        <v>150</v>
      </c>
      <c r="K1076" s="1">
        <v>131</v>
      </c>
      <c r="L1076" s="3">
        <v>0.12670000000000001</v>
      </c>
      <c r="N1076" t="s">
        <v>3462</v>
      </c>
      <c r="P1076">
        <v>3</v>
      </c>
      <c r="Q1076">
        <v>15</v>
      </c>
      <c r="R1076">
        <v>2014</v>
      </c>
      <c r="S1076" s="4">
        <f t="shared" si="66"/>
        <v>41713</v>
      </c>
      <c r="T1076" s="4">
        <f t="shared" si="64"/>
        <v>41713</v>
      </c>
      <c r="U1076" s="4">
        <v>41713</v>
      </c>
    </row>
    <row r="1077" spans="1:21" x14ac:dyDescent="0.3">
      <c r="A1077" t="s">
        <v>1618</v>
      </c>
      <c r="B1077" s="1" t="s">
        <v>241</v>
      </c>
      <c r="C1077" s="1" t="s">
        <v>242</v>
      </c>
      <c r="D1077" s="1" t="s">
        <v>13</v>
      </c>
      <c r="E1077" s="2" t="s">
        <v>3463</v>
      </c>
      <c r="F1077" s="2" t="b">
        <f t="shared" si="67"/>
        <v>0</v>
      </c>
      <c r="G1077" s="2">
        <f t="shared" si="65"/>
        <v>43174</v>
      </c>
      <c r="H1077" s="1" t="s">
        <v>25</v>
      </c>
      <c r="I1077" s="1" t="s">
        <v>626</v>
      </c>
      <c r="J1077" s="1">
        <v>700</v>
      </c>
      <c r="K1077" s="1">
        <v>616</v>
      </c>
      <c r="L1077" s="3">
        <v>0.12</v>
      </c>
      <c r="N1077" t="s">
        <v>3463</v>
      </c>
      <c r="P1077">
        <v>3</v>
      </c>
      <c r="Q1077">
        <v>15</v>
      </c>
      <c r="R1077">
        <v>2018</v>
      </c>
      <c r="S1077" s="4">
        <f t="shared" si="66"/>
        <v>43174</v>
      </c>
      <c r="T1077" s="4">
        <f t="shared" si="64"/>
        <v>43174</v>
      </c>
      <c r="U1077" s="4">
        <v>43174</v>
      </c>
    </row>
    <row r="1078" spans="1:21" x14ac:dyDescent="0.3">
      <c r="A1078" t="s">
        <v>1619</v>
      </c>
      <c r="B1078" s="1" t="s">
        <v>134</v>
      </c>
      <c r="C1078" s="1" t="s">
        <v>92</v>
      </c>
      <c r="D1078" s="1" t="s">
        <v>35</v>
      </c>
      <c r="E1078" s="2" t="s">
        <v>2979</v>
      </c>
      <c r="F1078" s="2" t="b">
        <f t="shared" si="67"/>
        <v>0</v>
      </c>
      <c r="G1078" s="2">
        <f t="shared" si="65"/>
        <v>43427</v>
      </c>
      <c r="H1078" s="1" t="s">
        <v>36</v>
      </c>
      <c r="I1078" s="1" t="s">
        <v>849</v>
      </c>
      <c r="J1078" s="1">
        <v>50</v>
      </c>
      <c r="K1078" s="1">
        <v>46</v>
      </c>
      <c r="L1078" s="3">
        <v>0.08</v>
      </c>
      <c r="N1078" t="s">
        <v>2979</v>
      </c>
      <c r="P1078">
        <v>11</v>
      </c>
      <c r="Q1078">
        <v>23</v>
      </c>
      <c r="R1078">
        <v>2018</v>
      </c>
      <c r="S1078" s="4">
        <f t="shared" si="66"/>
        <v>43427</v>
      </c>
      <c r="T1078" s="4">
        <f t="shared" si="64"/>
        <v>43427</v>
      </c>
      <c r="U1078" s="4">
        <v>43427</v>
      </c>
    </row>
    <row r="1079" spans="1:21" x14ac:dyDescent="0.3">
      <c r="A1079" t="s">
        <v>1620</v>
      </c>
      <c r="B1079" s="1" t="s">
        <v>118</v>
      </c>
      <c r="C1079" s="1" t="s">
        <v>119</v>
      </c>
      <c r="D1079" s="1" t="s">
        <v>35</v>
      </c>
      <c r="E1079" s="2" t="s">
        <v>3163</v>
      </c>
      <c r="F1079" s="2" t="b">
        <f t="shared" si="67"/>
        <v>0</v>
      </c>
      <c r="G1079" s="2">
        <f t="shared" si="65"/>
        <v>43213</v>
      </c>
      <c r="H1079" s="1" t="s">
        <v>46</v>
      </c>
      <c r="I1079" s="1" t="s">
        <v>120</v>
      </c>
      <c r="J1079" s="1">
        <v>500</v>
      </c>
      <c r="K1079" s="1">
        <v>480</v>
      </c>
      <c r="L1079" s="3">
        <v>0.04</v>
      </c>
      <c r="N1079" t="s">
        <v>3163</v>
      </c>
      <c r="P1079">
        <v>4</v>
      </c>
      <c r="Q1079">
        <v>23</v>
      </c>
      <c r="R1079">
        <v>2018</v>
      </c>
      <c r="S1079" s="4">
        <f t="shared" si="66"/>
        <v>43213</v>
      </c>
      <c r="T1079" s="4">
        <f t="shared" si="64"/>
        <v>43213</v>
      </c>
      <c r="U1079" s="4">
        <v>43213</v>
      </c>
    </row>
    <row r="1080" spans="1:21" x14ac:dyDescent="0.3">
      <c r="A1080" t="s">
        <v>1621</v>
      </c>
      <c r="B1080" s="1" t="s">
        <v>91</v>
      </c>
      <c r="C1080" s="1" t="s">
        <v>92</v>
      </c>
      <c r="D1080" s="1" t="s">
        <v>35</v>
      </c>
      <c r="E1080" s="2">
        <v>42008</v>
      </c>
      <c r="F1080" s="2" t="b">
        <f t="shared" si="67"/>
        <v>1</v>
      </c>
      <c r="G1080" s="2">
        <f t="shared" si="65"/>
        <v>42008</v>
      </c>
      <c r="H1080" s="1" t="s">
        <v>122</v>
      </c>
      <c r="I1080" s="1" t="s">
        <v>495</v>
      </c>
      <c r="J1080" s="1">
        <v>50</v>
      </c>
      <c r="K1080" s="1">
        <v>47</v>
      </c>
      <c r="L1080" s="3">
        <v>0.06</v>
      </c>
      <c r="N1080" t="s">
        <v>3763</v>
      </c>
      <c r="S1080" s="4" t="e">
        <f t="shared" si="66"/>
        <v>#NUM!</v>
      </c>
      <c r="T1080" s="4" t="str">
        <f t="shared" si="64"/>
        <v/>
      </c>
      <c r="U1080" s="4" t="s">
        <v>3763</v>
      </c>
    </row>
    <row r="1081" spans="1:21" x14ac:dyDescent="0.3">
      <c r="A1081" t="s">
        <v>1622</v>
      </c>
      <c r="B1081" s="1" t="s">
        <v>53</v>
      </c>
      <c r="C1081" s="1" t="s">
        <v>54</v>
      </c>
      <c r="D1081" s="1" t="s">
        <v>13</v>
      </c>
      <c r="E1081" s="2">
        <v>42131</v>
      </c>
      <c r="F1081" s="2" t="b">
        <f t="shared" si="67"/>
        <v>1</v>
      </c>
      <c r="G1081" s="2">
        <f t="shared" si="65"/>
        <v>42131</v>
      </c>
      <c r="H1081" s="1" t="s">
        <v>30</v>
      </c>
      <c r="I1081" s="1" t="s">
        <v>56</v>
      </c>
      <c r="J1081" s="1">
        <v>150</v>
      </c>
      <c r="K1081" s="1">
        <v>146</v>
      </c>
      <c r="L1081" s="3">
        <v>2.6700000000000002E-2</v>
      </c>
      <c r="N1081" t="s">
        <v>3763</v>
      </c>
      <c r="S1081" s="4" t="e">
        <f t="shared" si="66"/>
        <v>#NUM!</v>
      </c>
      <c r="T1081" s="4" t="str">
        <f t="shared" si="64"/>
        <v/>
      </c>
      <c r="U1081" s="4" t="s">
        <v>3763</v>
      </c>
    </row>
    <row r="1082" spans="1:21" x14ac:dyDescent="0.3">
      <c r="A1082" t="s">
        <v>1623</v>
      </c>
      <c r="B1082" s="1" t="s">
        <v>146</v>
      </c>
      <c r="C1082" s="1" t="s">
        <v>147</v>
      </c>
      <c r="D1082" s="1" t="s">
        <v>13</v>
      </c>
      <c r="E1082" s="2">
        <v>42714</v>
      </c>
      <c r="F1082" s="2" t="b">
        <f t="shared" si="67"/>
        <v>1</v>
      </c>
      <c r="G1082" s="2">
        <f t="shared" si="65"/>
        <v>42714</v>
      </c>
      <c r="H1082" s="1" t="s">
        <v>104</v>
      </c>
      <c r="I1082" s="1" t="s">
        <v>1624</v>
      </c>
      <c r="J1082" s="1">
        <v>70</v>
      </c>
      <c r="K1082" s="1">
        <v>67</v>
      </c>
      <c r="L1082" s="3">
        <v>4.2900000000000001E-2</v>
      </c>
      <c r="N1082" t="s">
        <v>3763</v>
      </c>
      <c r="S1082" s="4" t="e">
        <f t="shared" si="66"/>
        <v>#NUM!</v>
      </c>
      <c r="T1082" s="4" t="str">
        <f t="shared" si="64"/>
        <v/>
      </c>
      <c r="U1082" s="4" t="s">
        <v>3763</v>
      </c>
    </row>
    <row r="1083" spans="1:21" x14ac:dyDescent="0.3">
      <c r="A1083" t="s">
        <v>1625</v>
      </c>
      <c r="B1083" s="1" t="s">
        <v>118</v>
      </c>
      <c r="C1083" s="1" t="s">
        <v>119</v>
      </c>
      <c r="D1083" s="1" t="s">
        <v>35</v>
      </c>
      <c r="E1083" s="2" t="s">
        <v>2975</v>
      </c>
      <c r="F1083" s="2" t="b">
        <f t="shared" si="67"/>
        <v>0</v>
      </c>
      <c r="G1083" s="2">
        <f t="shared" si="65"/>
        <v>43083</v>
      </c>
      <c r="H1083" s="1" t="s">
        <v>72</v>
      </c>
      <c r="I1083" s="1" t="s">
        <v>709</v>
      </c>
      <c r="J1083" s="1">
        <v>500</v>
      </c>
      <c r="K1083" s="1">
        <v>495</v>
      </c>
      <c r="L1083" s="3">
        <v>0.01</v>
      </c>
      <c r="N1083" t="s">
        <v>2975</v>
      </c>
      <c r="P1083">
        <v>12</v>
      </c>
      <c r="Q1083">
        <v>14</v>
      </c>
      <c r="R1083">
        <v>2017</v>
      </c>
      <c r="S1083" s="4">
        <f t="shared" si="66"/>
        <v>43083</v>
      </c>
      <c r="T1083" s="4">
        <f t="shared" si="64"/>
        <v>43083</v>
      </c>
      <c r="U1083" s="4">
        <v>43083</v>
      </c>
    </row>
    <row r="1084" spans="1:21" x14ac:dyDescent="0.3">
      <c r="A1084" t="s">
        <v>1626</v>
      </c>
      <c r="B1084" s="1" t="s">
        <v>77</v>
      </c>
      <c r="C1084" s="1" t="s">
        <v>78</v>
      </c>
      <c r="D1084" s="1" t="s">
        <v>35</v>
      </c>
      <c r="E1084" s="2" t="s">
        <v>3345</v>
      </c>
      <c r="F1084" s="2" t="b">
        <f t="shared" si="67"/>
        <v>0</v>
      </c>
      <c r="G1084" s="2">
        <f t="shared" si="65"/>
        <v>41881</v>
      </c>
      <c r="H1084" s="1" t="s">
        <v>104</v>
      </c>
      <c r="I1084" s="1" t="s">
        <v>317</v>
      </c>
      <c r="J1084" s="1">
        <v>70</v>
      </c>
      <c r="K1084" s="1">
        <v>57</v>
      </c>
      <c r="L1084" s="3">
        <v>0.1857</v>
      </c>
      <c r="N1084" t="s">
        <v>3345</v>
      </c>
      <c r="P1084">
        <v>8</v>
      </c>
      <c r="Q1084">
        <v>30</v>
      </c>
      <c r="R1084">
        <v>2014</v>
      </c>
      <c r="S1084" s="4">
        <f t="shared" si="66"/>
        <v>41881</v>
      </c>
      <c r="T1084" s="4">
        <f t="shared" si="64"/>
        <v>41881</v>
      </c>
      <c r="U1084" s="4">
        <v>41881</v>
      </c>
    </row>
    <row r="1085" spans="1:21" x14ac:dyDescent="0.3">
      <c r="A1085" t="s">
        <v>1627</v>
      </c>
      <c r="B1085" s="1" t="s">
        <v>264</v>
      </c>
      <c r="C1085" s="1" t="s">
        <v>265</v>
      </c>
      <c r="D1085" s="1" t="s">
        <v>13</v>
      </c>
      <c r="E1085" s="2">
        <v>43350</v>
      </c>
      <c r="F1085" s="2" t="b">
        <f t="shared" si="67"/>
        <v>1</v>
      </c>
      <c r="G1085" s="2">
        <f t="shared" si="65"/>
        <v>43350</v>
      </c>
      <c r="H1085" s="1" t="s">
        <v>122</v>
      </c>
      <c r="I1085" s="1" t="s">
        <v>369</v>
      </c>
      <c r="J1085" s="1">
        <v>50</v>
      </c>
      <c r="K1085" s="1">
        <v>47</v>
      </c>
      <c r="L1085" s="3">
        <v>0.06</v>
      </c>
      <c r="N1085" t="s">
        <v>3763</v>
      </c>
      <c r="S1085" s="4" t="e">
        <f t="shared" si="66"/>
        <v>#NUM!</v>
      </c>
      <c r="T1085" s="4" t="str">
        <f t="shared" si="64"/>
        <v/>
      </c>
      <c r="U1085" s="4" t="s">
        <v>3763</v>
      </c>
    </row>
    <row r="1086" spans="1:21" x14ac:dyDescent="0.3">
      <c r="A1086" t="s">
        <v>1628</v>
      </c>
      <c r="B1086" s="1" t="s">
        <v>241</v>
      </c>
      <c r="C1086" s="1" t="s">
        <v>242</v>
      </c>
      <c r="D1086" s="1" t="s">
        <v>13</v>
      </c>
      <c r="E1086" s="2">
        <v>41646</v>
      </c>
      <c r="F1086" s="2" t="b">
        <f t="shared" si="67"/>
        <v>1</v>
      </c>
      <c r="G1086" s="2">
        <f t="shared" si="65"/>
        <v>41646</v>
      </c>
      <c r="H1086" s="1" t="s">
        <v>30</v>
      </c>
      <c r="I1086" s="1" t="s">
        <v>287</v>
      </c>
      <c r="J1086" s="1">
        <v>150</v>
      </c>
      <c r="K1086" s="1">
        <v>125</v>
      </c>
      <c r="L1086" s="3">
        <v>0.16669999999999999</v>
      </c>
      <c r="N1086" t="s">
        <v>3763</v>
      </c>
      <c r="S1086" s="4" t="e">
        <f t="shared" si="66"/>
        <v>#NUM!</v>
      </c>
      <c r="T1086" s="4" t="str">
        <f t="shared" si="64"/>
        <v/>
      </c>
      <c r="U1086" s="4" t="s">
        <v>3763</v>
      </c>
    </row>
    <row r="1087" spans="1:21" x14ac:dyDescent="0.3">
      <c r="A1087" t="s">
        <v>1629</v>
      </c>
      <c r="B1087" s="1" t="s">
        <v>33</v>
      </c>
      <c r="C1087" s="1" t="s">
        <v>34</v>
      </c>
      <c r="D1087" s="1" t="s">
        <v>35</v>
      </c>
      <c r="E1087" s="2">
        <v>42074</v>
      </c>
      <c r="F1087" s="2" t="b">
        <f t="shared" si="67"/>
        <v>1</v>
      </c>
      <c r="G1087" s="2">
        <f t="shared" si="65"/>
        <v>42074</v>
      </c>
      <c r="H1087" s="1" t="s">
        <v>36</v>
      </c>
      <c r="I1087" s="1" t="s">
        <v>160</v>
      </c>
      <c r="J1087" s="1">
        <v>50</v>
      </c>
      <c r="K1087" s="1">
        <v>34</v>
      </c>
      <c r="L1087" s="3">
        <v>0.32</v>
      </c>
      <c r="N1087" t="s">
        <v>3763</v>
      </c>
      <c r="S1087" s="4" t="e">
        <f t="shared" si="66"/>
        <v>#NUM!</v>
      </c>
      <c r="T1087" s="4" t="str">
        <f t="shared" si="64"/>
        <v/>
      </c>
      <c r="U1087" s="4" t="s">
        <v>3763</v>
      </c>
    </row>
    <row r="1088" spans="1:21" x14ac:dyDescent="0.3">
      <c r="A1088" t="s">
        <v>1630</v>
      </c>
      <c r="B1088" s="1" t="s">
        <v>39</v>
      </c>
      <c r="C1088" s="1" t="s">
        <v>40</v>
      </c>
      <c r="D1088" s="1" t="s">
        <v>35</v>
      </c>
      <c r="E1088" s="2">
        <v>41700</v>
      </c>
      <c r="F1088" s="2" t="b">
        <f t="shared" si="67"/>
        <v>1</v>
      </c>
      <c r="G1088" s="2">
        <f t="shared" si="65"/>
        <v>41700</v>
      </c>
      <c r="H1088" s="1" t="s">
        <v>25</v>
      </c>
      <c r="I1088" s="1" t="s">
        <v>1631</v>
      </c>
      <c r="J1088" s="1">
        <v>700</v>
      </c>
      <c r="K1088" s="1">
        <v>539</v>
      </c>
      <c r="L1088" s="3">
        <v>0.23</v>
      </c>
      <c r="N1088" t="s">
        <v>3763</v>
      </c>
      <c r="S1088" s="4" t="e">
        <f t="shared" si="66"/>
        <v>#NUM!</v>
      </c>
      <c r="T1088" s="4" t="str">
        <f t="shared" si="64"/>
        <v/>
      </c>
      <c r="U1088" s="4" t="s">
        <v>3763</v>
      </c>
    </row>
    <row r="1089" spans="1:21" x14ac:dyDescent="0.3">
      <c r="A1089" t="s">
        <v>1632</v>
      </c>
      <c r="B1089" s="1" t="s">
        <v>434</v>
      </c>
      <c r="C1089" s="1" t="s">
        <v>435</v>
      </c>
      <c r="D1089" s="1" t="s">
        <v>24</v>
      </c>
      <c r="E1089" s="2" t="s">
        <v>3464</v>
      </c>
      <c r="F1089" s="2" t="b">
        <f t="shared" si="67"/>
        <v>0</v>
      </c>
      <c r="G1089" s="2">
        <f t="shared" si="65"/>
        <v>42760</v>
      </c>
      <c r="H1089" s="1" t="s">
        <v>25</v>
      </c>
      <c r="I1089" s="1" t="s">
        <v>828</v>
      </c>
      <c r="J1089" s="1">
        <v>700</v>
      </c>
      <c r="K1089" s="1">
        <v>693</v>
      </c>
      <c r="L1089" s="3">
        <v>0.01</v>
      </c>
      <c r="N1089" t="s">
        <v>3464</v>
      </c>
      <c r="P1089">
        <v>1</v>
      </c>
      <c r="Q1089">
        <v>25</v>
      </c>
      <c r="R1089">
        <v>2017</v>
      </c>
      <c r="S1089" s="4">
        <f t="shared" si="66"/>
        <v>42760</v>
      </c>
      <c r="T1089" s="4">
        <f t="shared" si="64"/>
        <v>42760</v>
      </c>
      <c r="U1089" s="4">
        <v>42760</v>
      </c>
    </row>
    <row r="1090" spans="1:21" x14ac:dyDescent="0.3">
      <c r="A1090" t="s">
        <v>1633</v>
      </c>
      <c r="B1090" s="1" t="s">
        <v>11</v>
      </c>
      <c r="C1090" s="1" t="s">
        <v>12</v>
      </c>
      <c r="D1090" s="1" t="s">
        <v>13</v>
      </c>
      <c r="E1090" s="2" t="s">
        <v>3465</v>
      </c>
      <c r="F1090" s="2" t="b">
        <f t="shared" si="67"/>
        <v>0</v>
      </c>
      <c r="G1090" s="2">
        <f t="shared" si="65"/>
        <v>43425</v>
      </c>
      <c r="H1090" s="1" t="s">
        <v>30</v>
      </c>
      <c r="I1090" s="1" t="s">
        <v>193</v>
      </c>
      <c r="J1090" s="1">
        <v>150</v>
      </c>
      <c r="K1090" s="1">
        <v>147</v>
      </c>
      <c r="L1090" s="3">
        <v>0.02</v>
      </c>
      <c r="N1090" t="s">
        <v>3465</v>
      </c>
      <c r="P1090">
        <v>11</v>
      </c>
      <c r="Q1090">
        <v>21</v>
      </c>
      <c r="R1090">
        <v>2018</v>
      </c>
      <c r="S1090" s="4">
        <f t="shared" si="66"/>
        <v>43425</v>
      </c>
      <c r="T1090" s="4">
        <f t="shared" si="64"/>
        <v>43425</v>
      </c>
      <c r="U1090" s="4">
        <v>43425</v>
      </c>
    </row>
    <row r="1091" spans="1:21" x14ac:dyDescent="0.3">
      <c r="A1091" t="s">
        <v>1634</v>
      </c>
      <c r="B1091" s="1" t="s">
        <v>174</v>
      </c>
      <c r="C1091" s="1" t="s">
        <v>175</v>
      </c>
      <c r="D1091" s="1" t="s">
        <v>13</v>
      </c>
      <c r="E1091" s="2">
        <v>41705</v>
      </c>
      <c r="F1091" s="2" t="b">
        <f t="shared" si="67"/>
        <v>1</v>
      </c>
      <c r="G1091" s="2">
        <f t="shared" si="65"/>
        <v>41705</v>
      </c>
      <c r="H1091" s="1" t="s">
        <v>122</v>
      </c>
      <c r="I1091" s="1" t="s">
        <v>788</v>
      </c>
      <c r="J1091" s="1">
        <v>50</v>
      </c>
      <c r="K1091" s="1">
        <v>42</v>
      </c>
      <c r="L1091" s="3">
        <v>0.16</v>
      </c>
      <c r="N1091" t="s">
        <v>3763</v>
      </c>
      <c r="S1091" s="4" t="e">
        <f t="shared" si="66"/>
        <v>#NUM!</v>
      </c>
      <c r="T1091" s="4" t="str">
        <f t="shared" ref="T1091:T1154" si="68">IF(AND(P1091&lt;&gt;"",Q1091&lt;&gt;"",R1091&lt;&gt;""),IFERROR(DATE(R1091,P1091,Q1091),""),"")</f>
        <v/>
      </c>
      <c r="U1091" s="4" t="s">
        <v>3763</v>
      </c>
    </row>
    <row r="1092" spans="1:21" x14ac:dyDescent="0.3">
      <c r="A1092" t="s">
        <v>1635</v>
      </c>
      <c r="B1092" s="1" t="s">
        <v>28</v>
      </c>
      <c r="C1092" s="1" t="s">
        <v>29</v>
      </c>
      <c r="D1092" s="1" t="s">
        <v>13</v>
      </c>
      <c r="E1092" s="2" t="s">
        <v>3466</v>
      </c>
      <c r="F1092" s="2" t="b">
        <f t="shared" si="67"/>
        <v>0</v>
      </c>
      <c r="G1092" s="2">
        <f t="shared" ref="G1092:G1155" si="69">IF(F1092=TRUE,E1092,U1092)</f>
        <v>42667</v>
      </c>
      <c r="H1092" s="1" t="s">
        <v>122</v>
      </c>
      <c r="I1092" s="1" t="s">
        <v>554</v>
      </c>
      <c r="J1092" s="1">
        <v>50</v>
      </c>
      <c r="K1092" s="1">
        <v>44</v>
      </c>
      <c r="L1092" s="3">
        <v>0.12</v>
      </c>
      <c r="N1092" t="s">
        <v>3466</v>
      </c>
      <c r="P1092">
        <v>10</v>
      </c>
      <c r="Q1092">
        <v>24</v>
      </c>
      <c r="R1092">
        <v>2016</v>
      </c>
      <c r="S1092" s="4">
        <f t="shared" ref="S1092:S1155" si="70">DATE(R1092,P1092,Q1092)</f>
        <v>42667</v>
      </c>
      <c r="T1092" s="4">
        <f t="shared" si="68"/>
        <v>42667</v>
      </c>
      <c r="U1092" s="4">
        <v>42667</v>
      </c>
    </row>
    <row r="1093" spans="1:21" x14ac:dyDescent="0.3">
      <c r="A1093" t="s">
        <v>1636</v>
      </c>
      <c r="B1093" s="1" t="s">
        <v>111</v>
      </c>
      <c r="C1093" s="1" t="s">
        <v>82</v>
      </c>
      <c r="D1093" s="1" t="s">
        <v>13</v>
      </c>
      <c r="E1093" s="2">
        <v>43195</v>
      </c>
      <c r="F1093" s="2" t="b">
        <f t="shared" ref="F1093:F1156" si="71">ISNUMBER(E1093)</f>
        <v>1</v>
      </c>
      <c r="G1093" s="2">
        <f t="shared" si="69"/>
        <v>43195</v>
      </c>
      <c r="H1093" s="1" t="s">
        <v>122</v>
      </c>
      <c r="I1093" s="1" t="s">
        <v>112</v>
      </c>
      <c r="J1093" s="1">
        <v>50</v>
      </c>
      <c r="K1093" s="1">
        <v>49</v>
      </c>
      <c r="L1093" s="3">
        <v>0.02</v>
      </c>
      <c r="N1093" t="s">
        <v>3763</v>
      </c>
      <c r="S1093" s="4" t="e">
        <f t="shared" si="70"/>
        <v>#NUM!</v>
      </c>
      <c r="T1093" s="4" t="str">
        <f t="shared" si="68"/>
        <v/>
      </c>
      <c r="U1093" s="4" t="s">
        <v>3763</v>
      </c>
    </row>
    <row r="1094" spans="1:21" x14ac:dyDescent="0.3">
      <c r="A1094" t="s">
        <v>1637</v>
      </c>
      <c r="B1094" s="1" t="s">
        <v>11</v>
      </c>
      <c r="C1094" s="1" t="s">
        <v>12</v>
      </c>
      <c r="D1094" s="1" t="s">
        <v>13</v>
      </c>
      <c r="E1094" s="2" t="s">
        <v>3087</v>
      </c>
      <c r="F1094" s="2" t="b">
        <f t="shared" si="71"/>
        <v>0</v>
      </c>
      <c r="G1094" s="2">
        <f t="shared" si="69"/>
        <v>43338</v>
      </c>
      <c r="H1094" s="1" t="s">
        <v>14</v>
      </c>
      <c r="I1094" s="1" t="s">
        <v>276</v>
      </c>
      <c r="J1094" s="1">
        <v>80</v>
      </c>
      <c r="K1094" s="1">
        <v>78</v>
      </c>
      <c r="L1094" s="3">
        <v>2.5000000000000001E-2</v>
      </c>
      <c r="N1094" t="s">
        <v>3087</v>
      </c>
      <c r="P1094">
        <v>8</v>
      </c>
      <c r="Q1094">
        <v>26</v>
      </c>
      <c r="R1094">
        <v>2018</v>
      </c>
      <c r="S1094" s="4">
        <f t="shared" si="70"/>
        <v>43338</v>
      </c>
      <c r="T1094" s="4">
        <f t="shared" si="68"/>
        <v>43338</v>
      </c>
      <c r="U1094" s="4">
        <v>43338</v>
      </c>
    </row>
    <row r="1095" spans="1:21" x14ac:dyDescent="0.3">
      <c r="A1095" t="s">
        <v>1638</v>
      </c>
      <c r="B1095" s="1" t="s">
        <v>289</v>
      </c>
      <c r="C1095" s="1" t="s">
        <v>108</v>
      </c>
      <c r="D1095" s="1" t="s">
        <v>19</v>
      </c>
      <c r="E1095" s="2" t="s">
        <v>3467</v>
      </c>
      <c r="F1095" s="2" t="b">
        <f t="shared" si="71"/>
        <v>0</v>
      </c>
      <c r="G1095" s="2">
        <f t="shared" si="69"/>
        <v>43058</v>
      </c>
      <c r="H1095" s="1" t="s">
        <v>122</v>
      </c>
      <c r="I1095" s="1" t="s">
        <v>290</v>
      </c>
      <c r="J1095" s="1">
        <v>50</v>
      </c>
      <c r="K1095" s="1">
        <v>48</v>
      </c>
      <c r="L1095" s="3">
        <v>0.04</v>
      </c>
      <c r="N1095" t="s">
        <v>3467</v>
      </c>
      <c r="P1095">
        <v>11</v>
      </c>
      <c r="Q1095">
        <v>19</v>
      </c>
      <c r="R1095">
        <v>2017</v>
      </c>
      <c r="S1095" s="4">
        <f t="shared" si="70"/>
        <v>43058</v>
      </c>
      <c r="T1095" s="4">
        <f t="shared" si="68"/>
        <v>43058</v>
      </c>
      <c r="U1095" s="4">
        <v>43058</v>
      </c>
    </row>
    <row r="1096" spans="1:21" x14ac:dyDescent="0.3">
      <c r="A1096" t="s">
        <v>1639</v>
      </c>
      <c r="B1096" s="1" t="s">
        <v>157</v>
      </c>
      <c r="C1096" s="1" t="s">
        <v>108</v>
      </c>
      <c r="D1096" s="1" t="s">
        <v>19</v>
      </c>
      <c r="E1096" s="2" t="s">
        <v>2970</v>
      </c>
      <c r="F1096" s="2" t="b">
        <f t="shared" si="71"/>
        <v>0</v>
      </c>
      <c r="G1096" s="2">
        <f t="shared" si="69"/>
        <v>43144</v>
      </c>
      <c r="H1096" s="1" t="s">
        <v>30</v>
      </c>
      <c r="I1096" s="1" t="s">
        <v>464</v>
      </c>
      <c r="J1096" s="1">
        <v>150</v>
      </c>
      <c r="K1096" s="1">
        <v>147</v>
      </c>
      <c r="L1096" s="3">
        <v>0.02</v>
      </c>
      <c r="N1096" t="s">
        <v>2970</v>
      </c>
      <c r="P1096">
        <v>2</v>
      </c>
      <c r="Q1096">
        <v>13</v>
      </c>
      <c r="R1096">
        <v>2018</v>
      </c>
      <c r="S1096" s="4">
        <f t="shared" si="70"/>
        <v>43144</v>
      </c>
      <c r="T1096" s="4">
        <f t="shared" si="68"/>
        <v>43144</v>
      </c>
      <c r="U1096" s="4">
        <v>43144</v>
      </c>
    </row>
    <row r="1097" spans="1:21" x14ac:dyDescent="0.3">
      <c r="A1097" t="s">
        <v>1640</v>
      </c>
      <c r="B1097" s="1" t="s">
        <v>53</v>
      </c>
      <c r="C1097" s="1" t="s">
        <v>54</v>
      </c>
      <c r="D1097" s="1" t="s">
        <v>13</v>
      </c>
      <c r="E1097" s="2" t="s">
        <v>3468</v>
      </c>
      <c r="F1097" s="2" t="b">
        <f t="shared" si="71"/>
        <v>0</v>
      </c>
      <c r="G1097" s="2">
        <f t="shared" si="69"/>
        <v>42229</v>
      </c>
      <c r="H1097" s="1" t="s">
        <v>61</v>
      </c>
      <c r="I1097" s="1" t="s">
        <v>1206</v>
      </c>
      <c r="J1097" s="1">
        <v>1000</v>
      </c>
      <c r="K1097" s="1">
        <v>620</v>
      </c>
      <c r="L1097" s="3">
        <v>0.38</v>
      </c>
      <c r="N1097" t="s">
        <v>3468</v>
      </c>
      <c r="P1097">
        <v>8</v>
      </c>
      <c r="Q1097">
        <v>13</v>
      </c>
      <c r="R1097">
        <v>2015</v>
      </c>
      <c r="S1097" s="4">
        <f t="shared" si="70"/>
        <v>42229</v>
      </c>
      <c r="T1097" s="4">
        <f t="shared" si="68"/>
        <v>42229</v>
      </c>
      <c r="U1097" s="4">
        <v>42229</v>
      </c>
    </row>
    <row r="1098" spans="1:21" x14ac:dyDescent="0.3">
      <c r="A1098" t="s">
        <v>1641</v>
      </c>
      <c r="B1098" s="1" t="s">
        <v>127</v>
      </c>
      <c r="C1098" s="1" t="s">
        <v>128</v>
      </c>
      <c r="D1098" s="1" t="s">
        <v>13</v>
      </c>
      <c r="E1098" s="2" t="s">
        <v>2970</v>
      </c>
      <c r="F1098" s="2" t="b">
        <f t="shared" si="71"/>
        <v>0</v>
      </c>
      <c r="G1098" s="2">
        <f t="shared" si="69"/>
        <v>43144</v>
      </c>
      <c r="H1098" s="1" t="s">
        <v>72</v>
      </c>
      <c r="I1098" s="1" t="s">
        <v>920</v>
      </c>
      <c r="J1098" s="1">
        <v>500</v>
      </c>
      <c r="K1098" s="1">
        <v>495</v>
      </c>
      <c r="L1098" s="3">
        <v>0.01</v>
      </c>
      <c r="N1098" t="s">
        <v>2970</v>
      </c>
      <c r="P1098">
        <v>2</v>
      </c>
      <c r="Q1098">
        <v>13</v>
      </c>
      <c r="R1098">
        <v>2018</v>
      </c>
      <c r="S1098" s="4">
        <f t="shared" si="70"/>
        <v>43144</v>
      </c>
      <c r="T1098" s="4">
        <f t="shared" si="68"/>
        <v>43144</v>
      </c>
      <c r="U1098" s="4">
        <v>43144</v>
      </c>
    </row>
    <row r="1099" spans="1:21" x14ac:dyDescent="0.3">
      <c r="A1099" t="s">
        <v>1642</v>
      </c>
      <c r="B1099" s="1" t="s">
        <v>221</v>
      </c>
      <c r="C1099" s="1" t="s">
        <v>40</v>
      </c>
      <c r="D1099" s="1" t="s">
        <v>35</v>
      </c>
      <c r="E1099" s="2" t="s">
        <v>3469</v>
      </c>
      <c r="F1099" s="2" t="b">
        <f t="shared" si="71"/>
        <v>0</v>
      </c>
      <c r="G1099" s="2">
        <f t="shared" si="69"/>
        <v>43189</v>
      </c>
      <c r="H1099" s="1" t="s">
        <v>122</v>
      </c>
      <c r="I1099" s="1" t="s">
        <v>1059</v>
      </c>
      <c r="J1099" s="1">
        <v>50</v>
      </c>
      <c r="K1099" s="1">
        <v>47</v>
      </c>
      <c r="L1099" s="3">
        <v>0.06</v>
      </c>
      <c r="N1099" t="s">
        <v>3469</v>
      </c>
      <c r="P1099">
        <v>3</v>
      </c>
      <c r="Q1099">
        <v>30</v>
      </c>
      <c r="R1099">
        <v>2018</v>
      </c>
      <c r="S1099" s="4">
        <f t="shared" si="70"/>
        <v>43189</v>
      </c>
      <c r="T1099" s="4">
        <f t="shared" si="68"/>
        <v>43189</v>
      </c>
      <c r="U1099" s="4">
        <v>43189</v>
      </c>
    </row>
    <row r="1100" spans="1:21" x14ac:dyDescent="0.3">
      <c r="A1100" t="s">
        <v>1643</v>
      </c>
      <c r="B1100" s="1" t="s">
        <v>134</v>
      </c>
      <c r="C1100" s="1" t="s">
        <v>92</v>
      </c>
      <c r="D1100" s="1" t="s">
        <v>35</v>
      </c>
      <c r="E1100" s="2" t="s">
        <v>3470</v>
      </c>
      <c r="F1100" s="2" t="b">
        <f t="shared" si="71"/>
        <v>0</v>
      </c>
      <c r="G1100" s="2">
        <f t="shared" si="69"/>
        <v>42578</v>
      </c>
      <c r="H1100" s="1" t="s">
        <v>55</v>
      </c>
      <c r="I1100" s="1" t="s">
        <v>135</v>
      </c>
      <c r="J1100" s="1">
        <v>800</v>
      </c>
      <c r="K1100" s="1">
        <v>744</v>
      </c>
      <c r="L1100" s="3">
        <v>7.0000000000000007E-2</v>
      </c>
      <c r="N1100" t="s">
        <v>3470</v>
      </c>
      <c r="P1100">
        <v>7</v>
      </c>
      <c r="Q1100">
        <v>27</v>
      </c>
      <c r="R1100">
        <v>2016</v>
      </c>
      <c r="S1100" s="4">
        <f t="shared" si="70"/>
        <v>42578</v>
      </c>
      <c r="T1100" s="4">
        <f t="shared" si="68"/>
        <v>42578</v>
      </c>
      <c r="U1100" s="4">
        <v>42578</v>
      </c>
    </row>
    <row r="1101" spans="1:21" x14ac:dyDescent="0.3">
      <c r="A1101" t="s">
        <v>1644</v>
      </c>
      <c r="B1101" s="1" t="s">
        <v>49</v>
      </c>
      <c r="C1101" s="1" t="s">
        <v>50</v>
      </c>
      <c r="D1101" s="1" t="s">
        <v>24</v>
      </c>
      <c r="E1101" s="2">
        <v>43077</v>
      </c>
      <c r="F1101" s="2" t="b">
        <f t="shared" si="71"/>
        <v>1</v>
      </c>
      <c r="G1101" s="2">
        <f t="shared" si="69"/>
        <v>43077</v>
      </c>
      <c r="H1101" s="1" t="s">
        <v>46</v>
      </c>
      <c r="I1101" s="1" t="s">
        <v>68</v>
      </c>
      <c r="J1101" s="1">
        <v>500</v>
      </c>
      <c r="K1101" s="1">
        <v>490</v>
      </c>
      <c r="L1101" s="3">
        <v>0.02</v>
      </c>
      <c r="N1101" t="s">
        <v>3763</v>
      </c>
      <c r="S1101" s="4" t="e">
        <f t="shared" si="70"/>
        <v>#NUM!</v>
      </c>
      <c r="T1101" s="4" t="str">
        <f t="shared" si="68"/>
        <v/>
      </c>
      <c r="U1101" s="4" t="s">
        <v>3763</v>
      </c>
    </row>
    <row r="1102" spans="1:21" x14ac:dyDescent="0.3">
      <c r="A1102" t="s">
        <v>1645</v>
      </c>
      <c r="B1102" s="1" t="s">
        <v>174</v>
      </c>
      <c r="C1102" s="1" t="s">
        <v>175</v>
      </c>
      <c r="D1102" s="1" t="s">
        <v>13</v>
      </c>
      <c r="E1102" s="2" t="s">
        <v>3431</v>
      </c>
      <c r="F1102" s="2" t="b">
        <f t="shared" si="71"/>
        <v>0</v>
      </c>
      <c r="G1102" s="2">
        <f t="shared" si="69"/>
        <v>42112</v>
      </c>
      <c r="H1102" s="1" t="s">
        <v>55</v>
      </c>
      <c r="I1102" s="1" t="s">
        <v>219</v>
      </c>
      <c r="J1102" s="1">
        <v>800</v>
      </c>
      <c r="K1102" s="1">
        <v>576</v>
      </c>
      <c r="L1102" s="3">
        <v>0.28000000000000003</v>
      </c>
      <c r="N1102" t="s">
        <v>3431</v>
      </c>
      <c r="P1102">
        <v>4</v>
      </c>
      <c r="Q1102">
        <v>18</v>
      </c>
      <c r="R1102">
        <v>2015</v>
      </c>
      <c r="S1102" s="4">
        <f t="shared" si="70"/>
        <v>42112</v>
      </c>
      <c r="T1102" s="4">
        <f t="shared" si="68"/>
        <v>42112</v>
      </c>
      <c r="U1102" s="4">
        <v>42112</v>
      </c>
    </row>
    <row r="1103" spans="1:21" x14ac:dyDescent="0.3">
      <c r="A1103" t="s">
        <v>1646</v>
      </c>
      <c r="B1103" s="1" t="s">
        <v>146</v>
      </c>
      <c r="C1103" s="1" t="s">
        <v>147</v>
      </c>
      <c r="D1103" s="1" t="s">
        <v>13</v>
      </c>
      <c r="E1103" s="2" t="s">
        <v>3446</v>
      </c>
      <c r="F1103" s="2" t="b">
        <f t="shared" si="71"/>
        <v>0</v>
      </c>
      <c r="G1103" s="2">
        <f t="shared" si="69"/>
        <v>43269</v>
      </c>
      <c r="H1103" s="1" t="s">
        <v>46</v>
      </c>
      <c r="I1103" s="1" t="s">
        <v>1647</v>
      </c>
      <c r="J1103" s="1">
        <v>500</v>
      </c>
      <c r="K1103" s="1">
        <v>455</v>
      </c>
      <c r="L1103" s="3">
        <v>0.09</v>
      </c>
      <c r="N1103" t="s">
        <v>3446</v>
      </c>
      <c r="P1103">
        <v>6</v>
      </c>
      <c r="Q1103">
        <v>18</v>
      </c>
      <c r="R1103">
        <v>2018</v>
      </c>
      <c r="S1103" s="4">
        <f t="shared" si="70"/>
        <v>43269</v>
      </c>
      <c r="T1103" s="4">
        <f t="shared" si="68"/>
        <v>43269</v>
      </c>
      <c r="U1103" s="4">
        <v>43269</v>
      </c>
    </row>
    <row r="1104" spans="1:21" x14ac:dyDescent="0.3">
      <c r="A1104" t="s">
        <v>1648</v>
      </c>
      <c r="B1104" s="1" t="s">
        <v>227</v>
      </c>
      <c r="C1104" s="1" t="s">
        <v>228</v>
      </c>
      <c r="D1104" s="1" t="s">
        <v>24</v>
      </c>
      <c r="E1104" s="2">
        <v>41828</v>
      </c>
      <c r="F1104" s="2" t="b">
        <f t="shared" si="71"/>
        <v>1</v>
      </c>
      <c r="G1104" s="2">
        <f t="shared" si="69"/>
        <v>41828</v>
      </c>
      <c r="H1104" s="1" t="s">
        <v>30</v>
      </c>
      <c r="I1104" s="1" t="s">
        <v>685</v>
      </c>
      <c r="J1104" s="1">
        <v>150</v>
      </c>
      <c r="K1104" s="1">
        <v>135</v>
      </c>
      <c r="L1104" s="3">
        <v>0.1</v>
      </c>
      <c r="N1104" t="s">
        <v>3763</v>
      </c>
      <c r="S1104" s="4" t="e">
        <f t="shared" si="70"/>
        <v>#NUM!</v>
      </c>
      <c r="T1104" s="4" t="str">
        <f t="shared" si="68"/>
        <v/>
      </c>
      <c r="U1104" s="4" t="s">
        <v>3763</v>
      </c>
    </row>
    <row r="1105" spans="1:21" x14ac:dyDescent="0.3">
      <c r="A1105" t="s">
        <v>1649</v>
      </c>
      <c r="B1105" s="1" t="s">
        <v>11</v>
      </c>
      <c r="C1105" s="1" t="s">
        <v>12</v>
      </c>
      <c r="D1105" s="1" t="s">
        <v>13</v>
      </c>
      <c r="E1105" s="2" t="s">
        <v>3471</v>
      </c>
      <c r="F1105" s="2" t="b">
        <f t="shared" si="71"/>
        <v>0</v>
      </c>
      <c r="G1105" s="2">
        <f t="shared" si="69"/>
        <v>43220</v>
      </c>
      <c r="H1105" s="1" t="s">
        <v>72</v>
      </c>
      <c r="I1105" s="1" t="s">
        <v>137</v>
      </c>
      <c r="J1105" s="1">
        <v>500</v>
      </c>
      <c r="K1105" s="1">
        <v>490</v>
      </c>
      <c r="L1105" s="3">
        <v>0.02</v>
      </c>
      <c r="N1105" t="s">
        <v>3471</v>
      </c>
      <c r="P1105">
        <v>4</v>
      </c>
      <c r="Q1105">
        <v>30</v>
      </c>
      <c r="R1105">
        <v>2018</v>
      </c>
      <c r="S1105" s="4">
        <f t="shared" si="70"/>
        <v>43220</v>
      </c>
      <c r="T1105" s="4">
        <f t="shared" si="68"/>
        <v>43220</v>
      </c>
      <c r="U1105" s="4">
        <v>43220</v>
      </c>
    </row>
    <row r="1106" spans="1:21" x14ac:dyDescent="0.3">
      <c r="A1106" t="s">
        <v>1650</v>
      </c>
      <c r="B1106" s="1" t="s">
        <v>270</v>
      </c>
      <c r="C1106" s="1" t="s">
        <v>271</v>
      </c>
      <c r="D1106" s="1" t="s">
        <v>35</v>
      </c>
      <c r="E1106" s="2">
        <v>41857</v>
      </c>
      <c r="F1106" s="2" t="b">
        <f t="shared" si="71"/>
        <v>1</v>
      </c>
      <c r="G1106" s="2">
        <f t="shared" si="69"/>
        <v>41857</v>
      </c>
      <c r="H1106" s="1" t="s">
        <v>72</v>
      </c>
      <c r="I1106" s="1" t="s">
        <v>809</v>
      </c>
      <c r="J1106" s="1">
        <v>500</v>
      </c>
      <c r="K1106" s="1">
        <v>495</v>
      </c>
      <c r="L1106" s="3">
        <v>0.01</v>
      </c>
      <c r="N1106" t="s">
        <v>3763</v>
      </c>
      <c r="S1106" s="4" t="e">
        <f t="shared" si="70"/>
        <v>#NUM!</v>
      </c>
      <c r="T1106" s="4" t="str">
        <f t="shared" si="68"/>
        <v/>
      </c>
      <c r="U1106" s="4" t="s">
        <v>3763</v>
      </c>
    </row>
    <row r="1107" spans="1:21" x14ac:dyDescent="0.3">
      <c r="A1107" t="s">
        <v>1651</v>
      </c>
      <c r="B1107" s="1" t="s">
        <v>59</v>
      </c>
      <c r="C1107" s="1" t="s">
        <v>60</v>
      </c>
      <c r="D1107" s="1" t="s">
        <v>13</v>
      </c>
      <c r="E1107" s="2" t="s">
        <v>3472</v>
      </c>
      <c r="F1107" s="2" t="b">
        <f t="shared" si="71"/>
        <v>0</v>
      </c>
      <c r="G1107" s="2">
        <f t="shared" si="69"/>
        <v>42878</v>
      </c>
      <c r="H1107" s="1" t="s">
        <v>122</v>
      </c>
      <c r="I1107" s="1" t="s">
        <v>62</v>
      </c>
      <c r="J1107" s="1">
        <v>50</v>
      </c>
      <c r="K1107" s="1">
        <v>45</v>
      </c>
      <c r="L1107" s="3">
        <v>0.1</v>
      </c>
      <c r="N1107" t="s">
        <v>3472</v>
      </c>
      <c r="P1107">
        <v>5</v>
      </c>
      <c r="Q1107">
        <v>23</v>
      </c>
      <c r="R1107">
        <v>2017</v>
      </c>
      <c r="S1107" s="4">
        <f t="shared" si="70"/>
        <v>42878</v>
      </c>
      <c r="T1107" s="4">
        <f t="shared" si="68"/>
        <v>42878</v>
      </c>
      <c r="U1107" s="4">
        <v>42878</v>
      </c>
    </row>
    <row r="1108" spans="1:21" x14ac:dyDescent="0.3">
      <c r="A1108" t="s">
        <v>1652</v>
      </c>
      <c r="B1108" s="1" t="s">
        <v>224</v>
      </c>
      <c r="C1108" s="1" t="s">
        <v>50</v>
      </c>
      <c r="D1108" s="1" t="s">
        <v>24</v>
      </c>
      <c r="E1108" s="2" t="s">
        <v>3473</v>
      </c>
      <c r="F1108" s="2" t="b">
        <f t="shared" si="71"/>
        <v>0</v>
      </c>
      <c r="G1108" s="2">
        <f t="shared" si="69"/>
        <v>42991</v>
      </c>
      <c r="H1108" s="1" t="s">
        <v>41</v>
      </c>
      <c r="I1108" s="1" t="s">
        <v>774</v>
      </c>
      <c r="J1108" s="1">
        <v>30</v>
      </c>
      <c r="K1108" s="1">
        <v>28</v>
      </c>
      <c r="L1108" s="3">
        <v>6.6699999999999995E-2</v>
      </c>
      <c r="N1108" t="s">
        <v>3473</v>
      </c>
      <c r="P1108">
        <v>9</v>
      </c>
      <c r="Q1108">
        <v>13</v>
      </c>
      <c r="R1108">
        <v>2017</v>
      </c>
      <c r="S1108" s="4">
        <f t="shared" si="70"/>
        <v>42991</v>
      </c>
      <c r="T1108" s="4">
        <f t="shared" si="68"/>
        <v>42991</v>
      </c>
      <c r="U1108" s="4">
        <v>42991</v>
      </c>
    </row>
    <row r="1109" spans="1:21" x14ac:dyDescent="0.3">
      <c r="A1109" t="s">
        <v>1653</v>
      </c>
      <c r="B1109" s="1" t="s">
        <v>324</v>
      </c>
      <c r="C1109" s="1" t="s">
        <v>325</v>
      </c>
      <c r="D1109" s="1" t="s">
        <v>13</v>
      </c>
      <c r="E1109" s="2" t="s">
        <v>2971</v>
      </c>
      <c r="F1109" s="2" t="b">
        <f t="shared" si="71"/>
        <v>0</v>
      </c>
      <c r="G1109" s="2">
        <f t="shared" si="69"/>
        <v>43151</v>
      </c>
      <c r="H1109" s="1" t="s">
        <v>55</v>
      </c>
      <c r="I1109" s="1" t="s">
        <v>922</v>
      </c>
      <c r="J1109" s="1">
        <v>800</v>
      </c>
      <c r="K1109" s="1">
        <v>472</v>
      </c>
      <c r="L1109" s="3">
        <v>0.41</v>
      </c>
      <c r="N1109" t="s">
        <v>2971</v>
      </c>
      <c r="P1109">
        <v>2</v>
      </c>
      <c r="Q1109">
        <v>20</v>
      </c>
      <c r="R1109">
        <v>2018</v>
      </c>
      <c r="S1109" s="4">
        <f t="shared" si="70"/>
        <v>43151</v>
      </c>
      <c r="T1109" s="4">
        <f t="shared" si="68"/>
        <v>43151</v>
      </c>
      <c r="U1109" s="4">
        <v>43151</v>
      </c>
    </row>
    <row r="1110" spans="1:21" x14ac:dyDescent="0.3">
      <c r="A1110" t="s">
        <v>1654</v>
      </c>
      <c r="B1110" s="1" t="s">
        <v>146</v>
      </c>
      <c r="C1110" s="1" t="s">
        <v>147</v>
      </c>
      <c r="D1110" s="1" t="s">
        <v>13</v>
      </c>
      <c r="E1110" s="2" t="s">
        <v>3364</v>
      </c>
      <c r="F1110" s="2" t="b">
        <f t="shared" si="71"/>
        <v>0</v>
      </c>
      <c r="G1110" s="2">
        <f t="shared" si="69"/>
        <v>42809</v>
      </c>
      <c r="H1110" s="1" t="s">
        <v>61</v>
      </c>
      <c r="I1110" s="1" t="s">
        <v>1334</v>
      </c>
      <c r="J1110" s="1">
        <v>1000</v>
      </c>
      <c r="K1110" s="1">
        <v>680</v>
      </c>
      <c r="L1110" s="3">
        <v>0.32</v>
      </c>
      <c r="N1110" t="s">
        <v>3364</v>
      </c>
      <c r="P1110">
        <v>3</v>
      </c>
      <c r="Q1110">
        <v>15</v>
      </c>
      <c r="R1110">
        <v>2017</v>
      </c>
      <c r="S1110" s="4">
        <f t="shared" si="70"/>
        <v>42809</v>
      </c>
      <c r="T1110" s="4">
        <f t="shared" si="68"/>
        <v>42809</v>
      </c>
      <c r="U1110" s="4">
        <v>42809</v>
      </c>
    </row>
    <row r="1111" spans="1:21" x14ac:dyDescent="0.3">
      <c r="A1111" t="s">
        <v>1655</v>
      </c>
      <c r="B1111" s="1" t="s">
        <v>127</v>
      </c>
      <c r="C1111" s="1" t="s">
        <v>128</v>
      </c>
      <c r="D1111" s="1" t="s">
        <v>13</v>
      </c>
      <c r="E1111" s="2" t="s">
        <v>3170</v>
      </c>
      <c r="F1111" s="2" t="b">
        <f t="shared" si="71"/>
        <v>0</v>
      </c>
      <c r="G1111" s="2">
        <f t="shared" si="69"/>
        <v>42790</v>
      </c>
      <c r="H1111" s="1" t="s">
        <v>30</v>
      </c>
      <c r="I1111" s="1" t="s">
        <v>233</v>
      </c>
      <c r="J1111" s="1">
        <v>150</v>
      </c>
      <c r="K1111" s="1">
        <v>150</v>
      </c>
      <c r="L1111" s="3">
        <v>0</v>
      </c>
      <c r="N1111" t="s">
        <v>3170</v>
      </c>
      <c r="P1111">
        <v>2</v>
      </c>
      <c r="Q1111">
        <v>24</v>
      </c>
      <c r="R1111">
        <v>2017</v>
      </c>
      <c r="S1111" s="4">
        <f t="shared" si="70"/>
        <v>42790</v>
      </c>
      <c r="T1111" s="4">
        <f t="shared" si="68"/>
        <v>42790</v>
      </c>
      <c r="U1111" s="4">
        <v>42790</v>
      </c>
    </row>
    <row r="1112" spans="1:21" x14ac:dyDescent="0.3">
      <c r="A1112" t="s">
        <v>1656</v>
      </c>
      <c r="B1112" s="1" t="s">
        <v>227</v>
      </c>
      <c r="C1112" s="1" t="s">
        <v>228</v>
      </c>
      <c r="D1112" s="1" t="s">
        <v>24</v>
      </c>
      <c r="E1112" s="2" t="s">
        <v>3006</v>
      </c>
      <c r="F1112" s="2" t="b">
        <f t="shared" si="71"/>
        <v>0</v>
      </c>
      <c r="G1112" s="2">
        <f t="shared" si="69"/>
        <v>43056</v>
      </c>
      <c r="H1112" s="1" t="s">
        <v>41</v>
      </c>
      <c r="I1112" s="1" t="s">
        <v>836</v>
      </c>
      <c r="J1112" s="1">
        <v>30</v>
      </c>
      <c r="K1112" s="1">
        <v>28</v>
      </c>
      <c r="L1112" s="3">
        <v>6.6699999999999995E-2</v>
      </c>
      <c r="N1112" t="s">
        <v>3006</v>
      </c>
      <c r="P1112">
        <v>11</v>
      </c>
      <c r="Q1112">
        <v>17</v>
      </c>
      <c r="R1112">
        <v>2017</v>
      </c>
      <c r="S1112" s="4">
        <f t="shared" si="70"/>
        <v>43056</v>
      </c>
      <c r="T1112" s="4">
        <f t="shared" si="68"/>
        <v>43056</v>
      </c>
      <c r="U1112" s="4">
        <v>43056</v>
      </c>
    </row>
    <row r="1113" spans="1:21" x14ac:dyDescent="0.3">
      <c r="A1113" t="s">
        <v>1657</v>
      </c>
      <c r="B1113" s="1" t="s">
        <v>49</v>
      </c>
      <c r="C1113" s="1" t="s">
        <v>50</v>
      </c>
      <c r="D1113" s="1" t="s">
        <v>24</v>
      </c>
      <c r="E1113" s="2">
        <v>42892</v>
      </c>
      <c r="F1113" s="2" t="b">
        <f t="shared" si="71"/>
        <v>1</v>
      </c>
      <c r="G1113" s="2">
        <f t="shared" si="69"/>
        <v>42892</v>
      </c>
      <c r="H1113" s="1" t="s">
        <v>46</v>
      </c>
      <c r="I1113" s="1" t="s">
        <v>1000</v>
      </c>
      <c r="J1113" s="1">
        <v>500</v>
      </c>
      <c r="K1113" s="1">
        <v>450</v>
      </c>
      <c r="L1113" s="3">
        <v>0.1</v>
      </c>
      <c r="N1113" t="s">
        <v>3763</v>
      </c>
      <c r="S1113" s="4" t="e">
        <f t="shared" si="70"/>
        <v>#NUM!</v>
      </c>
      <c r="T1113" s="4" t="str">
        <f t="shared" si="68"/>
        <v/>
      </c>
      <c r="U1113" s="4" t="s">
        <v>3763</v>
      </c>
    </row>
    <row r="1114" spans="1:21" x14ac:dyDescent="0.3">
      <c r="A1114" t="s">
        <v>1658</v>
      </c>
      <c r="B1114" s="1" t="s">
        <v>187</v>
      </c>
      <c r="C1114" s="1" t="s">
        <v>188</v>
      </c>
      <c r="D1114" s="1" t="s">
        <v>13</v>
      </c>
      <c r="E1114" s="2">
        <v>43077</v>
      </c>
      <c r="F1114" s="2" t="b">
        <f t="shared" si="71"/>
        <v>1</v>
      </c>
      <c r="G1114" s="2">
        <f t="shared" si="69"/>
        <v>43077</v>
      </c>
      <c r="H1114" s="1" t="s">
        <v>30</v>
      </c>
      <c r="I1114" s="1" t="s">
        <v>683</v>
      </c>
      <c r="J1114" s="1">
        <v>150</v>
      </c>
      <c r="K1114" s="1">
        <v>149</v>
      </c>
      <c r="L1114" s="3">
        <v>6.7000000000000002E-3</v>
      </c>
      <c r="N1114" t="s">
        <v>3763</v>
      </c>
      <c r="S1114" s="4" t="e">
        <f t="shared" si="70"/>
        <v>#NUM!</v>
      </c>
      <c r="T1114" s="4" t="str">
        <f t="shared" si="68"/>
        <v/>
      </c>
      <c r="U1114" s="4" t="s">
        <v>3763</v>
      </c>
    </row>
    <row r="1115" spans="1:21" x14ac:dyDescent="0.3">
      <c r="A1115" t="s">
        <v>1659</v>
      </c>
      <c r="B1115" s="1" t="s">
        <v>49</v>
      </c>
      <c r="C1115" s="1" t="s">
        <v>50</v>
      </c>
      <c r="D1115" s="1" t="s">
        <v>24</v>
      </c>
      <c r="E1115" s="2">
        <v>42285</v>
      </c>
      <c r="F1115" s="2" t="b">
        <f t="shared" si="71"/>
        <v>1</v>
      </c>
      <c r="G1115" s="2">
        <f t="shared" si="69"/>
        <v>42285</v>
      </c>
      <c r="H1115" s="1" t="s">
        <v>14</v>
      </c>
      <c r="I1115" s="1" t="s">
        <v>658</v>
      </c>
      <c r="J1115" s="1">
        <v>80</v>
      </c>
      <c r="K1115" s="1">
        <v>53</v>
      </c>
      <c r="L1115" s="3">
        <v>0.33750000000000002</v>
      </c>
      <c r="N1115" t="s">
        <v>3763</v>
      </c>
      <c r="S1115" s="4" t="e">
        <f t="shared" si="70"/>
        <v>#NUM!</v>
      </c>
      <c r="T1115" s="4" t="str">
        <f t="shared" si="68"/>
        <v/>
      </c>
      <c r="U1115" s="4" t="s">
        <v>3763</v>
      </c>
    </row>
    <row r="1116" spans="1:21" x14ac:dyDescent="0.3">
      <c r="A1116" t="s">
        <v>1660</v>
      </c>
      <c r="B1116" s="1" t="s">
        <v>11</v>
      </c>
      <c r="C1116" s="1" t="s">
        <v>12</v>
      </c>
      <c r="D1116" s="1" t="s">
        <v>13</v>
      </c>
      <c r="E1116" s="2" t="s">
        <v>3276</v>
      </c>
      <c r="F1116" s="2" t="b">
        <f t="shared" si="71"/>
        <v>0</v>
      </c>
      <c r="G1116" s="2">
        <f t="shared" si="69"/>
        <v>42961</v>
      </c>
      <c r="H1116" s="1" t="s">
        <v>46</v>
      </c>
      <c r="I1116" s="1" t="s">
        <v>293</v>
      </c>
      <c r="J1116" s="1">
        <v>500</v>
      </c>
      <c r="K1116" s="1">
        <v>480</v>
      </c>
      <c r="L1116" s="3">
        <v>0.04</v>
      </c>
      <c r="N1116" t="s">
        <v>3276</v>
      </c>
      <c r="P1116">
        <v>8</v>
      </c>
      <c r="Q1116">
        <v>14</v>
      </c>
      <c r="R1116">
        <v>2017</v>
      </c>
      <c r="S1116" s="4">
        <f t="shared" si="70"/>
        <v>42961</v>
      </c>
      <c r="T1116" s="4">
        <f t="shared" si="68"/>
        <v>42961</v>
      </c>
      <c r="U1116" s="4">
        <v>42961</v>
      </c>
    </row>
    <row r="1117" spans="1:21" x14ac:dyDescent="0.3">
      <c r="A1117" t="s">
        <v>1661</v>
      </c>
      <c r="B1117" s="1" t="s">
        <v>22</v>
      </c>
      <c r="C1117" s="1" t="s">
        <v>23</v>
      </c>
      <c r="D1117" s="1" t="s">
        <v>24</v>
      </c>
      <c r="E1117" s="2">
        <v>42705</v>
      </c>
      <c r="F1117" s="2" t="b">
        <f t="shared" si="71"/>
        <v>1</v>
      </c>
      <c r="G1117" s="2">
        <f t="shared" si="69"/>
        <v>42705</v>
      </c>
      <c r="H1117" s="1" t="s">
        <v>46</v>
      </c>
      <c r="I1117" s="1" t="s">
        <v>624</v>
      </c>
      <c r="J1117" s="1">
        <v>500</v>
      </c>
      <c r="K1117" s="1">
        <v>495</v>
      </c>
      <c r="L1117" s="3">
        <v>0.01</v>
      </c>
      <c r="N1117" t="s">
        <v>3763</v>
      </c>
      <c r="S1117" s="4" t="e">
        <f t="shared" si="70"/>
        <v>#NUM!</v>
      </c>
      <c r="T1117" s="4" t="str">
        <f t="shared" si="68"/>
        <v/>
      </c>
      <c r="U1117" s="4" t="s">
        <v>3763</v>
      </c>
    </row>
    <row r="1118" spans="1:21" x14ac:dyDescent="0.3">
      <c r="A1118" t="s">
        <v>1662</v>
      </c>
      <c r="B1118" s="1" t="s">
        <v>11</v>
      </c>
      <c r="C1118" s="1" t="s">
        <v>12</v>
      </c>
      <c r="D1118" s="1" t="s">
        <v>13</v>
      </c>
      <c r="E1118" s="2">
        <v>41699</v>
      </c>
      <c r="F1118" s="2" t="b">
        <f t="shared" si="71"/>
        <v>1</v>
      </c>
      <c r="G1118" s="2">
        <f t="shared" si="69"/>
        <v>41699</v>
      </c>
      <c r="H1118" s="1" t="s">
        <v>122</v>
      </c>
      <c r="I1118" s="1" t="s">
        <v>1159</v>
      </c>
      <c r="J1118" s="1">
        <v>50</v>
      </c>
      <c r="K1118" s="1">
        <v>48</v>
      </c>
      <c r="L1118" s="3">
        <v>0.04</v>
      </c>
      <c r="N1118" t="s">
        <v>3763</v>
      </c>
      <c r="S1118" s="4" t="e">
        <f t="shared" si="70"/>
        <v>#NUM!</v>
      </c>
      <c r="T1118" s="4" t="str">
        <f t="shared" si="68"/>
        <v/>
      </c>
      <c r="U1118" s="4" t="s">
        <v>3763</v>
      </c>
    </row>
    <row r="1119" spans="1:21" x14ac:dyDescent="0.3">
      <c r="A1119" t="s">
        <v>1663</v>
      </c>
      <c r="B1119" s="1" t="s">
        <v>205</v>
      </c>
      <c r="C1119" s="1" t="s">
        <v>206</v>
      </c>
      <c r="D1119" s="1" t="s">
        <v>24</v>
      </c>
      <c r="E1119" s="2" t="s">
        <v>3133</v>
      </c>
      <c r="F1119" s="2" t="b">
        <f t="shared" si="71"/>
        <v>0</v>
      </c>
      <c r="G1119" s="2">
        <f t="shared" si="69"/>
        <v>41970</v>
      </c>
      <c r="H1119" s="1" t="s">
        <v>36</v>
      </c>
      <c r="I1119" s="1" t="s">
        <v>361</v>
      </c>
      <c r="J1119" s="1">
        <v>50</v>
      </c>
      <c r="K1119" s="1">
        <v>45</v>
      </c>
      <c r="L1119" s="3">
        <v>0.1</v>
      </c>
      <c r="N1119" t="s">
        <v>3133</v>
      </c>
      <c r="P1119">
        <v>11</v>
      </c>
      <c r="Q1119">
        <v>27</v>
      </c>
      <c r="R1119">
        <v>2014</v>
      </c>
      <c r="S1119" s="4">
        <f t="shared" si="70"/>
        <v>41970</v>
      </c>
      <c r="T1119" s="4">
        <f t="shared" si="68"/>
        <v>41970</v>
      </c>
      <c r="U1119" s="4">
        <v>41970</v>
      </c>
    </row>
    <row r="1120" spans="1:21" x14ac:dyDescent="0.3">
      <c r="A1120" t="s">
        <v>1664</v>
      </c>
      <c r="B1120" s="1" t="s">
        <v>227</v>
      </c>
      <c r="C1120" s="1" t="s">
        <v>228</v>
      </c>
      <c r="D1120" s="1" t="s">
        <v>24</v>
      </c>
      <c r="E1120" s="2" t="s">
        <v>3474</v>
      </c>
      <c r="F1120" s="2" t="b">
        <f t="shared" si="71"/>
        <v>0</v>
      </c>
      <c r="G1120" s="2">
        <f t="shared" si="69"/>
        <v>42505</v>
      </c>
      <c r="H1120" s="1" t="s">
        <v>14</v>
      </c>
      <c r="I1120" s="1" t="s">
        <v>621</v>
      </c>
      <c r="J1120" s="1">
        <v>80</v>
      </c>
      <c r="K1120" s="1">
        <v>74</v>
      </c>
      <c r="L1120" s="3">
        <v>7.4999999999999997E-2</v>
      </c>
      <c r="N1120" t="s">
        <v>3474</v>
      </c>
      <c r="P1120">
        <v>5</v>
      </c>
      <c r="Q1120">
        <v>15</v>
      </c>
      <c r="R1120">
        <v>2016</v>
      </c>
      <c r="S1120" s="4">
        <f t="shared" si="70"/>
        <v>42505</v>
      </c>
      <c r="T1120" s="4">
        <f t="shared" si="68"/>
        <v>42505</v>
      </c>
      <c r="U1120" s="4">
        <v>42505</v>
      </c>
    </row>
    <row r="1121" spans="1:21" x14ac:dyDescent="0.3">
      <c r="A1121" t="s">
        <v>1665</v>
      </c>
      <c r="B1121" s="1" t="s">
        <v>150</v>
      </c>
      <c r="C1121" s="1" t="s">
        <v>151</v>
      </c>
      <c r="D1121" s="1" t="s">
        <v>13</v>
      </c>
      <c r="E1121" s="2" t="s">
        <v>3191</v>
      </c>
      <c r="F1121" s="2" t="b">
        <f t="shared" si="71"/>
        <v>0</v>
      </c>
      <c r="G1121" s="2">
        <f t="shared" si="69"/>
        <v>42486</v>
      </c>
      <c r="H1121" s="1" t="s">
        <v>55</v>
      </c>
      <c r="I1121" s="1" t="s">
        <v>152</v>
      </c>
      <c r="J1121" s="1">
        <v>800</v>
      </c>
      <c r="K1121" s="1">
        <v>592</v>
      </c>
      <c r="L1121" s="3">
        <v>0.26</v>
      </c>
      <c r="N1121" t="s">
        <v>3191</v>
      </c>
      <c r="P1121">
        <v>4</v>
      </c>
      <c r="Q1121">
        <v>26</v>
      </c>
      <c r="R1121">
        <v>2016</v>
      </c>
      <c r="S1121" s="4">
        <f t="shared" si="70"/>
        <v>42486</v>
      </c>
      <c r="T1121" s="4">
        <f t="shared" si="68"/>
        <v>42486</v>
      </c>
      <c r="U1121" s="4">
        <v>42486</v>
      </c>
    </row>
    <row r="1122" spans="1:21" x14ac:dyDescent="0.3">
      <c r="A1122" t="s">
        <v>1666</v>
      </c>
      <c r="B1122" s="1" t="s">
        <v>111</v>
      </c>
      <c r="C1122" s="1" t="s">
        <v>82</v>
      </c>
      <c r="D1122" s="1" t="s">
        <v>13</v>
      </c>
      <c r="E1122" s="2" t="s">
        <v>3475</v>
      </c>
      <c r="F1122" s="2" t="b">
        <f t="shared" si="71"/>
        <v>0</v>
      </c>
      <c r="G1122" s="2">
        <f t="shared" si="69"/>
        <v>42718</v>
      </c>
      <c r="H1122" s="1" t="s">
        <v>14</v>
      </c>
      <c r="I1122" s="1" t="s">
        <v>372</v>
      </c>
      <c r="J1122" s="1">
        <v>80</v>
      </c>
      <c r="K1122" s="1">
        <v>74</v>
      </c>
      <c r="L1122" s="3">
        <v>7.4999999999999997E-2</v>
      </c>
      <c r="N1122" t="s">
        <v>3475</v>
      </c>
      <c r="P1122">
        <v>12</v>
      </c>
      <c r="Q1122">
        <v>14</v>
      </c>
      <c r="R1122">
        <v>2016</v>
      </c>
      <c r="S1122" s="4">
        <f t="shared" si="70"/>
        <v>42718</v>
      </c>
      <c r="T1122" s="4">
        <f t="shared" si="68"/>
        <v>42718</v>
      </c>
      <c r="U1122" s="4">
        <v>42718</v>
      </c>
    </row>
    <row r="1123" spans="1:21" x14ac:dyDescent="0.3">
      <c r="A1123" t="s">
        <v>1667</v>
      </c>
      <c r="B1123" s="1" t="s">
        <v>127</v>
      </c>
      <c r="C1123" s="1" t="s">
        <v>128</v>
      </c>
      <c r="D1123" s="1" t="s">
        <v>13</v>
      </c>
      <c r="E1123" s="2" t="s">
        <v>3476</v>
      </c>
      <c r="F1123" s="2" t="b">
        <f t="shared" si="71"/>
        <v>0</v>
      </c>
      <c r="G1123" s="2">
        <f t="shared" si="69"/>
        <v>42143</v>
      </c>
      <c r="H1123" s="1" t="s">
        <v>41</v>
      </c>
      <c r="I1123" s="1" t="s">
        <v>920</v>
      </c>
      <c r="J1123" s="1">
        <v>30</v>
      </c>
      <c r="K1123" s="1">
        <v>20</v>
      </c>
      <c r="L1123" s="3">
        <v>0.33329999999999999</v>
      </c>
      <c r="N1123" t="s">
        <v>3476</v>
      </c>
      <c r="P1123">
        <v>5</v>
      </c>
      <c r="Q1123">
        <v>19</v>
      </c>
      <c r="R1123">
        <v>2015</v>
      </c>
      <c r="S1123" s="4">
        <f t="shared" si="70"/>
        <v>42143</v>
      </c>
      <c r="T1123" s="4">
        <f t="shared" si="68"/>
        <v>42143</v>
      </c>
      <c r="U1123" s="4">
        <v>42143</v>
      </c>
    </row>
    <row r="1124" spans="1:21" x14ac:dyDescent="0.3">
      <c r="A1124" t="s">
        <v>1668</v>
      </c>
      <c r="B1124" s="1" t="s">
        <v>44</v>
      </c>
      <c r="C1124" s="1" t="s">
        <v>45</v>
      </c>
      <c r="D1124" s="1" t="s">
        <v>24</v>
      </c>
      <c r="E1124" s="2">
        <v>42741</v>
      </c>
      <c r="F1124" s="2" t="b">
        <f t="shared" si="71"/>
        <v>1</v>
      </c>
      <c r="G1124" s="2">
        <f t="shared" si="69"/>
        <v>42741</v>
      </c>
      <c r="H1124" s="1" t="s">
        <v>30</v>
      </c>
      <c r="I1124" s="1" t="s">
        <v>47</v>
      </c>
      <c r="J1124" s="1">
        <v>150</v>
      </c>
      <c r="K1124" s="1">
        <v>138</v>
      </c>
      <c r="L1124" s="3">
        <v>0.08</v>
      </c>
      <c r="N1124" t="s">
        <v>3763</v>
      </c>
      <c r="S1124" s="4" t="e">
        <f t="shared" si="70"/>
        <v>#NUM!</v>
      </c>
      <c r="T1124" s="4" t="str">
        <f t="shared" si="68"/>
        <v/>
      </c>
      <c r="U1124" s="4" t="s">
        <v>3763</v>
      </c>
    </row>
    <row r="1125" spans="1:21" x14ac:dyDescent="0.3">
      <c r="A1125" t="s">
        <v>1669</v>
      </c>
      <c r="B1125" s="1" t="s">
        <v>59</v>
      </c>
      <c r="C1125" s="1" t="s">
        <v>60</v>
      </c>
      <c r="D1125" s="1" t="s">
        <v>13</v>
      </c>
      <c r="E1125" s="2" t="s">
        <v>3477</v>
      </c>
      <c r="F1125" s="2" t="b">
        <f t="shared" si="71"/>
        <v>0</v>
      </c>
      <c r="G1125" s="2">
        <f t="shared" si="69"/>
        <v>43428</v>
      </c>
      <c r="H1125" s="1" t="s">
        <v>41</v>
      </c>
      <c r="I1125" s="1" t="s">
        <v>312</v>
      </c>
      <c r="J1125" s="1">
        <v>30</v>
      </c>
      <c r="K1125" s="1">
        <v>30</v>
      </c>
      <c r="L1125" s="3">
        <v>0</v>
      </c>
      <c r="N1125" t="s">
        <v>3477</v>
      </c>
      <c r="P1125">
        <v>11</v>
      </c>
      <c r="Q1125">
        <v>24</v>
      </c>
      <c r="R1125">
        <v>2018</v>
      </c>
      <c r="S1125" s="4">
        <f t="shared" si="70"/>
        <v>43428</v>
      </c>
      <c r="T1125" s="4">
        <f t="shared" si="68"/>
        <v>43428</v>
      </c>
      <c r="U1125" s="4">
        <v>43428</v>
      </c>
    </row>
    <row r="1126" spans="1:21" x14ac:dyDescent="0.3">
      <c r="A1126" t="s">
        <v>1670</v>
      </c>
      <c r="B1126" s="1" t="s">
        <v>170</v>
      </c>
      <c r="C1126" s="1" t="s">
        <v>171</v>
      </c>
      <c r="D1126" s="1" t="s">
        <v>13</v>
      </c>
      <c r="E1126" s="2">
        <v>42373</v>
      </c>
      <c r="F1126" s="2" t="b">
        <f t="shared" si="71"/>
        <v>1</v>
      </c>
      <c r="G1126" s="2">
        <f t="shared" si="69"/>
        <v>42373</v>
      </c>
      <c r="H1126" s="1" t="s">
        <v>115</v>
      </c>
      <c r="I1126" s="1" t="s">
        <v>440</v>
      </c>
      <c r="J1126" s="1">
        <v>250</v>
      </c>
      <c r="K1126" s="1">
        <v>225</v>
      </c>
      <c r="L1126" s="3">
        <v>0.1</v>
      </c>
      <c r="N1126" t="s">
        <v>3763</v>
      </c>
      <c r="S1126" s="4" t="e">
        <f t="shared" si="70"/>
        <v>#NUM!</v>
      </c>
      <c r="T1126" s="4" t="str">
        <f t="shared" si="68"/>
        <v/>
      </c>
      <c r="U1126" s="4" t="s">
        <v>3763</v>
      </c>
    </row>
    <row r="1127" spans="1:21" x14ac:dyDescent="0.3">
      <c r="A1127" t="s">
        <v>1671</v>
      </c>
      <c r="B1127" s="1" t="s">
        <v>11</v>
      </c>
      <c r="C1127" s="1" t="s">
        <v>12</v>
      </c>
      <c r="D1127" s="1" t="s">
        <v>13</v>
      </c>
      <c r="E1127" s="2">
        <v>43376</v>
      </c>
      <c r="F1127" s="2" t="b">
        <f t="shared" si="71"/>
        <v>1</v>
      </c>
      <c r="G1127" s="2">
        <f t="shared" si="69"/>
        <v>43376</v>
      </c>
      <c r="H1127" s="1" t="s">
        <v>30</v>
      </c>
      <c r="I1127" s="1" t="s">
        <v>348</v>
      </c>
      <c r="J1127" s="1">
        <v>150</v>
      </c>
      <c r="K1127" s="1">
        <v>143</v>
      </c>
      <c r="L1127" s="3">
        <v>4.6699999999999998E-2</v>
      </c>
      <c r="N1127" t="s">
        <v>3763</v>
      </c>
      <c r="S1127" s="4" t="e">
        <f t="shared" si="70"/>
        <v>#NUM!</v>
      </c>
      <c r="T1127" s="4" t="str">
        <f t="shared" si="68"/>
        <v/>
      </c>
      <c r="U1127" s="4" t="s">
        <v>3763</v>
      </c>
    </row>
    <row r="1128" spans="1:21" x14ac:dyDescent="0.3">
      <c r="A1128" t="s">
        <v>1672</v>
      </c>
      <c r="B1128" s="1" t="s">
        <v>187</v>
      </c>
      <c r="C1128" s="1" t="s">
        <v>188</v>
      </c>
      <c r="D1128" s="1" t="s">
        <v>13</v>
      </c>
      <c r="E1128" s="2">
        <v>42008</v>
      </c>
      <c r="F1128" s="2" t="b">
        <f t="shared" si="71"/>
        <v>1</v>
      </c>
      <c r="G1128" s="2">
        <f t="shared" si="69"/>
        <v>42008</v>
      </c>
      <c r="H1128" s="1" t="s">
        <v>25</v>
      </c>
      <c r="I1128" s="1" t="s">
        <v>791</v>
      </c>
      <c r="J1128" s="1">
        <v>700</v>
      </c>
      <c r="K1128" s="1">
        <v>679</v>
      </c>
      <c r="L1128" s="3">
        <v>0.03</v>
      </c>
      <c r="N1128" t="s">
        <v>3763</v>
      </c>
      <c r="S1128" s="4" t="e">
        <f t="shared" si="70"/>
        <v>#NUM!</v>
      </c>
      <c r="T1128" s="4" t="str">
        <f t="shared" si="68"/>
        <v/>
      </c>
      <c r="U1128" s="4" t="s">
        <v>3763</v>
      </c>
    </row>
    <row r="1129" spans="1:21" x14ac:dyDescent="0.3">
      <c r="A1129" t="s">
        <v>1673</v>
      </c>
      <c r="B1129" s="1" t="s">
        <v>400</v>
      </c>
      <c r="C1129" s="1" t="s">
        <v>401</v>
      </c>
      <c r="D1129" s="1" t="s">
        <v>13</v>
      </c>
      <c r="E1129" s="2">
        <v>41951</v>
      </c>
      <c r="F1129" s="2" t="b">
        <f t="shared" si="71"/>
        <v>1</v>
      </c>
      <c r="G1129" s="2">
        <f t="shared" si="69"/>
        <v>41951</v>
      </c>
      <c r="H1129" s="1" t="s">
        <v>72</v>
      </c>
      <c r="I1129" s="1" t="s">
        <v>1167</v>
      </c>
      <c r="J1129" s="1">
        <v>500</v>
      </c>
      <c r="K1129" s="1">
        <v>495</v>
      </c>
      <c r="L1129" s="3">
        <v>0.01</v>
      </c>
      <c r="N1129" t="s">
        <v>3763</v>
      </c>
      <c r="S1129" s="4" t="e">
        <f t="shared" si="70"/>
        <v>#NUM!</v>
      </c>
      <c r="T1129" s="4" t="str">
        <f t="shared" si="68"/>
        <v/>
      </c>
      <c r="U1129" s="4" t="s">
        <v>3763</v>
      </c>
    </row>
    <row r="1130" spans="1:21" x14ac:dyDescent="0.3">
      <c r="A1130" t="s">
        <v>1674</v>
      </c>
      <c r="B1130" s="1" t="s">
        <v>131</v>
      </c>
      <c r="C1130" s="1" t="s">
        <v>108</v>
      </c>
      <c r="D1130" s="1" t="s">
        <v>19</v>
      </c>
      <c r="E1130" s="2" t="s">
        <v>3218</v>
      </c>
      <c r="F1130" s="2" t="b">
        <f t="shared" si="71"/>
        <v>0</v>
      </c>
      <c r="G1130" s="2">
        <f t="shared" si="69"/>
        <v>41899</v>
      </c>
      <c r="H1130" s="1" t="s">
        <v>46</v>
      </c>
      <c r="I1130" s="1" t="s">
        <v>536</v>
      </c>
      <c r="J1130" s="1">
        <v>500</v>
      </c>
      <c r="K1130" s="1">
        <v>400</v>
      </c>
      <c r="L1130" s="3">
        <v>0.2</v>
      </c>
      <c r="N1130" t="s">
        <v>3218</v>
      </c>
      <c r="P1130">
        <v>9</v>
      </c>
      <c r="Q1130">
        <v>17</v>
      </c>
      <c r="R1130">
        <v>2014</v>
      </c>
      <c r="S1130" s="4">
        <f t="shared" si="70"/>
        <v>41899</v>
      </c>
      <c r="T1130" s="4">
        <f t="shared" si="68"/>
        <v>41899</v>
      </c>
      <c r="U1130" s="4">
        <v>41899</v>
      </c>
    </row>
    <row r="1131" spans="1:21" x14ac:dyDescent="0.3">
      <c r="A1131" t="s">
        <v>1675</v>
      </c>
      <c r="B1131" s="1" t="s">
        <v>107</v>
      </c>
      <c r="C1131" s="1" t="s">
        <v>108</v>
      </c>
      <c r="D1131" s="1" t="s">
        <v>19</v>
      </c>
      <c r="E1131" s="2" t="s">
        <v>3416</v>
      </c>
      <c r="F1131" s="2" t="b">
        <f t="shared" si="71"/>
        <v>0</v>
      </c>
      <c r="G1131" s="2">
        <f t="shared" si="69"/>
        <v>43235</v>
      </c>
      <c r="H1131" s="1" t="s">
        <v>36</v>
      </c>
      <c r="I1131" s="1" t="s">
        <v>894</v>
      </c>
      <c r="J1131" s="1">
        <v>50</v>
      </c>
      <c r="K1131" s="1">
        <v>48</v>
      </c>
      <c r="L1131" s="3">
        <v>0.04</v>
      </c>
      <c r="N1131" t="s">
        <v>3416</v>
      </c>
      <c r="P1131">
        <v>5</v>
      </c>
      <c r="Q1131">
        <v>15</v>
      </c>
      <c r="R1131">
        <v>2018</v>
      </c>
      <c r="S1131" s="4">
        <f t="shared" si="70"/>
        <v>43235</v>
      </c>
      <c r="T1131" s="4">
        <f t="shared" si="68"/>
        <v>43235</v>
      </c>
      <c r="U1131" s="4">
        <v>43235</v>
      </c>
    </row>
    <row r="1132" spans="1:21" x14ac:dyDescent="0.3">
      <c r="A1132" t="s">
        <v>1676</v>
      </c>
      <c r="B1132" s="1" t="s">
        <v>81</v>
      </c>
      <c r="C1132" s="1" t="s">
        <v>82</v>
      </c>
      <c r="D1132" s="1" t="s">
        <v>13</v>
      </c>
      <c r="E1132" s="2" t="s">
        <v>3349</v>
      </c>
      <c r="F1132" s="2" t="b">
        <f t="shared" si="71"/>
        <v>0</v>
      </c>
      <c r="G1132" s="2">
        <f t="shared" si="69"/>
        <v>42172</v>
      </c>
      <c r="H1132" s="1" t="s">
        <v>41</v>
      </c>
      <c r="I1132" s="1" t="s">
        <v>953</v>
      </c>
      <c r="J1132" s="1">
        <v>30</v>
      </c>
      <c r="K1132" s="1">
        <v>19</v>
      </c>
      <c r="L1132" s="3">
        <v>0.36670000000000003</v>
      </c>
      <c r="N1132" t="s">
        <v>3349</v>
      </c>
      <c r="P1132">
        <v>6</v>
      </c>
      <c r="Q1132">
        <v>17</v>
      </c>
      <c r="R1132">
        <v>2015</v>
      </c>
      <c r="S1132" s="4">
        <f t="shared" si="70"/>
        <v>42172</v>
      </c>
      <c r="T1132" s="4">
        <f t="shared" si="68"/>
        <v>42172</v>
      </c>
      <c r="U1132" s="4">
        <v>42172</v>
      </c>
    </row>
    <row r="1133" spans="1:21" x14ac:dyDescent="0.3">
      <c r="A1133" t="s">
        <v>1677</v>
      </c>
      <c r="B1133" s="1" t="s">
        <v>127</v>
      </c>
      <c r="C1133" s="1" t="s">
        <v>128</v>
      </c>
      <c r="D1133" s="1" t="s">
        <v>13</v>
      </c>
      <c r="E1133" s="2" t="s">
        <v>3038</v>
      </c>
      <c r="F1133" s="2" t="b">
        <f t="shared" si="71"/>
        <v>0</v>
      </c>
      <c r="G1133" s="2">
        <f t="shared" si="69"/>
        <v>41746</v>
      </c>
      <c r="H1133" s="1" t="s">
        <v>41</v>
      </c>
      <c r="I1133" s="1" t="s">
        <v>233</v>
      </c>
      <c r="J1133" s="1">
        <v>30</v>
      </c>
      <c r="K1133" s="1">
        <v>22</v>
      </c>
      <c r="L1133" s="3">
        <v>0.26669999999999999</v>
      </c>
      <c r="N1133" t="s">
        <v>3038</v>
      </c>
      <c r="P1133">
        <v>4</v>
      </c>
      <c r="Q1133">
        <v>17</v>
      </c>
      <c r="R1133">
        <v>2014</v>
      </c>
      <c r="S1133" s="4">
        <f t="shared" si="70"/>
        <v>41746</v>
      </c>
      <c r="T1133" s="4">
        <f t="shared" si="68"/>
        <v>41746</v>
      </c>
      <c r="U1133" s="4">
        <v>41746</v>
      </c>
    </row>
    <row r="1134" spans="1:21" x14ac:dyDescent="0.3">
      <c r="A1134" t="s">
        <v>1678</v>
      </c>
      <c r="B1134" s="1" t="s">
        <v>28</v>
      </c>
      <c r="C1134" s="1" t="s">
        <v>29</v>
      </c>
      <c r="D1134" s="1" t="s">
        <v>13</v>
      </c>
      <c r="E1134" s="2">
        <v>42919</v>
      </c>
      <c r="F1134" s="2" t="b">
        <f t="shared" si="71"/>
        <v>1</v>
      </c>
      <c r="G1134" s="2">
        <f t="shared" si="69"/>
        <v>42919</v>
      </c>
      <c r="H1134" s="1" t="s">
        <v>72</v>
      </c>
      <c r="I1134" s="1" t="s">
        <v>424</v>
      </c>
      <c r="J1134" s="1">
        <v>500</v>
      </c>
      <c r="K1134" s="1">
        <v>500</v>
      </c>
      <c r="L1134" s="3">
        <v>0</v>
      </c>
      <c r="N1134" t="s">
        <v>3763</v>
      </c>
      <c r="S1134" s="4" t="e">
        <f t="shared" si="70"/>
        <v>#NUM!</v>
      </c>
      <c r="T1134" s="4" t="str">
        <f t="shared" si="68"/>
        <v/>
      </c>
      <c r="U1134" s="4" t="s">
        <v>3763</v>
      </c>
    </row>
    <row r="1135" spans="1:21" x14ac:dyDescent="0.3">
      <c r="A1135" t="s">
        <v>1679</v>
      </c>
      <c r="B1135" s="1" t="s">
        <v>131</v>
      </c>
      <c r="C1135" s="1" t="s">
        <v>108</v>
      </c>
      <c r="D1135" s="1" t="s">
        <v>19</v>
      </c>
      <c r="E1135" s="2" t="s">
        <v>2987</v>
      </c>
      <c r="F1135" s="2" t="b">
        <f t="shared" si="71"/>
        <v>0</v>
      </c>
      <c r="G1135" s="2">
        <f t="shared" si="69"/>
        <v>42943</v>
      </c>
      <c r="H1135" s="1" t="s">
        <v>36</v>
      </c>
      <c r="I1135" s="1" t="s">
        <v>1550</v>
      </c>
      <c r="J1135" s="1">
        <v>50</v>
      </c>
      <c r="K1135" s="1">
        <v>50</v>
      </c>
      <c r="L1135" s="3">
        <v>0</v>
      </c>
      <c r="N1135" t="s">
        <v>2987</v>
      </c>
      <c r="P1135">
        <v>7</v>
      </c>
      <c r="Q1135">
        <v>27</v>
      </c>
      <c r="R1135">
        <v>2017</v>
      </c>
      <c r="S1135" s="4">
        <f t="shared" si="70"/>
        <v>42943</v>
      </c>
      <c r="T1135" s="4">
        <f t="shared" si="68"/>
        <v>42943</v>
      </c>
      <c r="U1135" s="4">
        <v>42943</v>
      </c>
    </row>
    <row r="1136" spans="1:21" x14ac:dyDescent="0.3">
      <c r="A1136" t="s">
        <v>1680</v>
      </c>
      <c r="B1136" s="1" t="s">
        <v>118</v>
      </c>
      <c r="C1136" s="1" t="s">
        <v>119</v>
      </c>
      <c r="D1136" s="1" t="s">
        <v>35</v>
      </c>
      <c r="E1136" s="2">
        <v>41737</v>
      </c>
      <c r="F1136" s="2" t="b">
        <f t="shared" si="71"/>
        <v>1</v>
      </c>
      <c r="G1136" s="2">
        <f t="shared" si="69"/>
        <v>41737</v>
      </c>
      <c r="H1136" s="1" t="s">
        <v>122</v>
      </c>
      <c r="I1136" s="1" t="s">
        <v>1681</v>
      </c>
      <c r="J1136" s="1">
        <v>50</v>
      </c>
      <c r="K1136" s="1">
        <v>50</v>
      </c>
      <c r="L1136" s="3">
        <v>0</v>
      </c>
      <c r="N1136" t="s">
        <v>3763</v>
      </c>
      <c r="S1136" s="4" t="e">
        <f t="shared" si="70"/>
        <v>#NUM!</v>
      </c>
      <c r="T1136" s="4" t="str">
        <f t="shared" si="68"/>
        <v/>
      </c>
      <c r="U1136" s="4" t="s">
        <v>3763</v>
      </c>
    </row>
    <row r="1137" spans="1:21" x14ac:dyDescent="0.3">
      <c r="A1137" t="s">
        <v>1682</v>
      </c>
      <c r="B1137" s="1" t="s">
        <v>154</v>
      </c>
      <c r="C1137" s="1" t="s">
        <v>108</v>
      </c>
      <c r="D1137" s="1" t="s">
        <v>19</v>
      </c>
      <c r="E1137" s="2">
        <v>42381</v>
      </c>
      <c r="F1137" s="2" t="b">
        <f t="shared" si="71"/>
        <v>1</v>
      </c>
      <c r="G1137" s="2">
        <f t="shared" si="69"/>
        <v>42381</v>
      </c>
      <c r="H1137" s="1" t="s">
        <v>61</v>
      </c>
      <c r="I1137" s="1" t="s">
        <v>1411</v>
      </c>
      <c r="J1137" s="1">
        <v>1000</v>
      </c>
      <c r="K1137" s="1">
        <v>710</v>
      </c>
      <c r="L1137" s="3">
        <v>0.28999999999999998</v>
      </c>
      <c r="N1137" t="s">
        <v>3763</v>
      </c>
      <c r="S1137" s="4" t="e">
        <f t="shared" si="70"/>
        <v>#NUM!</v>
      </c>
      <c r="T1137" s="4" t="str">
        <f t="shared" si="68"/>
        <v/>
      </c>
      <c r="U1137" s="4" t="s">
        <v>3763</v>
      </c>
    </row>
    <row r="1138" spans="1:21" x14ac:dyDescent="0.3">
      <c r="A1138" t="s">
        <v>1683</v>
      </c>
      <c r="B1138" s="1" t="s">
        <v>127</v>
      </c>
      <c r="C1138" s="1" t="s">
        <v>128</v>
      </c>
      <c r="D1138" s="1" t="s">
        <v>13</v>
      </c>
      <c r="E1138" s="2" t="s">
        <v>3478</v>
      </c>
      <c r="F1138" s="2" t="b">
        <f t="shared" si="71"/>
        <v>0</v>
      </c>
      <c r="G1138" s="2">
        <f t="shared" si="69"/>
        <v>43433</v>
      </c>
      <c r="H1138" s="1" t="s">
        <v>14</v>
      </c>
      <c r="I1138" s="1" t="s">
        <v>385</v>
      </c>
      <c r="J1138" s="1">
        <v>80</v>
      </c>
      <c r="K1138" s="1">
        <v>74</v>
      </c>
      <c r="L1138" s="3">
        <v>7.4999999999999997E-2</v>
      </c>
      <c r="N1138" t="s">
        <v>3478</v>
      </c>
      <c r="P1138">
        <v>11</v>
      </c>
      <c r="Q1138">
        <v>29</v>
      </c>
      <c r="R1138">
        <v>2018</v>
      </c>
      <c r="S1138" s="4">
        <f t="shared" si="70"/>
        <v>43433</v>
      </c>
      <c r="T1138" s="4">
        <f t="shared" si="68"/>
        <v>43433</v>
      </c>
      <c r="U1138" s="4">
        <v>43433</v>
      </c>
    </row>
    <row r="1139" spans="1:21" x14ac:dyDescent="0.3">
      <c r="A1139" t="s">
        <v>1684</v>
      </c>
      <c r="B1139" s="1" t="s">
        <v>81</v>
      </c>
      <c r="C1139" s="1" t="s">
        <v>82</v>
      </c>
      <c r="D1139" s="1" t="s">
        <v>13</v>
      </c>
      <c r="E1139" s="2" t="s">
        <v>3479</v>
      </c>
      <c r="F1139" s="2" t="b">
        <f t="shared" si="71"/>
        <v>0</v>
      </c>
      <c r="G1139" s="2">
        <f t="shared" si="69"/>
        <v>42457</v>
      </c>
      <c r="H1139" s="1" t="s">
        <v>122</v>
      </c>
      <c r="I1139" s="1" t="s">
        <v>1493</v>
      </c>
      <c r="J1139" s="1">
        <v>50</v>
      </c>
      <c r="K1139" s="1">
        <v>50</v>
      </c>
      <c r="L1139" s="3">
        <v>0</v>
      </c>
      <c r="N1139" t="s">
        <v>3479</v>
      </c>
      <c r="P1139">
        <v>3</v>
      </c>
      <c r="Q1139">
        <v>28</v>
      </c>
      <c r="R1139">
        <v>2016</v>
      </c>
      <c r="S1139" s="4">
        <f t="shared" si="70"/>
        <v>42457</v>
      </c>
      <c r="T1139" s="4">
        <f t="shared" si="68"/>
        <v>42457</v>
      </c>
      <c r="U1139" s="4">
        <v>42457</v>
      </c>
    </row>
    <row r="1140" spans="1:21" x14ac:dyDescent="0.3">
      <c r="A1140" t="s">
        <v>1685</v>
      </c>
      <c r="B1140" s="1" t="s">
        <v>154</v>
      </c>
      <c r="C1140" s="1" t="s">
        <v>108</v>
      </c>
      <c r="D1140" s="1" t="s">
        <v>19</v>
      </c>
      <c r="E1140" s="2" t="s">
        <v>3333</v>
      </c>
      <c r="F1140" s="2" t="b">
        <f t="shared" si="71"/>
        <v>0</v>
      </c>
      <c r="G1140" s="2">
        <f t="shared" si="69"/>
        <v>41745</v>
      </c>
      <c r="H1140" s="1" t="s">
        <v>115</v>
      </c>
      <c r="I1140" s="1" t="s">
        <v>1185</v>
      </c>
      <c r="J1140" s="1">
        <v>250</v>
      </c>
      <c r="K1140" s="1">
        <v>208</v>
      </c>
      <c r="L1140" s="3">
        <v>0.16800000000000001</v>
      </c>
      <c r="N1140" t="s">
        <v>3333</v>
      </c>
      <c r="P1140">
        <v>4</v>
      </c>
      <c r="Q1140">
        <v>16</v>
      </c>
      <c r="R1140">
        <v>2014</v>
      </c>
      <c r="S1140" s="4">
        <f t="shared" si="70"/>
        <v>41745</v>
      </c>
      <c r="T1140" s="4">
        <f t="shared" si="68"/>
        <v>41745</v>
      </c>
      <c r="U1140" s="4">
        <v>41745</v>
      </c>
    </row>
    <row r="1141" spans="1:21" x14ac:dyDescent="0.3">
      <c r="A1141" t="s">
        <v>1686</v>
      </c>
      <c r="B1141" s="1" t="s">
        <v>91</v>
      </c>
      <c r="C1141" s="1" t="s">
        <v>92</v>
      </c>
      <c r="D1141" s="1" t="s">
        <v>35</v>
      </c>
      <c r="E1141" s="2">
        <v>42769</v>
      </c>
      <c r="F1141" s="2" t="b">
        <f t="shared" si="71"/>
        <v>1</v>
      </c>
      <c r="G1141" s="2">
        <f t="shared" si="69"/>
        <v>42769</v>
      </c>
      <c r="H1141" s="1" t="s">
        <v>122</v>
      </c>
      <c r="I1141" s="1" t="s">
        <v>199</v>
      </c>
      <c r="J1141" s="1">
        <v>50</v>
      </c>
      <c r="K1141" s="1">
        <v>46</v>
      </c>
      <c r="L1141" s="3">
        <v>0.08</v>
      </c>
      <c r="N1141" t="s">
        <v>3763</v>
      </c>
      <c r="S1141" s="4" t="e">
        <f t="shared" si="70"/>
        <v>#NUM!</v>
      </c>
      <c r="T1141" s="4" t="str">
        <f t="shared" si="68"/>
        <v/>
      </c>
      <c r="U1141" s="4" t="s">
        <v>3763</v>
      </c>
    </row>
    <row r="1142" spans="1:21" x14ac:dyDescent="0.3">
      <c r="A1142" t="s">
        <v>1687</v>
      </c>
      <c r="B1142" s="1" t="s">
        <v>111</v>
      </c>
      <c r="C1142" s="1" t="s">
        <v>82</v>
      </c>
      <c r="D1142" s="1" t="s">
        <v>13</v>
      </c>
      <c r="E1142" s="2">
        <v>42310</v>
      </c>
      <c r="F1142" s="2" t="b">
        <f t="shared" si="71"/>
        <v>1</v>
      </c>
      <c r="G1142" s="2">
        <f t="shared" si="69"/>
        <v>42310</v>
      </c>
      <c r="H1142" s="1" t="s">
        <v>55</v>
      </c>
      <c r="I1142" s="1" t="s">
        <v>1688</v>
      </c>
      <c r="J1142" s="1">
        <v>800</v>
      </c>
      <c r="K1142" s="1">
        <v>744</v>
      </c>
      <c r="L1142" s="3">
        <v>7.0000000000000007E-2</v>
      </c>
      <c r="N1142" t="s">
        <v>3763</v>
      </c>
      <c r="S1142" s="4" t="e">
        <f t="shared" si="70"/>
        <v>#NUM!</v>
      </c>
      <c r="T1142" s="4" t="str">
        <f t="shared" si="68"/>
        <v/>
      </c>
      <c r="U1142" s="4" t="s">
        <v>3763</v>
      </c>
    </row>
    <row r="1143" spans="1:21" x14ac:dyDescent="0.3">
      <c r="A1143" t="s">
        <v>1689</v>
      </c>
      <c r="B1143" s="1" t="s">
        <v>64</v>
      </c>
      <c r="C1143" s="1" t="s">
        <v>65</v>
      </c>
      <c r="D1143" s="1" t="s">
        <v>35</v>
      </c>
      <c r="E1143" s="2" t="s">
        <v>3480</v>
      </c>
      <c r="F1143" s="2" t="b">
        <f t="shared" si="71"/>
        <v>0</v>
      </c>
      <c r="G1143" s="2">
        <f t="shared" si="69"/>
        <v>42839</v>
      </c>
      <c r="H1143" s="1" t="s">
        <v>14</v>
      </c>
      <c r="I1143" s="1" t="s">
        <v>1536</v>
      </c>
      <c r="J1143" s="1">
        <v>80</v>
      </c>
      <c r="K1143" s="1">
        <v>76</v>
      </c>
      <c r="L1143" s="3">
        <v>0.05</v>
      </c>
      <c r="N1143" t="s">
        <v>3480</v>
      </c>
      <c r="P1143">
        <v>4</v>
      </c>
      <c r="Q1143">
        <v>14</v>
      </c>
      <c r="R1143">
        <v>2017</v>
      </c>
      <c r="S1143" s="4">
        <f t="shared" si="70"/>
        <v>42839</v>
      </c>
      <c r="T1143" s="4">
        <f t="shared" si="68"/>
        <v>42839</v>
      </c>
      <c r="U1143" s="4">
        <v>42839</v>
      </c>
    </row>
    <row r="1144" spans="1:21" x14ac:dyDescent="0.3">
      <c r="A1144" t="s">
        <v>1690</v>
      </c>
      <c r="B1144" s="1" t="s">
        <v>118</v>
      </c>
      <c r="C1144" s="1" t="s">
        <v>119</v>
      </c>
      <c r="D1144" s="1" t="s">
        <v>35</v>
      </c>
      <c r="E1144" s="2">
        <v>42800</v>
      </c>
      <c r="F1144" s="2" t="b">
        <f t="shared" si="71"/>
        <v>1</v>
      </c>
      <c r="G1144" s="2">
        <f t="shared" si="69"/>
        <v>42800</v>
      </c>
      <c r="H1144" s="1" t="s">
        <v>30</v>
      </c>
      <c r="I1144" s="1" t="s">
        <v>540</v>
      </c>
      <c r="J1144" s="1">
        <v>150</v>
      </c>
      <c r="K1144" s="1">
        <v>146</v>
      </c>
      <c r="L1144" s="3">
        <v>2.6700000000000002E-2</v>
      </c>
      <c r="N1144" t="s">
        <v>3763</v>
      </c>
      <c r="S1144" s="4" t="e">
        <f t="shared" si="70"/>
        <v>#NUM!</v>
      </c>
      <c r="T1144" s="4" t="str">
        <f t="shared" si="68"/>
        <v/>
      </c>
      <c r="U1144" s="4" t="s">
        <v>3763</v>
      </c>
    </row>
    <row r="1145" spans="1:21" x14ac:dyDescent="0.3">
      <c r="A1145" t="s">
        <v>1691</v>
      </c>
      <c r="B1145" s="1" t="s">
        <v>221</v>
      </c>
      <c r="C1145" s="1" t="s">
        <v>40</v>
      </c>
      <c r="D1145" s="1" t="s">
        <v>35</v>
      </c>
      <c r="E1145" s="2">
        <v>43445</v>
      </c>
      <c r="F1145" s="2" t="b">
        <f t="shared" si="71"/>
        <v>1</v>
      </c>
      <c r="G1145" s="2">
        <f t="shared" si="69"/>
        <v>43445</v>
      </c>
      <c r="H1145" s="1" t="s">
        <v>46</v>
      </c>
      <c r="I1145" s="1" t="s">
        <v>1179</v>
      </c>
      <c r="J1145" s="1">
        <v>500</v>
      </c>
      <c r="K1145" s="1">
        <v>475</v>
      </c>
      <c r="L1145" s="3">
        <v>0.05</v>
      </c>
      <c r="N1145" t="s">
        <v>3763</v>
      </c>
      <c r="S1145" s="4" t="e">
        <f t="shared" si="70"/>
        <v>#NUM!</v>
      </c>
      <c r="T1145" s="4" t="str">
        <f t="shared" si="68"/>
        <v/>
      </c>
      <c r="U1145" s="4" t="s">
        <v>3763</v>
      </c>
    </row>
    <row r="1146" spans="1:21" x14ac:dyDescent="0.3">
      <c r="A1146" t="s">
        <v>1692</v>
      </c>
      <c r="B1146" s="1" t="s">
        <v>241</v>
      </c>
      <c r="C1146" s="1" t="s">
        <v>242</v>
      </c>
      <c r="D1146" s="1" t="s">
        <v>13</v>
      </c>
      <c r="E1146" s="2" t="s">
        <v>2988</v>
      </c>
      <c r="F1146" s="2" t="b">
        <f t="shared" si="71"/>
        <v>0</v>
      </c>
      <c r="G1146" s="2">
        <f t="shared" si="69"/>
        <v>42690</v>
      </c>
      <c r="H1146" s="1" t="s">
        <v>14</v>
      </c>
      <c r="I1146" s="1" t="s">
        <v>380</v>
      </c>
      <c r="J1146" s="1">
        <v>80</v>
      </c>
      <c r="K1146" s="1">
        <v>68</v>
      </c>
      <c r="L1146" s="3">
        <v>0.15</v>
      </c>
      <c r="N1146" t="s">
        <v>2988</v>
      </c>
      <c r="P1146">
        <v>11</v>
      </c>
      <c r="Q1146">
        <v>16</v>
      </c>
      <c r="R1146">
        <v>2016</v>
      </c>
      <c r="S1146" s="4">
        <f t="shared" si="70"/>
        <v>42690</v>
      </c>
      <c r="T1146" s="4">
        <f t="shared" si="68"/>
        <v>42690</v>
      </c>
      <c r="U1146" s="4">
        <v>42690</v>
      </c>
    </row>
    <row r="1147" spans="1:21" x14ac:dyDescent="0.3">
      <c r="A1147" t="s">
        <v>1693</v>
      </c>
      <c r="B1147" s="1" t="s">
        <v>324</v>
      </c>
      <c r="C1147" s="1" t="s">
        <v>325</v>
      </c>
      <c r="D1147" s="1" t="s">
        <v>13</v>
      </c>
      <c r="E1147" s="2" t="s">
        <v>3481</v>
      </c>
      <c r="F1147" s="2" t="b">
        <f t="shared" si="71"/>
        <v>0</v>
      </c>
      <c r="G1147" s="2">
        <f t="shared" si="69"/>
        <v>42235</v>
      </c>
      <c r="H1147" s="1" t="s">
        <v>72</v>
      </c>
      <c r="I1147" s="1" t="s">
        <v>1468</v>
      </c>
      <c r="J1147" s="1">
        <v>500</v>
      </c>
      <c r="K1147" s="1">
        <v>500</v>
      </c>
      <c r="L1147" s="3">
        <v>0</v>
      </c>
      <c r="N1147" t="s">
        <v>3481</v>
      </c>
      <c r="P1147">
        <v>8</v>
      </c>
      <c r="Q1147">
        <v>19</v>
      </c>
      <c r="R1147">
        <v>2015</v>
      </c>
      <c r="S1147" s="4">
        <f t="shared" si="70"/>
        <v>42235</v>
      </c>
      <c r="T1147" s="4">
        <f t="shared" si="68"/>
        <v>42235</v>
      </c>
      <c r="U1147" s="4">
        <v>42235</v>
      </c>
    </row>
    <row r="1148" spans="1:21" x14ac:dyDescent="0.3">
      <c r="A1148" t="s">
        <v>1694</v>
      </c>
      <c r="B1148" s="1" t="s">
        <v>255</v>
      </c>
      <c r="C1148" s="1" t="s">
        <v>256</v>
      </c>
      <c r="D1148" s="1" t="s">
        <v>13</v>
      </c>
      <c r="E1148" s="2">
        <v>41673</v>
      </c>
      <c r="F1148" s="2" t="b">
        <f t="shared" si="71"/>
        <v>1</v>
      </c>
      <c r="G1148" s="2">
        <f t="shared" si="69"/>
        <v>41673</v>
      </c>
      <c r="H1148" s="1" t="s">
        <v>115</v>
      </c>
      <c r="I1148" s="1" t="s">
        <v>1373</v>
      </c>
      <c r="J1148" s="1">
        <v>250</v>
      </c>
      <c r="K1148" s="1">
        <v>243</v>
      </c>
      <c r="L1148" s="3">
        <v>2.8000000000000001E-2</v>
      </c>
      <c r="N1148" t="s">
        <v>3763</v>
      </c>
      <c r="S1148" s="4" t="e">
        <f t="shared" si="70"/>
        <v>#NUM!</v>
      </c>
      <c r="T1148" s="4" t="str">
        <f t="shared" si="68"/>
        <v/>
      </c>
      <c r="U1148" s="4" t="s">
        <v>3763</v>
      </c>
    </row>
    <row r="1149" spans="1:21" x14ac:dyDescent="0.3">
      <c r="A1149" t="s">
        <v>1695</v>
      </c>
      <c r="B1149" s="1" t="s">
        <v>22</v>
      </c>
      <c r="C1149" s="1" t="s">
        <v>23</v>
      </c>
      <c r="D1149" s="1" t="s">
        <v>24</v>
      </c>
      <c r="E1149" s="2" t="s">
        <v>3175</v>
      </c>
      <c r="F1149" s="2" t="b">
        <f t="shared" si="71"/>
        <v>0</v>
      </c>
      <c r="G1149" s="2">
        <f t="shared" si="69"/>
        <v>42483</v>
      </c>
      <c r="H1149" s="1" t="s">
        <v>61</v>
      </c>
      <c r="I1149" s="1" t="s">
        <v>144</v>
      </c>
      <c r="J1149" s="1">
        <v>1000</v>
      </c>
      <c r="K1149" s="1">
        <v>500</v>
      </c>
      <c r="L1149" s="3">
        <v>0.5</v>
      </c>
      <c r="N1149" t="s">
        <v>3175</v>
      </c>
      <c r="P1149">
        <v>4</v>
      </c>
      <c r="Q1149">
        <v>23</v>
      </c>
      <c r="R1149">
        <v>2016</v>
      </c>
      <c r="S1149" s="4">
        <f t="shared" si="70"/>
        <v>42483</v>
      </c>
      <c r="T1149" s="4">
        <f t="shared" si="68"/>
        <v>42483</v>
      </c>
      <c r="U1149" s="4">
        <v>42483</v>
      </c>
    </row>
    <row r="1150" spans="1:21" x14ac:dyDescent="0.3">
      <c r="A1150" t="s">
        <v>1696</v>
      </c>
      <c r="B1150" s="1" t="s">
        <v>224</v>
      </c>
      <c r="C1150" s="1" t="s">
        <v>50</v>
      </c>
      <c r="D1150" s="1" t="s">
        <v>24</v>
      </c>
      <c r="E1150" s="2">
        <v>43443</v>
      </c>
      <c r="F1150" s="2" t="b">
        <f t="shared" si="71"/>
        <v>1</v>
      </c>
      <c r="G1150" s="2">
        <f t="shared" si="69"/>
        <v>43443</v>
      </c>
      <c r="H1150" s="1" t="s">
        <v>61</v>
      </c>
      <c r="I1150" s="1" t="s">
        <v>734</v>
      </c>
      <c r="J1150" s="1">
        <v>1000</v>
      </c>
      <c r="K1150" s="1">
        <v>700</v>
      </c>
      <c r="L1150" s="3">
        <v>0.3</v>
      </c>
      <c r="N1150" t="s">
        <v>3763</v>
      </c>
      <c r="S1150" s="4" t="e">
        <f t="shared" si="70"/>
        <v>#NUM!</v>
      </c>
      <c r="T1150" s="4" t="str">
        <f t="shared" si="68"/>
        <v/>
      </c>
      <c r="U1150" s="4" t="s">
        <v>3763</v>
      </c>
    </row>
    <row r="1151" spans="1:21" x14ac:dyDescent="0.3">
      <c r="A1151" t="s">
        <v>1697</v>
      </c>
      <c r="B1151" s="1" t="s">
        <v>400</v>
      </c>
      <c r="C1151" s="1" t="s">
        <v>401</v>
      </c>
      <c r="D1151" s="1" t="s">
        <v>13</v>
      </c>
      <c r="E1151" s="2" t="s">
        <v>3041</v>
      </c>
      <c r="F1151" s="2" t="b">
        <f t="shared" si="71"/>
        <v>0</v>
      </c>
      <c r="G1151" s="2">
        <f t="shared" si="69"/>
        <v>43218</v>
      </c>
      <c r="H1151" s="1" t="s">
        <v>14</v>
      </c>
      <c r="I1151" s="1" t="s">
        <v>402</v>
      </c>
      <c r="J1151" s="1">
        <v>80</v>
      </c>
      <c r="K1151" s="1">
        <v>58</v>
      </c>
      <c r="L1151" s="3">
        <v>0.27500000000000002</v>
      </c>
      <c r="N1151" t="s">
        <v>3041</v>
      </c>
      <c r="P1151">
        <v>4</v>
      </c>
      <c r="Q1151">
        <v>28</v>
      </c>
      <c r="R1151">
        <v>2018</v>
      </c>
      <c r="S1151" s="4">
        <f t="shared" si="70"/>
        <v>43218</v>
      </c>
      <c r="T1151" s="4">
        <f t="shared" si="68"/>
        <v>43218</v>
      </c>
      <c r="U1151" s="4">
        <v>43218</v>
      </c>
    </row>
    <row r="1152" spans="1:21" x14ac:dyDescent="0.3">
      <c r="A1152" t="s">
        <v>1698</v>
      </c>
      <c r="B1152" s="1" t="s">
        <v>174</v>
      </c>
      <c r="C1152" s="1" t="s">
        <v>175</v>
      </c>
      <c r="D1152" s="1" t="s">
        <v>13</v>
      </c>
      <c r="E1152" s="2" t="s">
        <v>3208</v>
      </c>
      <c r="F1152" s="2" t="b">
        <f t="shared" si="71"/>
        <v>0</v>
      </c>
      <c r="G1152" s="2">
        <f t="shared" si="69"/>
        <v>42077</v>
      </c>
      <c r="H1152" s="1" t="s">
        <v>55</v>
      </c>
      <c r="I1152" s="1" t="s">
        <v>607</v>
      </c>
      <c r="J1152" s="1">
        <v>800</v>
      </c>
      <c r="K1152" s="1">
        <v>664</v>
      </c>
      <c r="L1152" s="3">
        <v>0.17</v>
      </c>
      <c r="N1152" t="s">
        <v>3208</v>
      </c>
      <c r="P1152">
        <v>3</v>
      </c>
      <c r="Q1152">
        <v>14</v>
      </c>
      <c r="R1152">
        <v>2015</v>
      </c>
      <c r="S1152" s="4">
        <f t="shared" si="70"/>
        <v>42077</v>
      </c>
      <c r="T1152" s="4">
        <f t="shared" si="68"/>
        <v>42077</v>
      </c>
      <c r="U1152" s="4">
        <v>42077</v>
      </c>
    </row>
    <row r="1153" spans="1:21" x14ac:dyDescent="0.3">
      <c r="A1153" t="s">
        <v>1699</v>
      </c>
      <c r="B1153" s="1" t="s">
        <v>53</v>
      </c>
      <c r="C1153" s="1" t="s">
        <v>54</v>
      </c>
      <c r="D1153" s="1" t="s">
        <v>13</v>
      </c>
      <c r="E1153" s="2">
        <v>41945</v>
      </c>
      <c r="F1153" s="2" t="b">
        <f t="shared" si="71"/>
        <v>1</v>
      </c>
      <c r="G1153" s="2">
        <f t="shared" si="69"/>
        <v>41945</v>
      </c>
      <c r="H1153" s="1" t="s">
        <v>104</v>
      </c>
      <c r="I1153" s="1" t="s">
        <v>795</v>
      </c>
      <c r="J1153" s="1">
        <v>70</v>
      </c>
      <c r="K1153" s="1">
        <v>69</v>
      </c>
      <c r="L1153" s="3">
        <v>1.43E-2</v>
      </c>
      <c r="N1153" t="s">
        <v>3763</v>
      </c>
      <c r="S1153" s="4" t="e">
        <f t="shared" si="70"/>
        <v>#NUM!</v>
      </c>
      <c r="T1153" s="4" t="str">
        <f t="shared" si="68"/>
        <v/>
      </c>
      <c r="U1153" s="4" t="s">
        <v>3763</v>
      </c>
    </row>
    <row r="1154" spans="1:21" x14ac:dyDescent="0.3">
      <c r="A1154" t="s">
        <v>1700</v>
      </c>
      <c r="B1154" s="1" t="s">
        <v>49</v>
      </c>
      <c r="C1154" s="1" t="s">
        <v>50</v>
      </c>
      <c r="D1154" s="1" t="s">
        <v>24</v>
      </c>
      <c r="E1154" s="2">
        <v>41954</v>
      </c>
      <c r="F1154" s="2" t="b">
        <f t="shared" si="71"/>
        <v>1</v>
      </c>
      <c r="G1154" s="2">
        <f t="shared" si="69"/>
        <v>41954</v>
      </c>
      <c r="H1154" s="1" t="s">
        <v>122</v>
      </c>
      <c r="I1154" s="1" t="s">
        <v>378</v>
      </c>
      <c r="J1154" s="1">
        <v>50</v>
      </c>
      <c r="K1154" s="1">
        <v>50</v>
      </c>
      <c r="L1154" s="3">
        <v>0</v>
      </c>
      <c r="N1154" t="s">
        <v>3763</v>
      </c>
      <c r="S1154" s="4" t="e">
        <f t="shared" si="70"/>
        <v>#NUM!</v>
      </c>
      <c r="T1154" s="4" t="str">
        <f t="shared" si="68"/>
        <v/>
      </c>
      <c r="U1154" s="4" t="s">
        <v>3763</v>
      </c>
    </row>
    <row r="1155" spans="1:21" x14ac:dyDescent="0.3">
      <c r="A1155" t="s">
        <v>1701</v>
      </c>
      <c r="B1155" s="1" t="s">
        <v>270</v>
      </c>
      <c r="C1155" s="1" t="s">
        <v>271</v>
      </c>
      <c r="D1155" s="1" t="s">
        <v>35</v>
      </c>
      <c r="E1155" s="2" t="s">
        <v>3005</v>
      </c>
      <c r="F1155" s="2" t="b">
        <f t="shared" si="71"/>
        <v>0</v>
      </c>
      <c r="G1155" s="2">
        <f t="shared" si="69"/>
        <v>41689</v>
      </c>
      <c r="H1155" s="1" t="s">
        <v>14</v>
      </c>
      <c r="I1155" s="1" t="s">
        <v>337</v>
      </c>
      <c r="J1155" s="1">
        <v>80</v>
      </c>
      <c r="K1155" s="1">
        <v>75</v>
      </c>
      <c r="L1155" s="3">
        <v>6.25E-2</v>
      </c>
      <c r="N1155" t="s">
        <v>3005</v>
      </c>
      <c r="P1155">
        <v>2</v>
      </c>
      <c r="Q1155">
        <v>19</v>
      </c>
      <c r="R1155">
        <v>2014</v>
      </c>
      <c r="S1155" s="4">
        <f t="shared" si="70"/>
        <v>41689</v>
      </c>
      <c r="T1155" s="4">
        <f t="shared" ref="T1155:T1218" si="72">IF(AND(P1155&lt;&gt;"",Q1155&lt;&gt;"",R1155&lt;&gt;""),IFERROR(DATE(R1155,P1155,Q1155),""),"")</f>
        <v>41689</v>
      </c>
      <c r="U1155" s="4">
        <v>41689</v>
      </c>
    </row>
    <row r="1156" spans="1:21" x14ac:dyDescent="0.3">
      <c r="A1156" t="s">
        <v>1702</v>
      </c>
      <c r="B1156" s="1" t="s">
        <v>11</v>
      </c>
      <c r="C1156" s="1" t="s">
        <v>12</v>
      </c>
      <c r="D1156" s="1" t="s">
        <v>13</v>
      </c>
      <c r="E1156" s="2" t="s">
        <v>3113</v>
      </c>
      <c r="F1156" s="2" t="b">
        <f t="shared" si="71"/>
        <v>0</v>
      </c>
      <c r="G1156" s="2">
        <f t="shared" ref="G1156:G1219" si="73">IF(F1156=TRUE,E1156,U1156)</f>
        <v>42875</v>
      </c>
      <c r="H1156" s="1" t="s">
        <v>14</v>
      </c>
      <c r="I1156" s="1" t="s">
        <v>1159</v>
      </c>
      <c r="J1156" s="1">
        <v>80</v>
      </c>
      <c r="K1156" s="1">
        <v>76</v>
      </c>
      <c r="L1156" s="3">
        <v>0.05</v>
      </c>
      <c r="N1156" t="s">
        <v>3113</v>
      </c>
      <c r="P1156">
        <v>5</v>
      </c>
      <c r="Q1156">
        <v>20</v>
      </c>
      <c r="R1156">
        <v>2017</v>
      </c>
      <c r="S1156" s="4">
        <f t="shared" ref="S1156:S1219" si="74">DATE(R1156,P1156,Q1156)</f>
        <v>42875</v>
      </c>
      <c r="T1156" s="4">
        <f t="shared" si="72"/>
        <v>42875</v>
      </c>
      <c r="U1156" s="4">
        <v>42875</v>
      </c>
    </row>
    <row r="1157" spans="1:21" x14ac:dyDescent="0.3">
      <c r="A1157" t="s">
        <v>1703</v>
      </c>
      <c r="B1157" s="1" t="s">
        <v>103</v>
      </c>
      <c r="C1157" s="1" t="s">
        <v>71</v>
      </c>
      <c r="D1157" s="1" t="s">
        <v>35</v>
      </c>
      <c r="E1157" s="2" t="s">
        <v>3476</v>
      </c>
      <c r="F1157" s="2" t="b">
        <f t="shared" ref="F1157:F1220" si="75">ISNUMBER(E1157)</f>
        <v>0</v>
      </c>
      <c r="G1157" s="2">
        <f t="shared" si="73"/>
        <v>42143</v>
      </c>
      <c r="H1157" s="1" t="s">
        <v>115</v>
      </c>
      <c r="I1157" s="1" t="s">
        <v>727</v>
      </c>
      <c r="J1157" s="1">
        <v>250</v>
      </c>
      <c r="K1157" s="1">
        <v>190</v>
      </c>
      <c r="L1157" s="3">
        <v>0.24</v>
      </c>
      <c r="N1157" t="s">
        <v>3476</v>
      </c>
      <c r="P1157">
        <v>5</v>
      </c>
      <c r="Q1157">
        <v>19</v>
      </c>
      <c r="R1157">
        <v>2015</v>
      </c>
      <c r="S1157" s="4">
        <f t="shared" si="74"/>
        <v>42143</v>
      </c>
      <c r="T1157" s="4">
        <f t="shared" si="72"/>
        <v>42143</v>
      </c>
      <c r="U1157" s="4">
        <v>42143</v>
      </c>
    </row>
    <row r="1158" spans="1:21" x14ac:dyDescent="0.3">
      <c r="A1158" t="s">
        <v>1704</v>
      </c>
      <c r="B1158" s="1" t="s">
        <v>241</v>
      </c>
      <c r="C1158" s="1" t="s">
        <v>242</v>
      </c>
      <c r="D1158" s="1" t="s">
        <v>13</v>
      </c>
      <c r="E1158" s="2">
        <v>42767</v>
      </c>
      <c r="F1158" s="2" t="b">
        <f t="shared" si="75"/>
        <v>1</v>
      </c>
      <c r="G1158" s="2">
        <f t="shared" si="73"/>
        <v>42767</v>
      </c>
      <c r="H1158" s="1" t="s">
        <v>61</v>
      </c>
      <c r="I1158" s="1" t="s">
        <v>1152</v>
      </c>
      <c r="J1158" s="1">
        <v>1000</v>
      </c>
      <c r="K1158" s="1">
        <v>650</v>
      </c>
      <c r="L1158" s="3">
        <v>0.35</v>
      </c>
      <c r="N1158" t="s">
        <v>3763</v>
      </c>
      <c r="S1158" s="4" t="e">
        <f t="shared" si="74"/>
        <v>#NUM!</v>
      </c>
      <c r="T1158" s="4" t="str">
        <f t="shared" si="72"/>
        <v/>
      </c>
      <c r="U1158" s="4" t="s">
        <v>3763</v>
      </c>
    </row>
    <row r="1159" spans="1:21" x14ac:dyDescent="0.3">
      <c r="A1159" t="s">
        <v>1705</v>
      </c>
      <c r="B1159" s="1" t="s">
        <v>221</v>
      </c>
      <c r="C1159" s="1" t="s">
        <v>40</v>
      </c>
      <c r="D1159" s="1" t="s">
        <v>35</v>
      </c>
      <c r="E1159" s="2">
        <v>42228</v>
      </c>
      <c r="F1159" s="2" t="b">
        <f t="shared" si="75"/>
        <v>1</v>
      </c>
      <c r="G1159" s="2">
        <f t="shared" si="73"/>
        <v>42228</v>
      </c>
      <c r="H1159" s="1" t="s">
        <v>14</v>
      </c>
      <c r="I1159" s="1" t="s">
        <v>222</v>
      </c>
      <c r="J1159" s="1">
        <v>80</v>
      </c>
      <c r="K1159" s="1">
        <v>58</v>
      </c>
      <c r="L1159" s="3">
        <v>0.27500000000000002</v>
      </c>
      <c r="N1159" t="s">
        <v>3763</v>
      </c>
      <c r="S1159" s="4" t="e">
        <f t="shared" si="74"/>
        <v>#NUM!</v>
      </c>
      <c r="T1159" s="4" t="str">
        <f t="shared" si="72"/>
        <v/>
      </c>
      <c r="U1159" s="4" t="s">
        <v>3763</v>
      </c>
    </row>
    <row r="1160" spans="1:21" x14ac:dyDescent="0.3">
      <c r="A1160" t="s">
        <v>1706</v>
      </c>
      <c r="B1160" s="1" t="s">
        <v>39</v>
      </c>
      <c r="C1160" s="1" t="s">
        <v>40</v>
      </c>
      <c r="D1160" s="1" t="s">
        <v>35</v>
      </c>
      <c r="E1160" s="2">
        <v>41699</v>
      </c>
      <c r="F1160" s="2" t="b">
        <f t="shared" si="75"/>
        <v>1</v>
      </c>
      <c r="G1160" s="2">
        <f t="shared" si="73"/>
        <v>41699</v>
      </c>
      <c r="H1160" s="1" t="s">
        <v>115</v>
      </c>
      <c r="I1160" s="1" t="s">
        <v>1707</v>
      </c>
      <c r="J1160" s="1">
        <v>250</v>
      </c>
      <c r="K1160" s="1">
        <v>235</v>
      </c>
      <c r="L1160" s="3">
        <v>0.06</v>
      </c>
      <c r="N1160" t="s">
        <v>3763</v>
      </c>
      <c r="S1160" s="4" t="e">
        <f t="shared" si="74"/>
        <v>#NUM!</v>
      </c>
      <c r="T1160" s="4" t="str">
        <f t="shared" si="72"/>
        <v/>
      </c>
      <c r="U1160" s="4" t="s">
        <v>3763</v>
      </c>
    </row>
    <row r="1161" spans="1:21" x14ac:dyDescent="0.3">
      <c r="A1161" t="s">
        <v>1708</v>
      </c>
      <c r="B1161" s="1" t="s">
        <v>187</v>
      </c>
      <c r="C1161" s="1" t="s">
        <v>188</v>
      </c>
      <c r="D1161" s="1" t="s">
        <v>13</v>
      </c>
      <c r="E1161" s="2" t="s">
        <v>3482</v>
      </c>
      <c r="F1161" s="2" t="b">
        <f t="shared" si="75"/>
        <v>0</v>
      </c>
      <c r="G1161" s="2">
        <f t="shared" si="73"/>
        <v>42452</v>
      </c>
      <c r="H1161" s="1" t="s">
        <v>46</v>
      </c>
      <c r="I1161" s="1" t="s">
        <v>237</v>
      </c>
      <c r="J1161" s="1">
        <v>500</v>
      </c>
      <c r="K1161" s="1">
        <v>440</v>
      </c>
      <c r="L1161" s="3">
        <v>0.12</v>
      </c>
      <c r="N1161" t="s">
        <v>3482</v>
      </c>
      <c r="P1161">
        <v>3</v>
      </c>
      <c r="Q1161">
        <v>23</v>
      </c>
      <c r="R1161">
        <v>2016</v>
      </c>
      <c r="S1161" s="4">
        <f t="shared" si="74"/>
        <v>42452</v>
      </c>
      <c r="T1161" s="4">
        <f t="shared" si="72"/>
        <v>42452</v>
      </c>
      <c r="U1161" s="4">
        <v>42452</v>
      </c>
    </row>
    <row r="1162" spans="1:21" x14ac:dyDescent="0.3">
      <c r="A1162" t="s">
        <v>1709</v>
      </c>
      <c r="B1162" s="1" t="s">
        <v>127</v>
      </c>
      <c r="C1162" s="1" t="s">
        <v>128</v>
      </c>
      <c r="D1162" s="1" t="s">
        <v>13</v>
      </c>
      <c r="E1162" s="2" t="s">
        <v>3483</v>
      </c>
      <c r="F1162" s="2" t="b">
        <f t="shared" si="75"/>
        <v>0</v>
      </c>
      <c r="G1162" s="2">
        <f t="shared" si="73"/>
        <v>43029</v>
      </c>
      <c r="H1162" s="1" t="s">
        <v>122</v>
      </c>
      <c r="I1162" s="1" t="s">
        <v>129</v>
      </c>
      <c r="J1162" s="1">
        <v>50</v>
      </c>
      <c r="K1162" s="1">
        <v>46</v>
      </c>
      <c r="L1162" s="3">
        <v>0.08</v>
      </c>
      <c r="N1162" t="s">
        <v>3483</v>
      </c>
      <c r="P1162">
        <v>10</v>
      </c>
      <c r="Q1162">
        <v>21</v>
      </c>
      <c r="R1162">
        <v>2017</v>
      </c>
      <c r="S1162" s="4">
        <f t="shared" si="74"/>
        <v>43029</v>
      </c>
      <c r="T1162" s="4">
        <f t="shared" si="72"/>
        <v>43029</v>
      </c>
      <c r="U1162" s="4">
        <v>43029</v>
      </c>
    </row>
    <row r="1163" spans="1:21" x14ac:dyDescent="0.3">
      <c r="A1163" t="s">
        <v>1710</v>
      </c>
      <c r="B1163" s="1" t="s">
        <v>182</v>
      </c>
      <c r="C1163" s="1" t="s">
        <v>108</v>
      </c>
      <c r="D1163" s="1" t="s">
        <v>19</v>
      </c>
      <c r="E1163" s="2">
        <v>43287</v>
      </c>
      <c r="F1163" s="2" t="b">
        <f t="shared" si="75"/>
        <v>1</v>
      </c>
      <c r="G1163" s="2">
        <f t="shared" si="73"/>
        <v>43287</v>
      </c>
      <c r="H1163" s="1" t="s">
        <v>104</v>
      </c>
      <c r="I1163" s="1" t="s">
        <v>673</v>
      </c>
      <c r="J1163" s="1">
        <v>70</v>
      </c>
      <c r="K1163" s="1">
        <v>63</v>
      </c>
      <c r="L1163" s="3">
        <v>0.1</v>
      </c>
      <c r="N1163" t="s">
        <v>3763</v>
      </c>
      <c r="S1163" s="4" t="e">
        <f t="shared" si="74"/>
        <v>#NUM!</v>
      </c>
      <c r="T1163" s="4" t="str">
        <f t="shared" si="72"/>
        <v/>
      </c>
      <c r="U1163" s="4" t="s">
        <v>3763</v>
      </c>
    </row>
    <row r="1164" spans="1:21" x14ac:dyDescent="0.3">
      <c r="A1164" t="s">
        <v>1711</v>
      </c>
      <c r="B1164" s="1" t="s">
        <v>227</v>
      </c>
      <c r="C1164" s="1" t="s">
        <v>228</v>
      </c>
      <c r="D1164" s="1" t="s">
        <v>24</v>
      </c>
      <c r="E1164" s="2" t="s">
        <v>3010</v>
      </c>
      <c r="F1164" s="2" t="b">
        <f t="shared" si="75"/>
        <v>0</v>
      </c>
      <c r="G1164" s="2">
        <f t="shared" si="73"/>
        <v>43173</v>
      </c>
      <c r="H1164" s="1" t="s">
        <v>30</v>
      </c>
      <c r="I1164" s="1" t="s">
        <v>438</v>
      </c>
      <c r="J1164" s="1">
        <v>150</v>
      </c>
      <c r="K1164" s="1">
        <v>128</v>
      </c>
      <c r="L1164" s="3">
        <v>0.1467</v>
      </c>
      <c r="N1164" t="s">
        <v>3010</v>
      </c>
      <c r="P1164">
        <v>3</v>
      </c>
      <c r="Q1164">
        <v>14</v>
      </c>
      <c r="R1164">
        <v>2018</v>
      </c>
      <c r="S1164" s="4">
        <f t="shared" si="74"/>
        <v>43173</v>
      </c>
      <c r="T1164" s="4">
        <f t="shared" si="72"/>
        <v>43173</v>
      </c>
      <c r="U1164" s="4">
        <v>43173</v>
      </c>
    </row>
    <row r="1165" spans="1:21" x14ac:dyDescent="0.3">
      <c r="A1165" t="s">
        <v>1712</v>
      </c>
      <c r="B1165" s="1" t="s">
        <v>64</v>
      </c>
      <c r="C1165" s="1" t="s">
        <v>65</v>
      </c>
      <c r="D1165" s="1" t="s">
        <v>35</v>
      </c>
      <c r="E1165" s="2">
        <v>42686</v>
      </c>
      <c r="F1165" s="2" t="b">
        <f t="shared" si="75"/>
        <v>1</v>
      </c>
      <c r="G1165" s="2">
        <f t="shared" si="73"/>
        <v>42686</v>
      </c>
      <c r="H1165" s="1" t="s">
        <v>30</v>
      </c>
      <c r="I1165" s="1" t="s">
        <v>529</v>
      </c>
      <c r="J1165" s="1">
        <v>150</v>
      </c>
      <c r="K1165" s="1">
        <v>150</v>
      </c>
      <c r="L1165" s="3">
        <v>0</v>
      </c>
      <c r="N1165" t="s">
        <v>3763</v>
      </c>
      <c r="S1165" s="4" t="e">
        <f t="shared" si="74"/>
        <v>#NUM!</v>
      </c>
      <c r="T1165" s="4" t="str">
        <f t="shared" si="72"/>
        <v/>
      </c>
      <c r="U1165" s="4" t="s">
        <v>3763</v>
      </c>
    </row>
    <row r="1166" spans="1:21" x14ac:dyDescent="0.3">
      <c r="A1166" t="s">
        <v>1713</v>
      </c>
      <c r="B1166" s="1" t="s">
        <v>11</v>
      </c>
      <c r="C1166" s="1" t="s">
        <v>12</v>
      </c>
      <c r="D1166" s="1" t="s">
        <v>13</v>
      </c>
      <c r="E1166" s="2">
        <v>43071</v>
      </c>
      <c r="F1166" s="2" t="b">
        <f t="shared" si="75"/>
        <v>1</v>
      </c>
      <c r="G1166" s="2">
        <f t="shared" si="73"/>
        <v>43071</v>
      </c>
      <c r="H1166" s="1" t="s">
        <v>46</v>
      </c>
      <c r="I1166" s="1" t="s">
        <v>348</v>
      </c>
      <c r="J1166" s="1">
        <v>500</v>
      </c>
      <c r="K1166" s="1">
        <v>485</v>
      </c>
      <c r="L1166" s="3">
        <v>0.03</v>
      </c>
      <c r="N1166" t="s">
        <v>3763</v>
      </c>
      <c r="S1166" s="4" t="e">
        <f t="shared" si="74"/>
        <v>#NUM!</v>
      </c>
      <c r="T1166" s="4" t="str">
        <f t="shared" si="72"/>
        <v/>
      </c>
      <c r="U1166" s="4" t="s">
        <v>3763</v>
      </c>
    </row>
    <row r="1167" spans="1:21" x14ac:dyDescent="0.3">
      <c r="A1167" t="s">
        <v>1714</v>
      </c>
      <c r="B1167" s="1" t="s">
        <v>85</v>
      </c>
      <c r="C1167" s="1" t="s">
        <v>86</v>
      </c>
      <c r="D1167" s="1" t="s">
        <v>13</v>
      </c>
      <c r="E1167" s="2" t="s">
        <v>3484</v>
      </c>
      <c r="F1167" s="2" t="b">
        <f t="shared" si="75"/>
        <v>0</v>
      </c>
      <c r="G1167" s="2">
        <f t="shared" si="73"/>
        <v>42881</v>
      </c>
      <c r="H1167" s="1" t="s">
        <v>115</v>
      </c>
      <c r="I1167" s="1" t="s">
        <v>340</v>
      </c>
      <c r="J1167" s="1">
        <v>250</v>
      </c>
      <c r="K1167" s="1">
        <v>230</v>
      </c>
      <c r="L1167" s="3">
        <v>0.08</v>
      </c>
      <c r="N1167" t="s">
        <v>3484</v>
      </c>
      <c r="P1167">
        <v>5</v>
      </c>
      <c r="Q1167">
        <v>26</v>
      </c>
      <c r="R1167">
        <v>2017</v>
      </c>
      <c r="S1167" s="4">
        <f t="shared" si="74"/>
        <v>42881</v>
      </c>
      <c r="T1167" s="4">
        <f t="shared" si="72"/>
        <v>42881</v>
      </c>
      <c r="U1167" s="4">
        <v>42881</v>
      </c>
    </row>
    <row r="1168" spans="1:21" x14ac:dyDescent="0.3">
      <c r="A1168" t="s">
        <v>1715</v>
      </c>
      <c r="B1168" s="1" t="s">
        <v>114</v>
      </c>
      <c r="C1168" s="1" t="s">
        <v>54</v>
      </c>
      <c r="D1168" s="1" t="s">
        <v>13</v>
      </c>
      <c r="E1168" s="2" t="s">
        <v>3485</v>
      </c>
      <c r="F1168" s="2" t="b">
        <f t="shared" si="75"/>
        <v>0</v>
      </c>
      <c r="G1168" s="2">
        <f t="shared" si="73"/>
        <v>42643</v>
      </c>
      <c r="H1168" s="1" t="s">
        <v>104</v>
      </c>
      <c r="I1168" s="1" t="s">
        <v>367</v>
      </c>
      <c r="J1168" s="1">
        <v>70</v>
      </c>
      <c r="K1168" s="1">
        <v>62</v>
      </c>
      <c r="L1168" s="3">
        <v>0.1143</v>
      </c>
      <c r="N1168" t="s">
        <v>3485</v>
      </c>
      <c r="P1168">
        <v>9</v>
      </c>
      <c r="Q1168">
        <v>30</v>
      </c>
      <c r="R1168">
        <v>2016</v>
      </c>
      <c r="S1168" s="4">
        <f t="shared" si="74"/>
        <v>42643</v>
      </c>
      <c r="T1168" s="4">
        <f t="shared" si="72"/>
        <v>42643</v>
      </c>
      <c r="U1168" s="4">
        <v>42643</v>
      </c>
    </row>
    <row r="1169" spans="1:21" x14ac:dyDescent="0.3">
      <c r="A1169" t="s">
        <v>1716</v>
      </c>
      <c r="B1169" s="1" t="s">
        <v>64</v>
      </c>
      <c r="C1169" s="1" t="s">
        <v>65</v>
      </c>
      <c r="D1169" s="1" t="s">
        <v>35</v>
      </c>
      <c r="E1169" s="2">
        <v>42954</v>
      </c>
      <c r="F1169" s="2" t="b">
        <f t="shared" si="75"/>
        <v>1</v>
      </c>
      <c r="G1169" s="2">
        <f t="shared" si="73"/>
        <v>42954</v>
      </c>
      <c r="H1169" s="1" t="s">
        <v>25</v>
      </c>
      <c r="I1169" s="1" t="s">
        <v>1717</v>
      </c>
      <c r="J1169" s="1">
        <v>700</v>
      </c>
      <c r="K1169" s="1">
        <v>665</v>
      </c>
      <c r="L1169" s="3">
        <v>0.05</v>
      </c>
      <c r="N1169" t="s">
        <v>3763</v>
      </c>
      <c r="S1169" s="4" t="e">
        <f t="shared" si="74"/>
        <v>#NUM!</v>
      </c>
      <c r="T1169" s="4" t="str">
        <f t="shared" si="72"/>
        <v/>
      </c>
      <c r="U1169" s="4" t="s">
        <v>3763</v>
      </c>
    </row>
    <row r="1170" spans="1:21" x14ac:dyDescent="0.3">
      <c r="A1170" t="s">
        <v>1718</v>
      </c>
      <c r="B1170" s="1" t="s">
        <v>131</v>
      </c>
      <c r="C1170" s="1" t="s">
        <v>108</v>
      </c>
      <c r="D1170" s="1" t="s">
        <v>19</v>
      </c>
      <c r="E1170" s="2" t="s">
        <v>3486</v>
      </c>
      <c r="F1170" s="2" t="b">
        <f t="shared" si="75"/>
        <v>0</v>
      </c>
      <c r="G1170" s="2">
        <f t="shared" si="73"/>
        <v>43038</v>
      </c>
      <c r="H1170" s="1" t="s">
        <v>36</v>
      </c>
      <c r="I1170" s="1" t="s">
        <v>382</v>
      </c>
      <c r="J1170" s="1">
        <v>50</v>
      </c>
      <c r="K1170" s="1">
        <v>50</v>
      </c>
      <c r="L1170" s="3">
        <v>0</v>
      </c>
      <c r="N1170" t="s">
        <v>3486</v>
      </c>
      <c r="P1170">
        <v>10</v>
      </c>
      <c r="Q1170">
        <v>30</v>
      </c>
      <c r="R1170">
        <v>2017</v>
      </c>
      <c r="S1170" s="4">
        <f t="shared" si="74"/>
        <v>43038</v>
      </c>
      <c r="T1170" s="4">
        <f t="shared" si="72"/>
        <v>43038</v>
      </c>
      <c r="U1170" s="4">
        <v>43038</v>
      </c>
    </row>
    <row r="1171" spans="1:21" x14ac:dyDescent="0.3">
      <c r="A1171" t="s">
        <v>1719</v>
      </c>
      <c r="B1171" s="1" t="s">
        <v>187</v>
      </c>
      <c r="C1171" s="1" t="s">
        <v>188</v>
      </c>
      <c r="D1171" s="1" t="s">
        <v>13</v>
      </c>
      <c r="E1171" s="2">
        <v>41765</v>
      </c>
      <c r="F1171" s="2" t="b">
        <f t="shared" si="75"/>
        <v>1</v>
      </c>
      <c r="G1171" s="2">
        <f t="shared" si="73"/>
        <v>41765</v>
      </c>
      <c r="H1171" s="1" t="s">
        <v>14</v>
      </c>
      <c r="I1171" s="1" t="s">
        <v>791</v>
      </c>
      <c r="J1171" s="1">
        <v>80</v>
      </c>
      <c r="K1171" s="1">
        <v>56</v>
      </c>
      <c r="L1171" s="3">
        <v>0.3</v>
      </c>
      <c r="N1171" t="s">
        <v>3763</v>
      </c>
      <c r="S1171" s="4" t="e">
        <f t="shared" si="74"/>
        <v>#NUM!</v>
      </c>
      <c r="T1171" s="4" t="str">
        <f t="shared" si="72"/>
        <v/>
      </c>
      <c r="U1171" s="4" t="s">
        <v>3763</v>
      </c>
    </row>
    <row r="1172" spans="1:21" x14ac:dyDescent="0.3">
      <c r="A1172" t="s">
        <v>1720</v>
      </c>
      <c r="B1172" s="1" t="s">
        <v>95</v>
      </c>
      <c r="C1172" s="1" t="s">
        <v>96</v>
      </c>
      <c r="D1172" s="1" t="s">
        <v>13</v>
      </c>
      <c r="E1172" s="2" t="s">
        <v>3487</v>
      </c>
      <c r="F1172" s="2" t="b">
        <f t="shared" si="75"/>
        <v>0</v>
      </c>
      <c r="G1172" s="2">
        <f t="shared" si="73"/>
        <v>43281</v>
      </c>
      <c r="H1172" s="1" t="s">
        <v>104</v>
      </c>
      <c r="I1172" s="1" t="s">
        <v>460</v>
      </c>
      <c r="J1172" s="1">
        <v>70</v>
      </c>
      <c r="K1172" s="1">
        <v>65</v>
      </c>
      <c r="L1172" s="3">
        <v>7.1400000000000005E-2</v>
      </c>
      <c r="N1172" t="s">
        <v>3487</v>
      </c>
      <c r="P1172">
        <v>6</v>
      </c>
      <c r="Q1172">
        <v>30</v>
      </c>
      <c r="R1172">
        <v>2018</v>
      </c>
      <c r="S1172" s="4">
        <f t="shared" si="74"/>
        <v>43281</v>
      </c>
      <c r="T1172" s="4">
        <f t="shared" si="72"/>
        <v>43281</v>
      </c>
      <c r="U1172" s="4">
        <v>43281</v>
      </c>
    </row>
    <row r="1173" spans="1:21" x14ac:dyDescent="0.3">
      <c r="A1173" t="s">
        <v>1721</v>
      </c>
      <c r="B1173" s="1" t="s">
        <v>434</v>
      </c>
      <c r="C1173" s="1" t="s">
        <v>435</v>
      </c>
      <c r="D1173" s="1" t="s">
        <v>24</v>
      </c>
      <c r="E1173" s="2" t="s">
        <v>3488</v>
      </c>
      <c r="F1173" s="2" t="b">
        <f t="shared" si="75"/>
        <v>0</v>
      </c>
      <c r="G1173" s="2">
        <f t="shared" si="73"/>
        <v>42508</v>
      </c>
      <c r="H1173" s="1" t="s">
        <v>36</v>
      </c>
      <c r="I1173" s="1" t="s">
        <v>764</v>
      </c>
      <c r="J1173" s="1">
        <v>50</v>
      </c>
      <c r="K1173" s="1">
        <v>43</v>
      </c>
      <c r="L1173" s="3">
        <v>0.14000000000000001</v>
      </c>
      <c r="N1173" t="s">
        <v>3488</v>
      </c>
      <c r="P1173">
        <v>5</v>
      </c>
      <c r="Q1173">
        <v>18</v>
      </c>
      <c r="R1173">
        <v>2016</v>
      </c>
      <c r="S1173" s="4">
        <f t="shared" si="74"/>
        <v>42508</v>
      </c>
      <c r="T1173" s="4">
        <f t="shared" si="72"/>
        <v>42508</v>
      </c>
      <c r="U1173" s="4">
        <v>42508</v>
      </c>
    </row>
    <row r="1174" spans="1:21" x14ac:dyDescent="0.3">
      <c r="A1174" t="s">
        <v>1722</v>
      </c>
      <c r="B1174" s="1" t="s">
        <v>70</v>
      </c>
      <c r="C1174" s="1" t="s">
        <v>71</v>
      </c>
      <c r="D1174" s="1" t="s">
        <v>35</v>
      </c>
      <c r="E1174" s="2">
        <v>42318</v>
      </c>
      <c r="F1174" s="2" t="b">
        <f t="shared" si="75"/>
        <v>1</v>
      </c>
      <c r="G1174" s="2">
        <f t="shared" si="73"/>
        <v>42318</v>
      </c>
      <c r="H1174" s="1" t="s">
        <v>30</v>
      </c>
      <c r="I1174" s="1" t="s">
        <v>1723</v>
      </c>
      <c r="J1174" s="1">
        <v>150</v>
      </c>
      <c r="K1174" s="1">
        <v>126</v>
      </c>
      <c r="L1174" s="3">
        <v>0.16</v>
      </c>
      <c r="N1174" t="s">
        <v>3763</v>
      </c>
      <c r="S1174" s="4" t="e">
        <f t="shared" si="74"/>
        <v>#NUM!</v>
      </c>
      <c r="T1174" s="4" t="str">
        <f t="shared" si="72"/>
        <v/>
      </c>
      <c r="U1174" s="4" t="s">
        <v>3763</v>
      </c>
    </row>
    <row r="1175" spans="1:21" x14ac:dyDescent="0.3">
      <c r="A1175" t="s">
        <v>1724</v>
      </c>
      <c r="B1175" s="1" t="s">
        <v>221</v>
      </c>
      <c r="C1175" s="1" t="s">
        <v>40</v>
      </c>
      <c r="D1175" s="1" t="s">
        <v>35</v>
      </c>
      <c r="E1175" s="2" t="s">
        <v>3378</v>
      </c>
      <c r="F1175" s="2" t="b">
        <f t="shared" si="75"/>
        <v>0</v>
      </c>
      <c r="G1175" s="2">
        <f t="shared" si="73"/>
        <v>42035</v>
      </c>
      <c r="H1175" s="1" t="s">
        <v>46</v>
      </c>
      <c r="I1175" s="1" t="s">
        <v>1322</v>
      </c>
      <c r="J1175" s="1">
        <v>500</v>
      </c>
      <c r="K1175" s="1">
        <v>360</v>
      </c>
      <c r="L1175" s="3">
        <v>0.28000000000000003</v>
      </c>
      <c r="N1175" t="s">
        <v>3378</v>
      </c>
      <c r="P1175">
        <v>1</v>
      </c>
      <c r="Q1175">
        <v>31</v>
      </c>
      <c r="R1175">
        <v>2015</v>
      </c>
      <c r="S1175" s="4">
        <f t="shared" si="74"/>
        <v>42035</v>
      </c>
      <c r="T1175" s="4">
        <f t="shared" si="72"/>
        <v>42035</v>
      </c>
      <c r="U1175" s="4">
        <v>42035</v>
      </c>
    </row>
    <row r="1176" spans="1:21" x14ac:dyDescent="0.3">
      <c r="A1176" t="s">
        <v>1725</v>
      </c>
      <c r="B1176" s="1" t="s">
        <v>227</v>
      </c>
      <c r="C1176" s="1" t="s">
        <v>228</v>
      </c>
      <c r="D1176" s="1" t="s">
        <v>24</v>
      </c>
      <c r="E1176" s="2">
        <v>42622</v>
      </c>
      <c r="F1176" s="2" t="b">
        <f t="shared" si="75"/>
        <v>1</v>
      </c>
      <c r="G1176" s="2">
        <f t="shared" si="73"/>
        <v>42622</v>
      </c>
      <c r="H1176" s="1" t="s">
        <v>14</v>
      </c>
      <c r="I1176" s="1" t="s">
        <v>621</v>
      </c>
      <c r="J1176" s="1">
        <v>80</v>
      </c>
      <c r="K1176" s="1">
        <v>71</v>
      </c>
      <c r="L1176" s="3">
        <v>0.1125</v>
      </c>
      <c r="N1176" t="s">
        <v>3763</v>
      </c>
      <c r="S1176" s="4" t="e">
        <f t="shared" si="74"/>
        <v>#NUM!</v>
      </c>
      <c r="T1176" s="4" t="str">
        <f t="shared" si="72"/>
        <v/>
      </c>
      <c r="U1176" s="4" t="s">
        <v>3763</v>
      </c>
    </row>
    <row r="1177" spans="1:21" x14ac:dyDescent="0.3">
      <c r="A1177" t="s">
        <v>1726</v>
      </c>
      <c r="B1177" s="1" t="s">
        <v>131</v>
      </c>
      <c r="C1177" s="1" t="s">
        <v>108</v>
      </c>
      <c r="D1177" s="1" t="s">
        <v>19</v>
      </c>
      <c r="E1177" s="2" t="s">
        <v>3489</v>
      </c>
      <c r="F1177" s="2" t="b">
        <f t="shared" si="75"/>
        <v>0</v>
      </c>
      <c r="G1177" s="2">
        <f t="shared" si="73"/>
        <v>41654</v>
      </c>
      <c r="H1177" s="1" t="s">
        <v>41</v>
      </c>
      <c r="I1177" s="1" t="s">
        <v>132</v>
      </c>
      <c r="J1177" s="1">
        <v>30</v>
      </c>
      <c r="K1177" s="1">
        <v>29</v>
      </c>
      <c r="L1177" s="3">
        <v>3.3300000000000003E-2</v>
      </c>
      <c r="N1177" t="s">
        <v>3489</v>
      </c>
      <c r="P1177">
        <v>1</v>
      </c>
      <c r="Q1177">
        <v>15</v>
      </c>
      <c r="R1177">
        <v>2014</v>
      </c>
      <c r="S1177" s="4">
        <f t="shared" si="74"/>
        <v>41654</v>
      </c>
      <c r="T1177" s="4">
        <f t="shared" si="72"/>
        <v>41654</v>
      </c>
      <c r="U1177" s="4">
        <v>41654</v>
      </c>
    </row>
    <row r="1178" spans="1:21" x14ac:dyDescent="0.3">
      <c r="A1178" t="s">
        <v>1727</v>
      </c>
      <c r="B1178" s="1" t="s">
        <v>170</v>
      </c>
      <c r="C1178" s="1" t="s">
        <v>171</v>
      </c>
      <c r="D1178" s="1" t="s">
        <v>13</v>
      </c>
      <c r="E1178" s="2" t="s">
        <v>3490</v>
      </c>
      <c r="F1178" s="2" t="b">
        <f t="shared" si="75"/>
        <v>0</v>
      </c>
      <c r="G1178" s="2">
        <f t="shared" si="73"/>
        <v>42733</v>
      </c>
      <c r="H1178" s="1" t="s">
        <v>115</v>
      </c>
      <c r="I1178" s="1" t="s">
        <v>518</v>
      </c>
      <c r="J1178" s="1">
        <v>250</v>
      </c>
      <c r="K1178" s="1">
        <v>248</v>
      </c>
      <c r="L1178" s="3">
        <v>8.0000000000000002E-3</v>
      </c>
      <c r="N1178" t="s">
        <v>3490</v>
      </c>
      <c r="P1178">
        <v>12</v>
      </c>
      <c r="Q1178">
        <v>29</v>
      </c>
      <c r="R1178">
        <v>2016</v>
      </c>
      <c r="S1178" s="4">
        <f t="shared" si="74"/>
        <v>42733</v>
      </c>
      <c r="T1178" s="4">
        <f t="shared" si="72"/>
        <v>42733</v>
      </c>
      <c r="U1178" s="4">
        <v>42733</v>
      </c>
    </row>
    <row r="1179" spans="1:21" x14ac:dyDescent="0.3">
      <c r="A1179" t="s">
        <v>1728</v>
      </c>
      <c r="B1179" s="1" t="s">
        <v>134</v>
      </c>
      <c r="C1179" s="1" t="s">
        <v>92</v>
      </c>
      <c r="D1179" s="1" t="s">
        <v>35</v>
      </c>
      <c r="E1179" s="2" t="s">
        <v>3491</v>
      </c>
      <c r="F1179" s="2" t="b">
        <f t="shared" si="75"/>
        <v>0</v>
      </c>
      <c r="G1179" s="2">
        <f t="shared" si="73"/>
        <v>43394</v>
      </c>
      <c r="H1179" s="1" t="s">
        <v>41</v>
      </c>
      <c r="I1179" s="1" t="s">
        <v>1062</v>
      </c>
      <c r="J1179" s="1">
        <v>30</v>
      </c>
      <c r="K1179" s="1">
        <v>27</v>
      </c>
      <c r="L1179" s="3">
        <v>0.1</v>
      </c>
      <c r="N1179" t="s">
        <v>3491</v>
      </c>
      <c r="P1179">
        <v>10</v>
      </c>
      <c r="Q1179">
        <v>21</v>
      </c>
      <c r="R1179">
        <v>2018</v>
      </c>
      <c r="S1179" s="4">
        <f t="shared" si="74"/>
        <v>43394</v>
      </c>
      <c r="T1179" s="4">
        <f t="shared" si="72"/>
        <v>43394</v>
      </c>
      <c r="U1179" s="4">
        <v>43394</v>
      </c>
    </row>
    <row r="1180" spans="1:21" x14ac:dyDescent="0.3">
      <c r="A1180" t="s">
        <v>1729</v>
      </c>
      <c r="B1180" s="1" t="s">
        <v>146</v>
      </c>
      <c r="C1180" s="1" t="s">
        <v>147</v>
      </c>
      <c r="D1180" s="1" t="s">
        <v>13</v>
      </c>
      <c r="E1180" s="2">
        <v>42743</v>
      </c>
      <c r="F1180" s="2" t="b">
        <f t="shared" si="75"/>
        <v>1</v>
      </c>
      <c r="G1180" s="2">
        <f t="shared" si="73"/>
        <v>42743</v>
      </c>
      <c r="H1180" s="1" t="s">
        <v>104</v>
      </c>
      <c r="I1180" s="1" t="s">
        <v>1318</v>
      </c>
      <c r="J1180" s="1">
        <v>70</v>
      </c>
      <c r="K1180" s="1">
        <v>66</v>
      </c>
      <c r="L1180" s="3">
        <v>5.7099999999999998E-2</v>
      </c>
      <c r="N1180" t="s">
        <v>3763</v>
      </c>
      <c r="S1180" s="4" t="e">
        <f t="shared" si="74"/>
        <v>#NUM!</v>
      </c>
      <c r="T1180" s="4" t="str">
        <f t="shared" si="72"/>
        <v/>
      </c>
      <c r="U1180" s="4" t="s">
        <v>3763</v>
      </c>
    </row>
    <row r="1181" spans="1:21" x14ac:dyDescent="0.3">
      <c r="A1181" t="s">
        <v>1730</v>
      </c>
      <c r="B1181" s="1" t="s">
        <v>17</v>
      </c>
      <c r="C1181" s="1" t="s">
        <v>18</v>
      </c>
      <c r="D1181" s="1" t="s">
        <v>19</v>
      </c>
      <c r="E1181" s="2" t="s">
        <v>3031</v>
      </c>
      <c r="F1181" s="2" t="b">
        <f t="shared" si="75"/>
        <v>0</v>
      </c>
      <c r="G1181" s="2">
        <f t="shared" si="73"/>
        <v>41904</v>
      </c>
      <c r="H1181" s="1" t="s">
        <v>36</v>
      </c>
      <c r="I1181" s="1" t="s">
        <v>20</v>
      </c>
      <c r="J1181" s="1">
        <v>50</v>
      </c>
      <c r="K1181" s="1">
        <v>50</v>
      </c>
      <c r="L1181" s="3">
        <v>0</v>
      </c>
      <c r="N1181" t="s">
        <v>3031</v>
      </c>
      <c r="P1181">
        <v>9</v>
      </c>
      <c r="Q1181">
        <v>22</v>
      </c>
      <c r="R1181">
        <v>2014</v>
      </c>
      <c r="S1181" s="4">
        <f t="shared" si="74"/>
        <v>41904</v>
      </c>
      <c r="T1181" s="4">
        <f t="shared" si="72"/>
        <v>41904</v>
      </c>
      <c r="U1181" s="4">
        <v>41904</v>
      </c>
    </row>
    <row r="1182" spans="1:21" x14ac:dyDescent="0.3">
      <c r="A1182" t="s">
        <v>1731</v>
      </c>
      <c r="B1182" s="1" t="s">
        <v>150</v>
      </c>
      <c r="C1182" s="1" t="s">
        <v>151</v>
      </c>
      <c r="D1182" s="1" t="s">
        <v>13</v>
      </c>
      <c r="E1182" s="2">
        <v>42282</v>
      </c>
      <c r="F1182" s="2" t="b">
        <f t="shared" si="75"/>
        <v>1</v>
      </c>
      <c r="G1182" s="2">
        <f t="shared" si="73"/>
        <v>42282</v>
      </c>
      <c r="H1182" s="1" t="s">
        <v>61</v>
      </c>
      <c r="I1182" s="1" t="s">
        <v>824</v>
      </c>
      <c r="J1182" s="1">
        <v>1000</v>
      </c>
      <c r="K1182" s="1">
        <v>690</v>
      </c>
      <c r="L1182" s="3">
        <v>0.31</v>
      </c>
      <c r="N1182" t="s">
        <v>3763</v>
      </c>
      <c r="S1182" s="4" t="e">
        <f t="shared" si="74"/>
        <v>#NUM!</v>
      </c>
      <c r="T1182" s="4" t="str">
        <f t="shared" si="72"/>
        <v/>
      </c>
      <c r="U1182" s="4" t="s">
        <v>3763</v>
      </c>
    </row>
    <row r="1183" spans="1:21" x14ac:dyDescent="0.3">
      <c r="A1183" t="s">
        <v>1732</v>
      </c>
      <c r="B1183" s="1" t="s">
        <v>131</v>
      </c>
      <c r="C1183" s="1" t="s">
        <v>108</v>
      </c>
      <c r="D1183" s="1" t="s">
        <v>19</v>
      </c>
      <c r="E1183" s="2" t="s">
        <v>3492</v>
      </c>
      <c r="F1183" s="2" t="b">
        <f t="shared" si="75"/>
        <v>0</v>
      </c>
      <c r="G1183" s="2">
        <f t="shared" si="73"/>
        <v>42880</v>
      </c>
      <c r="H1183" s="1" t="s">
        <v>30</v>
      </c>
      <c r="I1183" s="1" t="s">
        <v>536</v>
      </c>
      <c r="J1183" s="1">
        <v>150</v>
      </c>
      <c r="K1183" s="1">
        <v>150</v>
      </c>
      <c r="L1183" s="3">
        <v>0</v>
      </c>
      <c r="N1183" t="s">
        <v>3492</v>
      </c>
      <c r="P1183">
        <v>5</v>
      </c>
      <c r="Q1183">
        <v>25</v>
      </c>
      <c r="R1183">
        <v>2017</v>
      </c>
      <c r="S1183" s="4">
        <f t="shared" si="74"/>
        <v>42880</v>
      </c>
      <c r="T1183" s="4">
        <f t="shared" si="72"/>
        <v>42880</v>
      </c>
      <c r="U1183" s="4">
        <v>42880</v>
      </c>
    </row>
    <row r="1184" spans="1:21" x14ac:dyDescent="0.3">
      <c r="A1184" t="s">
        <v>1733</v>
      </c>
      <c r="B1184" s="1" t="s">
        <v>103</v>
      </c>
      <c r="C1184" s="1" t="s">
        <v>71</v>
      </c>
      <c r="D1184" s="1" t="s">
        <v>35</v>
      </c>
      <c r="E1184" s="2">
        <v>42316</v>
      </c>
      <c r="F1184" s="2" t="b">
        <f t="shared" si="75"/>
        <v>1</v>
      </c>
      <c r="G1184" s="2">
        <f t="shared" si="73"/>
        <v>42316</v>
      </c>
      <c r="H1184" s="1" t="s">
        <v>25</v>
      </c>
      <c r="I1184" s="1" t="s">
        <v>247</v>
      </c>
      <c r="J1184" s="1">
        <v>700</v>
      </c>
      <c r="K1184" s="1">
        <v>560</v>
      </c>
      <c r="L1184" s="3">
        <v>0.2</v>
      </c>
      <c r="N1184" t="s">
        <v>3763</v>
      </c>
      <c r="S1184" s="4" t="e">
        <f t="shared" si="74"/>
        <v>#NUM!</v>
      </c>
      <c r="T1184" s="4" t="str">
        <f t="shared" si="72"/>
        <v/>
      </c>
      <c r="U1184" s="4" t="s">
        <v>3763</v>
      </c>
    </row>
    <row r="1185" spans="1:21" x14ac:dyDescent="0.3">
      <c r="A1185" t="s">
        <v>1734</v>
      </c>
      <c r="B1185" s="1" t="s">
        <v>224</v>
      </c>
      <c r="C1185" s="1" t="s">
        <v>50</v>
      </c>
      <c r="D1185" s="1" t="s">
        <v>24</v>
      </c>
      <c r="E1185" s="2" t="s">
        <v>3203</v>
      </c>
      <c r="F1185" s="2" t="b">
        <f t="shared" si="75"/>
        <v>0</v>
      </c>
      <c r="G1185" s="2">
        <f t="shared" si="73"/>
        <v>41716</v>
      </c>
      <c r="H1185" s="1" t="s">
        <v>72</v>
      </c>
      <c r="I1185" s="1" t="s">
        <v>413</v>
      </c>
      <c r="J1185" s="1">
        <v>500</v>
      </c>
      <c r="K1185" s="1">
        <v>495</v>
      </c>
      <c r="L1185" s="3">
        <v>0.01</v>
      </c>
      <c r="N1185" t="s">
        <v>3203</v>
      </c>
      <c r="P1185">
        <v>3</v>
      </c>
      <c r="Q1185">
        <v>18</v>
      </c>
      <c r="R1185">
        <v>2014</v>
      </c>
      <c r="S1185" s="4">
        <f t="shared" si="74"/>
        <v>41716</v>
      </c>
      <c r="T1185" s="4">
        <f t="shared" si="72"/>
        <v>41716</v>
      </c>
      <c r="U1185" s="4">
        <v>41716</v>
      </c>
    </row>
    <row r="1186" spans="1:21" x14ac:dyDescent="0.3">
      <c r="A1186" t="s">
        <v>1735</v>
      </c>
      <c r="B1186" s="1" t="s">
        <v>289</v>
      </c>
      <c r="C1186" s="1" t="s">
        <v>108</v>
      </c>
      <c r="D1186" s="1" t="s">
        <v>19</v>
      </c>
      <c r="E1186" s="2" t="s">
        <v>3493</v>
      </c>
      <c r="F1186" s="2" t="b">
        <f t="shared" si="75"/>
        <v>0</v>
      </c>
      <c r="G1186" s="2">
        <f t="shared" si="73"/>
        <v>42020</v>
      </c>
      <c r="H1186" s="1" t="s">
        <v>41</v>
      </c>
      <c r="I1186" s="1" t="s">
        <v>1129</v>
      </c>
      <c r="J1186" s="1">
        <v>30</v>
      </c>
      <c r="K1186" s="1">
        <v>30</v>
      </c>
      <c r="L1186" s="3">
        <v>0</v>
      </c>
      <c r="N1186" t="s">
        <v>3493</v>
      </c>
      <c r="P1186">
        <v>1</v>
      </c>
      <c r="Q1186">
        <v>16</v>
      </c>
      <c r="R1186">
        <v>2015</v>
      </c>
      <c r="S1186" s="4">
        <f t="shared" si="74"/>
        <v>42020</v>
      </c>
      <c r="T1186" s="4">
        <f t="shared" si="72"/>
        <v>42020</v>
      </c>
      <c r="U1186" s="4">
        <v>42020</v>
      </c>
    </row>
    <row r="1187" spans="1:21" x14ac:dyDescent="0.3">
      <c r="A1187" t="s">
        <v>1736</v>
      </c>
      <c r="B1187" s="1" t="s">
        <v>33</v>
      </c>
      <c r="C1187" s="1" t="s">
        <v>34</v>
      </c>
      <c r="D1187" s="1" t="s">
        <v>35</v>
      </c>
      <c r="E1187" s="2">
        <v>42016</v>
      </c>
      <c r="F1187" s="2" t="b">
        <f t="shared" si="75"/>
        <v>1</v>
      </c>
      <c r="G1187" s="2">
        <f t="shared" si="73"/>
        <v>42016</v>
      </c>
      <c r="H1187" s="1" t="s">
        <v>30</v>
      </c>
      <c r="I1187" s="1" t="s">
        <v>451</v>
      </c>
      <c r="J1187" s="1">
        <v>150</v>
      </c>
      <c r="K1187" s="1">
        <v>132</v>
      </c>
      <c r="L1187" s="3">
        <v>0.12</v>
      </c>
      <c r="N1187" t="s">
        <v>3763</v>
      </c>
      <c r="S1187" s="4" t="e">
        <f t="shared" si="74"/>
        <v>#NUM!</v>
      </c>
      <c r="T1187" s="4" t="str">
        <f t="shared" si="72"/>
        <v/>
      </c>
      <c r="U1187" s="4" t="s">
        <v>3763</v>
      </c>
    </row>
    <row r="1188" spans="1:21" x14ac:dyDescent="0.3">
      <c r="A1188" t="s">
        <v>1737</v>
      </c>
      <c r="B1188" s="1" t="s">
        <v>44</v>
      </c>
      <c r="C1188" s="1" t="s">
        <v>45</v>
      </c>
      <c r="D1188" s="1" t="s">
        <v>24</v>
      </c>
      <c r="E1188" s="2">
        <v>41985</v>
      </c>
      <c r="F1188" s="2" t="b">
        <f t="shared" si="75"/>
        <v>1</v>
      </c>
      <c r="G1188" s="2">
        <f t="shared" si="73"/>
        <v>41985</v>
      </c>
      <c r="H1188" s="1" t="s">
        <v>46</v>
      </c>
      <c r="I1188" s="1" t="s">
        <v>201</v>
      </c>
      <c r="J1188" s="1">
        <v>500</v>
      </c>
      <c r="K1188" s="1">
        <v>425</v>
      </c>
      <c r="L1188" s="3">
        <v>0.15</v>
      </c>
      <c r="N1188" t="s">
        <v>3763</v>
      </c>
      <c r="S1188" s="4" t="e">
        <f t="shared" si="74"/>
        <v>#NUM!</v>
      </c>
      <c r="T1188" s="4" t="str">
        <f t="shared" si="72"/>
        <v/>
      </c>
      <c r="U1188" s="4" t="s">
        <v>3763</v>
      </c>
    </row>
    <row r="1189" spans="1:21" x14ac:dyDescent="0.3">
      <c r="A1189" t="s">
        <v>1738</v>
      </c>
      <c r="B1189" s="1" t="s">
        <v>400</v>
      </c>
      <c r="C1189" s="1" t="s">
        <v>401</v>
      </c>
      <c r="D1189" s="1" t="s">
        <v>13</v>
      </c>
      <c r="E1189" s="2">
        <v>42898</v>
      </c>
      <c r="F1189" s="2" t="b">
        <f t="shared" si="75"/>
        <v>1</v>
      </c>
      <c r="G1189" s="2">
        <f t="shared" si="73"/>
        <v>42898</v>
      </c>
      <c r="H1189" s="1" t="s">
        <v>61</v>
      </c>
      <c r="I1189" s="1" t="s">
        <v>1739</v>
      </c>
      <c r="J1189" s="1">
        <v>1000</v>
      </c>
      <c r="K1189" s="1">
        <v>790</v>
      </c>
      <c r="L1189" s="3">
        <v>0.21</v>
      </c>
      <c r="N1189" t="s">
        <v>3763</v>
      </c>
      <c r="S1189" s="4" t="e">
        <f t="shared" si="74"/>
        <v>#NUM!</v>
      </c>
      <c r="T1189" s="4" t="str">
        <f t="shared" si="72"/>
        <v/>
      </c>
      <c r="U1189" s="4" t="s">
        <v>3763</v>
      </c>
    </row>
    <row r="1190" spans="1:21" x14ac:dyDescent="0.3">
      <c r="A1190" t="s">
        <v>1740</v>
      </c>
      <c r="B1190" s="1" t="s">
        <v>28</v>
      </c>
      <c r="C1190" s="1" t="s">
        <v>29</v>
      </c>
      <c r="D1190" s="1" t="s">
        <v>13</v>
      </c>
      <c r="E1190" s="2" t="s">
        <v>3494</v>
      </c>
      <c r="F1190" s="2" t="b">
        <f t="shared" si="75"/>
        <v>0</v>
      </c>
      <c r="G1190" s="2">
        <f t="shared" si="73"/>
        <v>42535</v>
      </c>
      <c r="H1190" s="1" t="s">
        <v>61</v>
      </c>
      <c r="I1190" s="1" t="s">
        <v>424</v>
      </c>
      <c r="J1190" s="1">
        <v>1000</v>
      </c>
      <c r="K1190" s="1">
        <v>980</v>
      </c>
      <c r="L1190" s="3">
        <v>0.02</v>
      </c>
      <c r="N1190" t="s">
        <v>3494</v>
      </c>
      <c r="P1190">
        <v>6</v>
      </c>
      <c r="Q1190">
        <v>14</v>
      </c>
      <c r="R1190">
        <v>2016</v>
      </c>
      <c r="S1190" s="4">
        <f t="shared" si="74"/>
        <v>42535</v>
      </c>
      <c r="T1190" s="4">
        <f t="shared" si="72"/>
        <v>42535</v>
      </c>
      <c r="U1190" s="4">
        <v>42535</v>
      </c>
    </row>
    <row r="1191" spans="1:21" x14ac:dyDescent="0.3">
      <c r="A1191" t="s">
        <v>1741</v>
      </c>
      <c r="B1191" s="1" t="s">
        <v>81</v>
      </c>
      <c r="C1191" s="1" t="s">
        <v>82</v>
      </c>
      <c r="D1191" s="1" t="s">
        <v>13</v>
      </c>
      <c r="E1191" s="2">
        <v>42220</v>
      </c>
      <c r="F1191" s="2" t="b">
        <f t="shared" si="75"/>
        <v>1</v>
      </c>
      <c r="G1191" s="2">
        <f t="shared" si="73"/>
        <v>42220</v>
      </c>
      <c r="H1191" s="1" t="s">
        <v>46</v>
      </c>
      <c r="I1191" s="1" t="s">
        <v>861</v>
      </c>
      <c r="J1191" s="1">
        <v>500</v>
      </c>
      <c r="K1191" s="1">
        <v>345</v>
      </c>
      <c r="L1191" s="3">
        <v>0.31</v>
      </c>
      <c r="N1191" t="s">
        <v>3763</v>
      </c>
      <c r="S1191" s="4" t="e">
        <f t="shared" si="74"/>
        <v>#NUM!</v>
      </c>
      <c r="T1191" s="4" t="str">
        <f t="shared" si="72"/>
        <v/>
      </c>
      <c r="U1191" s="4" t="s">
        <v>3763</v>
      </c>
    </row>
    <row r="1192" spans="1:21" x14ac:dyDescent="0.3">
      <c r="A1192" t="s">
        <v>1742</v>
      </c>
      <c r="B1192" s="1" t="s">
        <v>28</v>
      </c>
      <c r="C1192" s="1" t="s">
        <v>29</v>
      </c>
      <c r="D1192" s="1" t="s">
        <v>13</v>
      </c>
      <c r="E1192" s="2" t="s">
        <v>3437</v>
      </c>
      <c r="F1192" s="2" t="b">
        <f t="shared" si="75"/>
        <v>0</v>
      </c>
      <c r="G1192" s="2">
        <f t="shared" si="73"/>
        <v>42668</v>
      </c>
      <c r="H1192" s="1" t="s">
        <v>122</v>
      </c>
      <c r="I1192" s="1" t="s">
        <v>1743</v>
      </c>
      <c r="J1192" s="1">
        <v>50</v>
      </c>
      <c r="K1192" s="1">
        <v>44</v>
      </c>
      <c r="L1192" s="3">
        <v>0.12</v>
      </c>
      <c r="N1192" t="s">
        <v>3437</v>
      </c>
      <c r="P1192">
        <v>10</v>
      </c>
      <c r="Q1192">
        <v>25</v>
      </c>
      <c r="R1192">
        <v>2016</v>
      </c>
      <c r="S1192" s="4">
        <f t="shared" si="74"/>
        <v>42668</v>
      </c>
      <c r="T1192" s="4">
        <f t="shared" si="72"/>
        <v>42668</v>
      </c>
      <c r="U1192" s="4">
        <v>42668</v>
      </c>
    </row>
    <row r="1193" spans="1:21" x14ac:dyDescent="0.3">
      <c r="A1193" t="s">
        <v>1744</v>
      </c>
      <c r="B1193" s="1" t="s">
        <v>224</v>
      </c>
      <c r="C1193" s="1" t="s">
        <v>50</v>
      </c>
      <c r="D1193" s="1" t="s">
        <v>24</v>
      </c>
      <c r="E1193" s="2" t="s">
        <v>3495</v>
      </c>
      <c r="F1193" s="2" t="b">
        <f t="shared" si="75"/>
        <v>0</v>
      </c>
      <c r="G1193" s="2">
        <f t="shared" si="73"/>
        <v>43130</v>
      </c>
      <c r="H1193" s="1" t="s">
        <v>122</v>
      </c>
      <c r="I1193" s="1" t="s">
        <v>413</v>
      </c>
      <c r="J1193" s="1">
        <v>50</v>
      </c>
      <c r="K1193" s="1">
        <v>43</v>
      </c>
      <c r="L1193" s="3">
        <v>0.14000000000000001</v>
      </c>
      <c r="N1193" t="s">
        <v>3495</v>
      </c>
      <c r="P1193">
        <v>1</v>
      </c>
      <c r="Q1193">
        <v>30</v>
      </c>
      <c r="R1193">
        <v>2018</v>
      </c>
      <c r="S1193" s="4">
        <f t="shared" si="74"/>
        <v>43130</v>
      </c>
      <c r="T1193" s="4">
        <f t="shared" si="72"/>
        <v>43130</v>
      </c>
      <c r="U1193" s="4">
        <v>43130</v>
      </c>
    </row>
    <row r="1194" spans="1:21" x14ac:dyDescent="0.3">
      <c r="A1194" t="s">
        <v>1745</v>
      </c>
      <c r="B1194" s="1" t="s">
        <v>270</v>
      </c>
      <c r="C1194" s="1" t="s">
        <v>271</v>
      </c>
      <c r="D1194" s="1" t="s">
        <v>35</v>
      </c>
      <c r="E1194" s="2">
        <v>43408</v>
      </c>
      <c r="F1194" s="2" t="b">
        <f t="shared" si="75"/>
        <v>1</v>
      </c>
      <c r="G1194" s="2">
        <f t="shared" si="73"/>
        <v>43408</v>
      </c>
      <c r="H1194" s="1" t="s">
        <v>41</v>
      </c>
      <c r="I1194" s="1" t="s">
        <v>715</v>
      </c>
      <c r="J1194" s="1">
        <v>30</v>
      </c>
      <c r="K1194" s="1">
        <v>29</v>
      </c>
      <c r="L1194" s="3">
        <v>3.3300000000000003E-2</v>
      </c>
      <c r="N1194" t="s">
        <v>3763</v>
      </c>
      <c r="S1194" s="4" t="e">
        <f t="shared" si="74"/>
        <v>#NUM!</v>
      </c>
      <c r="T1194" s="4" t="str">
        <f t="shared" si="72"/>
        <v/>
      </c>
      <c r="U1194" s="4" t="s">
        <v>3763</v>
      </c>
    </row>
    <row r="1195" spans="1:21" x14ac:dyDescent="0.3">
      <c r="A1195" t="s">
        <v>1746</v>
      </c>
      <c r="B1195" s="1" t="s">
        <v>270</v>
      </c>
      <c r="C1195" s="1" t="s">
        <v>271</v>
      </c>
      <c r="D1195" s="1" t="s">
        <v>35</v>
      </c>
      <c r="E1195" s="2" t="s">
        <v>3023</v>
      </c>
      <c r="F1195" s="2" t="b">
        <f t="shared" si="75"/>
        <v>0</v>
      </c>
      <c r="G1195" s="2">
        <f t="shared" si="73"/>
        <v>42916</v>
      </c>
      <c r="H1195" s="1" t="s">
        <v>41</v>
      </c>
      <c r="I1195" s="1" t="s">
        <v>566</v>
      </c>
      <c r="J1195" s="1">
        <v>30</v>
      </c>
      <c r="K1195" s="1">
        <v>29</v>
      </c>
      <c r="L1195" s="3">
        <v>3.3300000000000003E-2</v>
      </c>
      <c r="N1195" t="s">
        <v>3023</v>
      </c>
      <c r="P1195">
        <v>6</v>
      </c>
      <c r="Q1195">
        <v>30</v>
      </c>
      <c r="R1195">
        <v>2017</v>
      </c>
      <c r="S1195" s="4">
        <f t="shared" si="74"/>
        <v>42916</v>
      </c>
      <c r="T1195" s="4">
        <f t="shared" si="72"/>
        <v>42916</v>
      </c>
      <c r="U1195" s="4">
        <v>42916</v>
      </c>
    </row>
    <row r="1196" spans="1:21" x14ac:dyDescent="0.3">
      <c r="A1196" t="s">
        <v>1747</v>
      </c>
      <c r="B1196" s="1" t="s">
        <v>289</v>
      </c>
      <c r="C1196" s="1" t="s">
        <v>108</v>
      </c>
      <c r="D1196" s="1" t="s">
        <v>19</v>
      </c>
      <c r="E1196" s="2">
        <v>42560</v>
      </c>
      <c r="F1196" s="2" t="b">
        <f t="shared" si="75"/>
        <v>1</v>
      </c>
      <c r="G1196" s="2">
        <f t="shared" si="73"/>
        <v>42560</v>
      </c>
      <c r="H1196" s="1" t="s">
        <v>25</v>
      </c>
      <c r="I1196" s="1" t="s">
        <v>290</v>
      </c>
      <c r="J1196" s="1">
        <v>700</v>
      </c>
      <c r="K1196" s="1">
        <v>700</v>
      </c>
      <c r="L1196" s="3">
        <v>0</v>
      </c>
      <c r="N1196" t="s">
        <v>3763</v>
      </c>
      <c r="S1196" s="4" t="e">
        <f t="shared" si="74"/>
        <v>#NUM!</v>
      </c>
      <c r="T1196" s="4" t="str">
        <f t="shared" si="72"/>
        <v/>
      </c>
      <c r="U1196" s="4" t="s">
        <v>3763</v>
      </c>
    </row>
    <row r="1197" spans="1:21" x14ac:dyDescent="0.3">
      <c r="A1197" t="s">
        <v>1748</v>
      </c>
      <c r="B1197" s="1" t="s">
        <v>53</v>
      </c>
      <c r="C1197" s="1" t="s">
        <v>54</v>
      </c>
      <c r="D1197" s="1" t="s">
        <v>13</v>
      </c>
      <c r="E1197" s="2">
        <v>42249</v>
      </c>
      <c r="F1197" s="2" t="b">
        <f t="shared" si="75"/>
        <v>1</v>
      </c>
      <c r="G1197" s="2">
        <f t="shared" si="73"/>
        <v>42249</v>
      </c>
      <c r="H1197" s="1" t="s">
        <v>115</v>
      </c>
      <c r="I1197" s="1" t="s">
        <v>822</v>
      </c>
      <c r="J1197" s="1">
        <v>250</v>
      </c>
      <c r="K1197" s="1">
        <v>238</v>
      </c>
      <c r="L1197" s="3">
        <v>4.8000000000000001E-2</v>
      </c>
      <c r="N1197" t="s">
        <v>3763</v>
      </c>
      <c r="S1197" s="4" t="e">
        <f t="shared" si="74"/>
        <v>#NUM!</v>
      </c>
      <c r="T1197" s="4" t="str">
        <f t="shared" si="72"/>
        <v/>
      </c>
      <c r="U1197" s="4" t="s">
        <v>3763</v>
      </c>
    </row>
    <row r="1198" spans="1:21" x14ac:dyDescent="0.3">
      <c r="A1198" t="s">
        <v>1749</v>
      </c>
      <c r="B1198" s="1" t="s">
        <v>59</v>
      </c>
      <c r="C1198" s="1" t="s">
        <v>60</v>
      </c>
      <c r="D1198" s="1" t="s">
        <v>13</v>
      </c>
      <c r="E1198" s="2" t="s">
        <v>3235</v>
      </c>
      <c r="F1198" s="2" t="b">
        <f t="shared" si="75"/>
        <v>0</v>
      </c>
      <c r="G1198" s="2">
        <f t="shared" si="73"/>
        <v>42754</v>
      </c>
      <c r="H1198" s="1" t="s">
        <v>46</v>
      </c>
      <c r="I1198" s="1" t="s">
        <v>1750</v>
      </c>
      <c r="J1198" s="1">
        <v>500</v>
      </c>
      <c r="K1198" s="1">
        <v>485</v>
      </c>
      <c r="L1198" s="3">
        <v>0.03</v>
      </c>
      <c r="N1198" t="s">
        <v>3235</v>
      </c>
      <c r="P1198">
        <v>1</v>
      </c>
      <c r="Q1198">
        <v>19</v>
      </c>
      <c r="R1198">
        <v>2017</v>
      </c>
      <c r="S1198" s="4">
        <f t="shared" si="74"/>
        <v>42754</v>
      </c>
      <c r="T1198" s="4">
        <f t="shared" si="72"/>
        <v>42754</v>
      </c>
      <c r="U1198" s="4">
        <v>42754</v>
      </c>
    </row>
    <row r="1199" spans="1:21" x14ac:dyDescent="0.3">
      <c r="A1199" t="s">
        <v>1751</v>
      </c>
      <c r="B1199" s="1" t="s">
        <v>157</v>
      </c>
      <c r="C1199" s="1" t="s">
        <v>108</v>
      </c>
      <c r="D1199" s="1" t="s">
        <v>19</v>
      </c>
      <c r="E1199" s="2" t="s">
        <v>3496</v>
      </c>
      <c r="F1199" s="2" t="b">
        <f t="shared" si="75"/>
        <v>0</v>
      </c>
      <c r="G1199" s="2">
        <f t="shared" si="73"/>
        <v>41785</v>
      </c>
      <c r="H1199" s="1" t="s">
        <v>55</v>
      </c>
      <c r="I1199" s="1" t="s">
        <v>464</v>
      </c>
      <c r="J1199" s="1">
        <v>800</v>
      </c>
      <c r="K1199" s="1">
        <v>456</v>
      </c>
      <c r="L1199" s="3">
        <v>0.43</v>
      </c>
      <c r="N1199" t="s">
        <v>3496</v>
      </c>
      <c r="P1199">
        <v>5</v>
      </c>
      <c r="Q1199">
        <v>26</v>
      </c>
      <c r="R1199">
        <v>2014</v>
      </c>
      <c r="S1199" s="4">
        <f t="shared" si="74"/>
        <v>41785</v>
      </c>
      <c r="T1199" s="4">
        <f t="shared" si="72"/>
        <v>41785</v>
      </c>
      <c r="U1199" s="4">
        <v>41785</v>
      </c>
    </row>
    <row r="1200" spans="1:21" x14ac:dyDescent="0.3">
      <c r="A1200" t="s">
        <v>1752</v>
      </c>
      <c r="B1200" s="1" t="s">
        <v>107</v>
      </c>
      <c r="C1200" s="1" t="s">
        <v>108</v>
      </c>
      <c r="D1200" s="1" t="s">
        <v>19</v>
      </c>
      <c r="E1200" s="2">
        <v>43016</v>
      </c>
      <c r="F1200" s="2" t="b">
        <f t="shared" si="75"/>
        <v>1</v>
      </c>
      <c r="G1200" s="2">
        <f t="shared" si="73"/>
        <v>43016</v>
      </c>
      <c r="H1200" s="1" t="s">
        <v>104</v>
      </c>
      <c r="I1200" s="1" t="s">
        <v>109</v>
      </c>
      <c r="J1200" s="1">
        <v>70</v>
      </c>
      <c r="K1200" s="1">
        <v>66</v>
      </c>
      <c r="L1200" s="3">
        <v>5.7099999999999998E-2</v>
      </c>
      <c r="N1200" t="s">
        <v>3763</v>
      </c>
      <c r="S1200" s="4" t="e">
        <f t="shared" si="74"/>
        <v>#NUM!</v>
      </c>
      <c r="T1200" s="4" t="str">
        <f t="shared" si="72"/>
        <v/>
      </c>
      <c r="U1200" s="4" t="s">
        <v>3763</v>
      </c>
    </row>
    <row r="1201" spans="1:21" x14ac:dyDescent="0.3">
      <c r="A1201" t="s">
        <v>1753</v>
      </c>
      <c r="B1201" s="1" t="s">
        <v>53</v>
      </c>
      <c r="C1201" s="1" t="s">
        <v>54</v>
      </c>
      <c r="D1201" s="1" t="s">
        <v>13</v>
      </c>
      <c r="E1201" s="2">
        <v>41950</v>
      </c>
      <c r="F1201" s="2" t="b">
        <f t="shared" si="75"/>
        <v>1</v>
      </c>
      <c r="G1201" s="2">
        <f t="shared" si="73"/>
        <v>41950</v>
      </c>
      <c r="H1201" s="1" t="s">
        <v>41</v>
      </c>
      <c r="I1201" s="1" t="s">
        <v>647</v>
      </c>
      <c r="J1201" s="1">
        <v>30</v>
      </c>
      <c r="K1201" s="1">
        <v>30</v>
      </c>
      <c r="L1201" s="3">
        <v>0</v>
      </c>
      <c r="N1201" t="s">
        <v>3763</v>
      </c>
      <c r="S1201" s="4" t="e">
        <f t="shared" si="74"/>
        <v>#NUM!</v>
      </c>
      <c r="T1201" s="4" t="str">
        <f t="shared" si="72"/>
        <v/>
      </c>
      <c r="U1201" s="4" t="s">
        <v>3763</v>
      </c>
    </row>
    <row r="1202" spans="1:21" x14ac:dyDescent="0.3">
      <c r="A1202" t="s">
        <v>1754</v>
      </c>
      <c r="B1202" s="1" t="s">
        <v>118</v>
      </c>
      <c r="C1202" s="1" t="s">
        <v>119</v>
      </c>
      <c r="D1202" s="1" t="s">
        <v>35</v>
      </c>
      <c r="E1202" s="2">
        <v>42715</v>
      </c>
      <c r="F1202" s="2" t="b">
        <f t="shared" si="75"/>
        <v>1</v>
      </c>
      <c r="G1202" s="2">
        <f t="shared" si="73"/>
        <v>42715</v>
      </c>
      <c r="H1202" s="1" t="s">
        <v>41</v>
      </c>
      <c r="I1202" s="1" t="s">
        <v>120</v>
      </c>
      <c r="J1202" s="1">
        <v>30</v>
      </c>
      <c r="K1202" s="1">
        <v>29</v>
      </c>
      <c r="L1202" s="3">
        <v>3.3300000000000003E-2</v>
      </c>
      <c r="N1202" t="s">
        <v>3763</v>
      </c>
      <c r="S1202" s="4" t="e">
        <f t="shared" si="74"/>
        <v>#NUM!</v>
      </c>
      <c r="T1202" s="4" t="str">
        <f t="shared" si="72"/>
        <v/>
      </c>
      <c r="U1202" s="4" t="s">
        <v>3763</v>
      </c>
    </row>
    <row r="1203" spans="1:21" x14ac:dyDescent="0.3">
      <c r="A1203" t="s">
        <v>1755</v>
      </c>
      <c r="B1203" s="1" t="s">
        <v>146</v>
      </c>
      <c r="C1203" s="1" t="s">
        <v>147</v>
      </c>
      <c r="D1203" s="1" t="s">
        <v>13</v>
      </c>
      <c r="E1203" s="2">
        <v>42042</v>
      </c>
      <c r="F1203" s="2" t="b">
        <f t="shared" si="75"/>
        <v>1</v>
      </c>
      <c r="G1203" s="2">
        <f t="shared" si="73"/>
        <v>42042</v>
      </c>
      <c r="H1203" s="1" t="s">
        <v>104</v>
      </c>
      <c r="I1203" s="1" t="s">
        <v>1647</v>
      </c>
      <c r="J1203" s="1">
        <v>70</v>
      </c>
      <c r="K1203" s="1">
        <v>62</v>
      </c>
      <c r="L1203" s="3">
        <v>0.1143</v>
      </c>
      <c r="N1203" t="s">
        <v>3763</v>
      </c>
      <c r="S1203" s="4" t="e">
        <f t="shared" si="74"/>
        <v>#NUM!</v>
      </c>
      <c r="T1203" s="4" t="str">
        <f t="shared" si="72"/>
        <v/>
      </c>
      <c r="U1203" s="4" t="s">
        <v>3763</v>
      </c>
    </row>
    <row r="1204" spans="1:21" x14ac:dyDescent="0.3">
      <c r="A1204" t="s">
        <v>1756</v>
      </c>
      <c r="B1204" s="1" t="s">
        <v>131</v>
      </c>
      <c r="C1204" s="1" t="s">
        <v>108</v>
      </c>
      <c r="D1204" s="1" t="s">
        <v>19</v>
      </c>
      <c r="E1204" s="2">
        <v>42070</v>
      </c>
      <c r="F1204" s="2" t="b">
        <f t="shared" si="75"/>
        <v>1</v>
      </c>
      <c r="G1204" s="2">
        <f t="shared" si="73"/>
        <v>42070</v>
      </c>
      <c r="H1204" s="1" t="s">
        <v>72</v>
      </c>
      <c r="I1204" s="1" t="s">
        <v>382</v>
      </c>
      <c r="J1204" s="1">
        <v>500</v>
      </c>
      <c r="K1204" s="1">
        <v>500</v>
      </c>
      <c r="L1204" s="3">
        <v>0</v>
      </c>
      <c r="N1204" t="s">
        <v>3763</v>
      </c>
      <c r="S1204" s="4" t="e">
        <f t="shared" si="74"/>
        <v>#NUM!</v>
      </c>
      <c r="T1204" s="4" t="str">
        <f t="shared" si="72"/>
        <v/>
      </c>
      <c r="U1204" s="4" t="s">
        <v>3763</v>
      </c>
    </row>
    <row r="1205" spans="1:21" x14ac:dyDescent="0.3">
      <c r="A1205" t="s">
        <v>1757</v>
      </c>
      <c r="B1205" s="1" t="s">
        <v>17</v>
      </c>
      <c r="C1205" s="1" t="s">
        <v>18</v>
      </c>
      <c r="D1205" s="1" t="s">
        <v>19</v>
      </c>
      <c r="E1205" s="2">
        <v>42376</v>
      </c>
      <c r="F1205" s="2" t="b">
        <f t="shared" si="75"/>
        <v>1</v>
      </c>
      <c r="G1205" s="2">
        <f t="shared" si="73"/>
        <v>42376</v>
      </c>
      <c r="H1205" s="1" t="s">
        <v>122</v>
      </c>
      <c r="I1205" s="1" t="s">
        <v>543</v>
      </c>
      <c r="J1205" s="1">
        <v>50</v>
      </c>
      <c r="K1205" s="1">
        <v>45</v>
      </c>
      <c r="L1205" s="3">
        <v>0.1</v>
      </c>
      <c r="N1205" t="s">
        <v>3763</v>
      </c>
      <c r="S1205" s="4" t="e">
        <f t="shared" si="74"/>
        <v>#NUM!</v>
      </c>
      <c r="T1205" s="4" t="str">
        <f t="shared" si="72"/>
        <v/>
      </c>
      <c r="U1205" s="4" t="s">
        <v>3763</v>
      </c>
    </row>
    <row r="1206" spans="1:21" x14ac:dyDescent="0.3">
      <c r="A1206" t="s">
        <v>1758</v>
      </c>
      <c r="B1206" s="1" t="s">
        <v>241</v>
      </c>
      <c r="C1206" s="1" t="s">
        <v>242</v>
      </c>
      <c r="D1206" s="1" t="s">
        <v>13</v>
      </c>
      <c r="E1206" s="2" t="s">
        <v>3016</v>
      </c>
      <c r="F1206" s="2" t="b">
        <f t="shared" si="75"/>
        <v>0</v>
      </c>
      <c r="G1206" s="2">
        <f t="shared" si="73"/>
        <v>43175</v>
      </c>
      <c r="H1206" s="1" t="s">
        <v>25</v>
      </c>
      <c r="I1206" s="1" t="s">
        <v>779</v>
      </c>
      <c r="J1206" s="1">
        <v>700</v>
      </c>
      <c r="K1206" s="1">
        <v>623</v>
      </c>
      <c r="L1206" s="3">
        <v>0.11</v>
      </c>
      <c r="N1206" t="s">
        <v>3016</v>
      </c>
      <c r="P1206">
        <v>3</v>
      </c>
      <c r="Q1206">
        <v>16</v>
      </c>
      <c r="R1206">
        <v>2018</v>
      </c>
      <c r="S1206" s="4">
        <f t="shared" si="74"/>
        <v>43175</v>
      </c>
      <c r="T1206" s="4">
        <f t="shared" si="72"/>
        <v>43175</v>
      </c>
      <c r="U1206" s="4">
        <v>43175</v>
      </c>
    </row>
    <row r="1207" spans="1:21" x14ac:dyDescent="0.3">
      <c r="A1207" t="s">
        <v>1759</v>
      </c>
      <c r="B1207" s="1" t="s">
        <v>70</v>
      </c>
      <c r="C1207" s="1" t="s">
        <v>71</v>
      </c>
      <c r="D1207" s="1" t="s">
        <v>35</v>
      </c>
      <c r="E1207" s="2" t="s">
        <v>3497</v>
      </c>
      <c r="F1207" s="2" t="b">
        <f t="shared" si="75"/>
        <v>0</v>
      </c>
      <c r="G1207" s="2">
        <f t="shared" si="73"/>
        <v>42968</v>
      </c>
      <c r="H1207" s="1" t="s">
        <v>72</v>
      </c>
      <c r="I1207" s="1" t="s">
        <v>1414</v>
      </c>
      <c r="J1207" s="1">
        <v>500</v>
      </c>
      <c r="K1207" s="1">
        <v>490</v>
      </c>
      <c r="L1207" s="3">
        <v>0.02</v>
      </c>
      <c r="N1207" t="s">
        <v>3497</v>
      </c>
      <c r="P1207">
        <v>8</v>
      </c>
      <c r="Q1207">
        <v>21</v>
      </c>
      <c r="R1207">
        <v>2017</v>
      </c>
      <c r="S1207" s="4">
        <f t="shared" si="74"/>
        <v>42968</v>
      </c>
      <c r="T1207" s="4">
        <f t="shared" si="72"/>
        <v>42968</v>
      </c>
      <c r="U1207" s="4">
        <v>42968</v>
      </c>
    </row>
    <row r="1208" spans="1:21" x14ac:dyDescent="0.3">
      <c r="A1208" t="s">
        <v>1760</v>
      </c>
      <c r="B1208" s="1" t="s">
        <v>95</v>
      </c>
      <c r="C1208" s="1" t="s">
        <v>96</v>
      </c>
      <c r="D1208" s="1" t="s">
        <v>13</v>
      </c>
      <c r="E1208" s="2" t="s">
        <v>3498</v>
      </c>
      <c r="F1208" s="2" t="b">
        <f t="shared" si="75"/>
        <v>0</v>
      </c>
      <c r="G1208" s="2">
        <f t="shared" si="73"/>
        <v>42900</v>
      </c>
      <c r="H1208" s="1" t="s">
        <v>122</v>
      </c>
      <c r="I1208" s="1" t="s">
        <v>97</v>
      </c>
      <c r="J1208" s="1">
        <v>50</v>
      </c>
      <c r="K1208" s="1">
        <v>22</v>
      </c>
      <c r="L1208" s="3">
        <v>0.56000000000000005</v>
      </c>
      <c r="N1208" t="s">
        <v>3498</v>
      </c>
      <c r="P1208">
        <v>6</v>
      </c>
      <c r="Q1208">
        <v>14</v>
      </c>
      <c r="R1208">
        <v>2017</v>
      </c>
      <c r="S1208" s="4">
        <f t="shared" si="74"/>
        <v>42900</v>
      </c>
      <c r="T1208" s="4">
        <f t="shared" si="72"/>
        <v>42900</v>
      </c>
      <c r="U1208" s="4">
        <v>42900</v>
      </c>
    </row>
    <row r="1209" spans="1:21" x14ac:dyDescent="0.3">
      <c r="A1209" t="s">
        <v>1761</v>
      </c>
      <c r="B1209" s="1" t="s">
        <v>205</v>
      </c>
      <c r="C1209" s="1" t="s">
        <v>206</v>
      </c>
      <c r="D1209" s="1" t="s">
        <v>24</v>
      </c>
      <c r="E1209" s="2">
        <v>43318</v>
      </c>
      <c r="F1209" s="2" t="b">
        <f t="shared" si="75"/>
        <v>1</v>
      </c>
      <c r="G1209" s="2">
        <f t="shared" si="73"/>
        <v>43318</v>
      </c>
      <c r="H1209" s="1" t="s">
        <v>30</v>
      </c>
      <c r="I1209" s="1" t="s">
        <v>660</v>
      </c>
      <c r="J1209" s="1">
        <v>150</v>
      </c>
      <c r="K1209" s="1">
        <v>129</v>
      </c>
      <c r="L1209" s="3">
        <v>0.14000000000000001</v>
      </c>
      <c r="N1209" t="s">
        <v>3763</v>
      </c>
      <c r="S1209" s="4" t="e">
        <f t="shared" si="74"/>
        <v>#NUM!</v>
      </c>
      <c r="T1209" s="4" t="str">
        <f t="shared" si="72"/>
        <v/>
      </c>
      <c r="U1209" s="4" t="s">
        <v>3763</v>
      </c>
    </row>
    <row r="1210" spans="1:21" x14ac:dyDescent="0.3">
      <c r="A1210" t="s">
        <v>1762</v>
      </c>
      <c r="B1210" s="1" t="s">
        <v>114</v>
      </c>
      <c r="C1210" s="1" t="s">
        <v>54</v>
      </c>
      <c r="D1210" s="1" t="s">
        <v>13</v>
      </c>
      <c r="E1210" s="2">
        <v>41767</v>
      </c>
      <c r="F1210" s="2" t="b">
        <f t="shared" si="75"/>
        <v>1</v>
      </c>
      <c r="G1210" s="2">
        <f t="shared" si="73"/>
        <v>41767</v>
      </c>
      <c r="H1210" s="1" t="s">
        <v>14</v>
      </c>
      <c r="I1210" s="1" t="s">
        <v>367</v>
      </c>
      <c r="J1210" s="1">
        <v>80</v>
      </c>
      <c r="K1210" s="1">
        <v>78</v>
      </c>
      <c r="L1210" s="3">
        <v>2.5000000000000001E-2</v>
      </c>
      <c r="N1210" t="s">
        <v>3763</v>
      </c>
      <c r="S1210" s="4" t="e">
        <f t="shared" si="74"/>
        <v>#NUM!</v>
      </c>
      <c r="T1210" s="4" t="str">
        <f t="shared" si="72"/>
        <v/>
      </c>
      <c r="U1210" s="4" t="s">
        <v>3763</v>
      </c>
    </row>
    <row r="1211" spans="1:21" x14ac:dyDescent="0.3">
      <c r="A1211" t="s">
        <v>1763</v>
      </c>
      <c r="B1211" s="1" t="s">
        <v>127</v>
      </c>
      <c r="C1211" s="1" t="s">
        <v>128</v>
      </c>
      <c r="D1211" s="1" t="s">
        <v>13</v>
      </c>
      <c r="E1211" s="2" t="s">
        <v>3499</v>
      </c>
      <c r="F1211" s="2" t="b">
        <f t="shared" si="75"/>
        <v>0</v>
      </c>
      <c r="G1211" s="2">
        <f t="shared" si="73"/>
        <v>41787</v>
      </c>
      <c r="H1211" s="1" t="s">
        <v>115</v>
      </c>
      <c r="I1211" s="1" t="s">
        <v>129</v>
      </c>
      <c r="J1211" s="1">
        <v>250</v>
      </c>
      <c r="K1211" s="1">
        <v>208</v>
      </c>
      <c r="L1211" s="3">
        <v>0.16800000000000001</v>
      </c>
      <c r="N1211" t="s">
        <v>3499</v>
      </c>
      <c r="P1211">
        <v>5</v>
      </c>
      <c r="Q1211">
        <v>28</v>
      </c>
      <c r="R1211">
        <v>2014</v>
      </c>
      <c r="S1211" s="4">
        <f t="shared" si="74"/>
        <v>41787</v>
      </c>
      <c r="T1211" s="4">
        <f t="shared" si="72"/>
        <v>41787</v>
      </c>
      <c r="U1211" s="4">
        <v>41787</v>
      </c>
    </row>
    <row r="1212" spans="1:21" x14ac:dyDescent="0.3">
      <c r="A1212" t="s">
        <v>1764</v>
      </c>
      <c r="B1212" s="1" t="s">
        <v>99</v>
      </c>
      <c r="C1212" s="1" t="s">
        <v>100</v>
      </c>
      <c r="D1212" s="1" t="s">
        <v>13</v>
      </c>
      <c r="E1212" s="2" t="s">
        <v>3500</v>
      </c>
      <c r="F1212" s="2" t="b">
        <f t="shared" si="75"/>
        <v>0</v>
      </c>
      <c r="G1212" s="2">
        <f t="shared" si="73"/>
        <v>42147</v>
      </c>
      <c r="H1212" s="1" t="s">
        <v>122</v>
      </c>
      <c r="I1212" s="1" t="s">
        <v>752</v>
      </c>
      <c r="J1212" s="1">
        <v>50</v>
      </c>
      <c r="K1212" s="1">
        <v>37</v>
      </c>
      <c r="L1212" s="3">
        <v>0.26</v>
      </c>
      <c r="N1212" t="s">
        <v>3500</v>
      </c>
      <c r="P1212">
        <v>5</v>
      </c>
      <c r="Q1212">
        <v>23</v>
      </c>
      <c r="R1212">
        <v>2015</v>
      </c>
      <c r="S1212" s="4">
        <f t="shared" si="74"/>
        <v>42147</v>
      </c>
      <c r="T1212" s="4">
        <f t="shared" si="72"/>
        <v>42147</v>
      </c>
      <c r="U1212" s="4">
        <v>42147</v>
      </c>
    </row>
    <row r="1213" spans="1:21" x14ac:dyDescent="0.3">
      <c r="A1213" t="s">
        <v>1765</v>
      </c>
      <c r="B1213" s="1" t="s">
        <v>434</v>
      </c>
      <c r="C1213" s="1" t="s">
        <v>435</v>
      </c>
      <c r="D1213" s="1" t="s">
        <v>24</v>
      </c>
      <c r="E1213" s="2">
        <v>42005</v>
      </c>
      <c r="F1213" s="2" t="b">
        <f t="shared" si="75"/>
        <v>1</v>
      </c>
      <c r="G1213" s="2">
        <f t="shared" si="73"/>
        <v>42005</v>
      </c>
      <c r="H1213" s="1" t="s">
        <v>30</v>
      </c>
      <c r="I1213" s="1" t="s">
        <v>550</v>
      </c>
      <c r="J1213" s="1">
        <v>150</v>
      </c>
      <c r="K1213" s="1">
        <v>143</v>
      </c>
      <c r="L1213" s="3">
        <v>4.6699999999999998E-2</v>
      </c>
      <c r="N1213" t="s">
        <v>3763</v>
      </c>
      <c r="S1213" s="4" t="e">
        <f t="shared" si="74"/>
        <v>#NUM!</v>
      </c>
      <c r="T1213" s="4" t="str">
        <f t="shared" si="72"/>
        <v/>
      </c>
      <c r="U1213" s="4" t="s">
        <v>3763</v>
      </c>
    </row>
    <row r="1214" spans="1:21" x14ac:dyDescent="0.3">
      <c r="A1214" t="s">
        <v>1766</v>
      </c>
      <c r="B1214" s="1" t="s">
        <v>17</v>
      </c>
      <c r="C1214" s="1" t="s">
        <v>18</v>
      </c>
      <c r="D1214" s="1" t="s">
        <v>19</v>
      </c>
      <c r="E1214" s="2" t="s">
        <v>3273</v>
      </c>
      <c r="F1214" s="2" t="b">
        <f t="shared" si="75"/>
        <v>0</v>
      </c>
      <c r="G1214" s="2">
        <f t="shared" si="73"/>
        <v>42869</v>
      </c>
      <c r="H1214" s="1" t="s">
        <v>122</v>
      </c>
      <c r="I1214" s="1" t="s">
        <v>776</v>
      </c>
      <c r="J1214" s="1">
        <v>50</v>
      </c>
      <c r="K1214" s="1">
        <v>46</v>
      </c>
      <c r="L1214" s="3">
        <v>0.08</v>
      </c>
      <c r="N1214" t="s">
        <v>3273</v>
      </c>
      <c r="P1214">
        <v>5</v>
      </c>
      <c r="Q1214">
        <v>14</v>
      </c>
      <c r="R1214">
        <v>2017</v>
      </c>
      <c r="S1214" s="4">
        <f t="shared" si="74"/>
        <v>42869</v>
      </c>
      <c r="T1214" s="4">
        <f t="shared" si="72"/>
        <v>42869</v>
      </c>
      <c r="U1214" s="4">
        <v>42869</v>
      </c>
    </row>
    <row r="1215" spans="1:21" x14ac:dyDescent="0.3">
      <c r="A1215" t="s">
        <v>1767</v>
      </c>
      <c r="B1215" s="1" t="s">
        <v>205</v>
      </c>
      <c r="C1215" s="1" t="s">
        <v>206</v>
      </c>
      <c r="D1215" s="1" t="s">
        <v>24</v>
      </c>
      <c r="E1215" s="2" t="s">
        <v>3299</v>
      </c>
      <c r="F1215" s="2" t="b">
        <f t="shared" si="75"/>
        <v>0</v>
      </c>
      <c r="G1215" s="2">
        <f t="shared" si="73"/>
        <v>42301</v>
      </c>
      <c r="H1215" s="1" t="s">
        <v>41</v>
      </c>
      <c r="I1215" s="1" t="s">
        <v>681</v>
      </c>
      <c r="J1215" s="1">
        <v>30</v>
      </c>
      <c r="K1215" s="1">
        <v>29</v>
      </c>
      <c r="L1215" s="3">
        <v>3.3300000000000003E-2</v>
      </c>
      <c r="N1215" t="s">
        <v>3299</v>
      </c>
      <c r="P1215">
        <v>10</v>
      </c>
      <c r="Q1215">
        <v>24</v>
      </c>
      <c r="R1215">
        <v>2015</v>
      </c>
      <c r="S1215" s="4">
        <f t="shared" si="74"/>
        <v>42301</v>
      </c>
      <c r="T1215" s="4">
        <f t="shared" si="72"/>
        <v>42301</v>
      </c>
      <c r="U1215" s="4">
        <v>42301</v>
      </c>
    </row>
    <row r="1216" spans="1:21" x14ac:dyDescent="0.3">
      <c r="A1216" t="s">
        <v>1768</v>
      </c>
      <c r="B1216" s="1" t="s">
        <v>270</v>
      </c>
      <c r="C1216" s="1" t="s">
        <v>271</v>
      </c>
      <c r="D1216" s="1" t="s">
        <v>35</v>
      </c>
      <c r="E1216" s="2" t="s">
        <v>2998</v>
      </c>
      <c r="F1216" s="2" t="b">
        <f t="shared" si="75"/>
        <v>0</v>
      </c>
      <c r="G1216" s="2">
        <f t="shared" si="73"/>
        <v>43342</v>
      </c>
      <c r="H1216" s="1" t="s">
        <v>122</v>
      </c>
      <c r="I1216" s="1" t="s">
        <v>809</v>
      </c>
      <c r="J1216" s="1">
        <v>50</v>
      </c>
      <c r="K1216" s="1">
        <v>44</v>
      </c>
      <c r="L1216" s="3">
        <v>0.12</v>
      </c>
      <c r="N1216" t="s">
        <v>2998</v>
      </c>
      <c r="P1216">
        <v>8</v>
      </c>
      <c r="Q1216">
        <v>30</v>
      </c>
      <c r="R1216">
        <v>2018</v>
      </c>
      <c r="S1216" s="4">
        <f t="shared" si="74"/>
        <v>43342</v>
      </c>
      <c r="T1216" s="4">
        <f t="shared" si="72"/>
        <v>43342</v>
      </c>
      <c r="U1216" s="4">
        <v>43342</v>
      </c>
    </row>
    <row r="1217" spans="1:21" x14ac:dyDescent="0.3">
      <c r="A1217" t="s">
        <v>1769</v>
      </c>
      <c r="B1217" s="1" t="s">
        <v>85</v>
      </c>
      <c r="C1217" s="1" t="s">
        <v>86</v>
      </c>
      <c r="D1217" s="1" t="s">
        <v>13</v>
      </c>
      <c r="E1217" s="2">
        <v>43078</v>
      </c>
      <c r="F1217" s="2" t="b">
        <f t="shared" si="75"/>
        <v>1</v>
      </c>
      <c r="G1217" s="2">
        <f t="shared" si="73"/>
        <v>43078</v>
      </c>
      <c r="H1217" s="1" t="s">
        <v>41</v>
      </c>
      <c r="I1217" s="1" t="s">
        <v>628</v>
      </c>
      <c r="J1217" s="1">
        <v>30</v>
      </c>
      <c r="K1217" s="1">
        <v>29</v>
      </c>
      <c r="L1217" s="3">
        <v>3.3300000000000003E-2</v>
      </c>
      <c r="N1217" t="s">
        <v>3763</v>
      </c>
      <c r="S1217" s="4" t="e">
        <f t="shared" si="74"/>
        <v>#NUM!</v>
      </c>
      <c r="T1217" s="4" t="str">
        <f t="shared" si="72"/>
        <v/>
      </c>
      <c r="U1217" s="4" t="s">
        <v>3763</v>
      </c>
    </row>
    <row r="1218" spans="1:21" x14ac:dyDescent="0.3">
      <c r="A1218" t="s">
        <v>1770</v>
      </c>
      <c r="B1218" s="1" t="s">
        <v>146</v>
      </c>
      <c r="C1218" s="1" t="s">
        <v>147</v>
      </c>
      <c r="D1218" s="1" t="s">
        <v>13</v>
      </c>
      <c r="E1218" s="2">
        <v>41916</v>
      </c>
      <c r="F1218" s="2" t="b">
        <f t="shared" si="75"/>
        <v>1</v>
      </c>
      <c r="G1218" s="2">
        <f t="shared" si="73"/>
        <v>41916</v>
      </c>
      <c r="H1218" s="1" t="s">
        <v>55</v>
      </c>
      <c r="I1218" s="1" t="s">
        <v>358</v>
      </c>
      <c r="J1218" s="1">
        <v>800</v>
      </c>
      <c r="K1218" s="1">
        <v>720</v>
      </c>
      <c r="L1218" s="3">
        <v>0.1</v>
      </c>
      <c r="N1218" t="s">
        <v>3763</v>
      </c>
      <c r="S1218" s="4" t="e">
        <f t="shared" si="74"/>
        <v>#NUM!</v>
      </c>
      <c r="T1218" s="4" t="str">
        <f t="shared" si="72"/>
        <v/>
      </c>
      <c r="U1218" s="4" t="s">
        <v>3763</v>
      </c>
    </row>
    <row r="1219" spans="1:21" x14ac:dyDescent="0.3">
      <c r="A1219" t="s">
        <v>1771</v>
      </c>
      <c r="B1219" s="1" t="s">
        <v>205</v>
      </c>
      <c r="C1219" s="1" t="s">
        <v>206</v>
      </c>
      <c r="D1219" s="1" t="s">
        <v>24</v>
      </c>
      <c r="E1219" s="2">
        <v>41917</v>
      </c>
      <c r="F1219" s="2" t="b">
        <f t="shared" si="75"/>
        <v>1</v>
      </c>
      <c r="G1219" s="2">
        <f t="shared" si="73"/>
        <v>41917</v>
      </c>
      <c r="H1219" s="1" t="s">
        <v>46</v>
      </c>
      <c r="I1219" s="1" t="s">
        <v>1772</v>
      </c>
      <c r="J1219" s="1">
        <v>500</v>
      </c>
      <c r="K1219" s="1">
        <v>430</v>
      </c>
      <c r="L1219" s="3">
        <v>0.14000000000000001</v>
      </c>
      <c r="N1219" t="s">
        <v>3763</v>
      </c>
      <c r="S1219" s="4" t="e">
        <f t="shared" si="74"/>
        <v>#NUM!</v>
      </c>
      <c r="T1219" s="4" t="str">
        <f t="shared" ref="T1219:T1282" si="76">IF(AND(P1219&lt;&gt;"",Q1219&lt;&gt;"",R1219&lt;&gt;""),IFERROR(DATE(R1219,P1219,Q1219),""),"")</f>
        <v/>
      </c>
      <c r="U1219" s="4" t="s">
        <v>3763</v>
      </c>
    </row>
    <row r="1220" spans="1:21" x14ac:dyDescent="0.3">
      <c r="A1220" t="s">
        <v>1773</v>
      </c>
      <c r="B1220" s="1" t="s">
        <v>241</v>
      </c>
      <c r="C1220" s="1" t="s">
        <v>242</v>
      </c>
      <c r="D1220" s="1" t="s">
        <v>13</v>
      </c>
      <c r="E1220" s="2">
        <v>42829</v>
      </c>
      <c r="F1220" s="2" t="b">
        <f t="shared" si="75"/>
        <v>1</v>
      </c>
      <c r="G1220" s="2">
        <f t="shared" ref="G1220:G1283" si="77">IF(F1220=TRUE,E1220,U1220)</f>
        <v>42829</v>
      </c>
      <c r="H1220" s="1" t="s">
        <v>41</v>
      </c>
      <c r="I1220" s="1" t="s">
        <v>243</v>
      </c>
      <c r="J1220" s="1">
        <v>30</v>
      </c>
      <c r="K1220" s="1">
        <v>29</v>
      </c>
      <c r="L1220" s="3">
        <v>3.3300000000000003E-2</v>
      </c>
      <c r="N1220" t="s">
        <v>3763</v>
      </c>
      <c r="S1220" s="4" t="e">
        <f t="shared" ref="S1220:S1283" si="78">DATE(R1220,P1220,Q1220)</f>
        <v>#NUM!</v>
      </c>
      <c r="T1220" s="4" t="str">
        <f t="shared" si="76"/>
        <v/>
      </c>
      <c r="U1220" s="4" t="s">
        <v>3763</v>
      </c>
    </row>
    <row r="1221" spans="1:21" x14ac:dyDescent="0.3">
      <c r="A1221" t="s">
        <v>1774</v>
      </c>
      <c r="B1221" s="1" t="s">
        <v>170</v>
      </c>
      <c r="C1221" s="1" t="s">
        <v>171</v>
      </c>
      <c r="D1221" s="1" t="s">
        <v>13</v>
      </c>
      <c r="E1221" s="2" t="s">
        <v>3061</v>
      </c>
      <c r="F1221" s="2" t="b">
        <f t="shared" ref="F1221:F1284" si="79">ISNUMBER(E1221)</f>
        <v>0</v>
      </c>
      <c r="G1221" s="2">
        <f t="shared" si="77"/>
        <v>41665</v>
      </c>
      <c r="H1221" s="1" t="s">
        <v>104</v>
      </c>
      <c r="I1221" s="1" t="s">
        <v>518</v>
      </c>
      <c r="J1221" s="1">
        <v>70</v>
      </c>
      <c r="K1221" s="1">
        <v>53</v>
      </c>
      <c r="L1221" s="3">
        <v>0.2429</v>
      </c>
      <c r="N1221" t="s">
        <v>3061</v>
      </c>
      <c r="P1221">
        <v>1</v>
      </c>
      <c r="Q1221">
        <v>26</v>
      </c>
      <c r="R1221">
        <v>2014</v>
      </c>
      <c r="S1221" s="4">
        <f t="shared" si="78"/>
        <v>41665</v>
      </c>
      <c r="T1221" s="4">
        <f t="shared" si="76"/>
        <v>41665</v>
      </c>
      <c r="U1221" s="4">
        <v>41665</v>
      </c>
    </row>
    <row r="1222" spans="1:21" x14ac:dyDescent="0.3">
      <c r="A1222" t="s">
        <v>1775</v>
      </c>
      <c r="B1222" s="1" t="s">
        <v>107</v>
      </c>
      <c r="C1222" s="1" t="s">
        <v>108</v>
      </c>
      <c r="D1222" s="1" t="s">
        <v>19</v>
      </c>
      <c r="E1222" s="2">
        <v>41739</v>
      </c>
      <c r="F1222" s="2" t="b">
        <f t="shared" si="79"/>
        <v>1</v>
      </c>
      <c r="G1222" s="2">
        <f t="shared" si="77"/>
        <v>41739</v>
      </c>
      <c r="H1222" s="1" t="s">
        <v>122</v>
      </c>
      <c r="I1222" s="1" t="s">
        <v>946</v>
      </c>
      <c r="J1222" s="1">
        <v>50</v>
      </c>
      <c r="K1222" s="1">
        <v>41</v>
      </c>
      <c r="L1222" s="3">
        <v>0.18</v>
      </c>
      <c r="N1222" t="s">
        <v>3763</v>
      </c>
      <c r="S1222" s="4" t="e">
        <f t="shared" si="78"/>
        <v>#NUM!</v>
      </c>
      <c r="T1222" s="4" t="str">
        <f t="shared" si="76"/>
        <v/>
      </c>
      <c r="U1222" s="4" t="s">
        <v>3763</v>
      </c>
    </row>
    <row r="1223" spans="1:21" x14ac:dyDescent="0.3">
      <c r="A1223" t="s">
        <v>1776</v>
      </c>
      <c r="B1223" s="1" t="s">
        <v>289</v>
      </c>
      <c r="C1223" s="1" t="s">
        <v>108</v>
      </c>
      <c r="D1223" s="1" t="s">
        <v>19</v>
      </c>
      <c r="E1223" s="2" t="s">
        <v>3164</v>
      </c>
      <c r="F1223" s="2" t="b">
        <f t="shared" si="79"/>
        <v>0</v>
      </c>
      <c r="G1223" s="2">
        <f t="shared" si="77"/>
        <v>42671</v>
      </c>
      <c r="H1223" s="1" t="s">
        <v>55</v>
      </c>
      <c r="I1223" s="1" t="s">
        <v>972</v>
      </c>
      <c r="J1223" s="1">
        <v>800</v>
      </c>
      <c r="K1223" s="1">
        <v>600</v>
      </c>
      <c r="L1223" s="3">
        <v>0.25</v>
      </c>
      <c r="N1223" t="s">
        <v>3164</v>
      </c>
      <c r="P1223">
        <v>10</v>
      </c>
      <c r="Q1223">
        <v>28</v>
      </c>
      <c r="R1223">
        <v>2016</v>
      </c>
      <c r="S1223" s="4">
        <f t="shared" si="78"/>
        <v>42671</v>
      </c>
      <c r="T1223" s="4">
        <f t="shared" si="76"/>
        <v>42671</v>
      </c>
      <c r="U1223" s="4">
        <v>42671</v>
      </c>
    </row>
    <row r="1224" spans="1:21" x14ac:dyDescent="0.3">
      <c r="A1224" t="s">
        <v>1777</v>
      </c>
      <c r="B1224" s="1" t="s">
        <v>59</v>
      </c>
      <c r="C1224" s="1" t="s">
        <v>60</v>
      </c>
      <c r="D1224" s="1" t="s">
        <v>13</v>
      </c>
      <c r="E1224" s="2">
        <v>42622</v>
      </c>
      <c r="F1224" s="2" t="b">
        <f t="shared" si="79"/>
        <v>1</v>
      </c>
      <c r="G1224" s="2">
        <f t="shared" si="77"/>
        <v>42622</v>
      </c>
      <c r="H1224" s="1" t="s">
        <v>30</v>
      </c>
      <c r="I1224" s="1" t="s">
        <v>1778</v>
      </c>
      <c r="J1224" s="1">
        <v>150</v>
      </c>
      <c r="K1224" s="1">
        <v>143</v>
      </c>
      <c r="L1224" s="3">
        <v>4.6699999999999998E-2</v>
      </c>
      <c r="N1224" t="s">
        <v>3763</v>
      </c>
      <c r="S1224" s="4" t="e">
        <f t="shared" si="78"/>
        <v>#NUM!</v>
      </c>
      <c r="T1224" s="4" t="str">
        <f t="shared" si="76"/>
        <v/>
      </c>
      <c r="U1224" s="4" t="s">
        <v>3763</v>
      </c>
    </row>
    <row r="1225" spans="1:21" x14ac:dyDescent="0.3">
      <c r="A1225" t="s">
        <v>1779</v>
      </c>
      <c r="B1225" s="1" t="s">
        <v>134</v>
      </c>
      <c r="C1225" s="1" t="s">
        <v>92</v>
      </c>
      <c r="D1225" s="1" t="s">
        <v>35</v>
      </c>
      <c r="E1225" s="2" t="s">
        <v>3501</v>
      </c>
      <c r="F1225" s="2" t="b">
        <f t="shared" si="79"/>
        <v>0</v>
      </c>
      <c r="G1225" s="2">
        <f t="shared" si="77"/>
        <v>42941</v>
      </c>
      <c r="H1225" s="1" t="s">
        <v>46</v>
      </c>
      <c r="I1225" s="1" t="s">
        <v>849</v>
      </c>
      <c r="J1225" s="1">
        <v>500</v>
      </c>
      <c r="K1225" s="1">
        <v>480</v>
      </c>
      <c r="L1225" s="3">
        <v>0.04</v>
      </c>
      <c r="N1225" t="s">
        <v>3501</v>
      </c>
      <c r="P1225">
        <v>7</v>
      </c>
      <c r="Q1225">
        <v>25</v>
      </c>
      <c r="R1225">
        <v>2017</v>
      </c>
      <c r="S1225" s="4">
        <f t="shared" si="78"/>
        <v>42941</v>
      </c>
      <c r="T1225" s="4">
        <f t="shared" si="76"/>
        <v>42941</v>
      </c>
      <c r="U1225" s="4">
        <v>42941</v>
      </c>
    </row>
    <row r="1226" spans="1:21" x14ac:dyDescent="0.3">
      <c r="A1226" t="s">
        <v>1780</v>
      </c>
      <c r="B1226" s="1" t="s">
        <v>114</v>
      </c>
      <c r="C1226" s="1" t="s">
        <v>54</v>
      </c>
      <c r="D1226" s="1" t="s">
        <v>13</v>
      </c>
      <c r="E1226" s="2" t="s">
        <v>3502</v>
      </c>
      <c r="F1226" s="2" t="b">
        <f t="shared" si="79"/>
        <v>0</v>
      </c>
      <c r="G1226" s="2">
        <f t="shared" si="77"/>
        <v>43234</v>
      </c>
      <c r="H1226" s="1" t="s">
        <v>72</v>
      </c>
      <c r="I1226" s="1" t="s">
        <v>1068</v>
      </c>
      <c r="J1226" s="1">
        <v>500</v>
      </c>
      <c r="K1226" s="1">
        <v>495</v>
      </c>
      <c r="L1226" s="3">
        <v>0.01</v>
      </c>
      <c r="N1226" t="s">
        <v>3502</v>
      </c>
      <c r="P1226">
        <v>5</v>
      </c>
      <c r="Q1226">
        <v>14</v>
      </c>
      <c r="R1226">
        <v>2018</v>
      </c>
      <c r="S1226" s="4">
        <f t="shared" si="78"/>
        <v>43234</v>
      </c>
      <c r="T1226" s="4">
        <f t="shared" si="76"/>
        <v>43234</v>
      </c>
      <c r="U1226" s="4">
        <v>43234</v>
      </c>
    </row>
    <row r="1227" spans="1:21" x14ac:dyDescent="0.3">
      <c r="A1227" t="s">
        <v>1781</v>
      </c>
      <c r="B1227" s="1" t="s">
        <v>324</v>
      </c>
      <c r="C1227" s="1" t="s">
        <v>325</v>
      </c>
      <c r="D1227" s="1" t="s">
        <v>13</v>
      </c>
      <c r="E1227" s="2" t="s">
        <v>3159</v>
      </c>
      <c r="F1227" s="2" t="b">
        <f t="shared" si="79"/>
        <v>0</v>
      </c>
      <c r="G1227" s="2">
        <f t="shared" si="77"/>
        <v>41817</v>
      </c>
      <c r="H1227" s="1" t="s">
        <v>30</v>
      </c>
      <c r="I1227" s="1" t="s">
        <v>1247</v>
      </c>
      <c r="J1227" s="1">
        <v>150</v>
      </c>
      <c r="K1227" s="1">
        <v>147</v>
      </c>
      <c r="L1227" s="3">
        <v>0.02</v>
      </c>
      <c r="N1227" t="s">
        <v>3159</v>
      </c>
      <c r="P1227">
        <v>6</v>
      </c>
      <c r="Q1227">
        <v>27</v>
      </c>
      <c r="R1227">
        <v>2014</v>
      </c>
      <c r="S1227" s="4">
        <f t="shared" si="78"/>
        <v>41817</v>
      </c>
      <c r="T1227" s="4">
        <f t="shared" si="76"/>
        <v>41817</v>
      </c>
      <c r="U1227" s="4">
        <v>41817</v>
      </c>
    </row>
    <row r="1228" spans="1:21" x14ac:dyDescent="0.3">
      <c r="A1228" t="s">
        <v>1782</v>
      </c>
      <c r="B1228" s="1" t="s">
        <v>127</v>
      </c>
      <c r="C1228" s="1" t="s">
        <v>128</v>
      </c>
      <c r="D1228" s="1" t="s">
        <v>13</v>
      </c>
      <c r="E1228" s="2">
        <v>42686</v>
      </c>
      <c r="F1228" s="2" t="b">
        <f t="shared" si="79"/>
        <v>1</v>
      </c>
      <c r="G1228" s="2">
        <f t="shared" si="77"/>
        <v>42686</v>
      </c>
      <c r="H1228" s="1" t="s">
        <v>122</v>
      </c>
      <c r="I1228" s="1" t="s">
        <v>920</v>
      </c>
      <c r="J1228" s="1">
        <v>50</v>
      </c>
      <c r="K1228" s="1">
        <v>49</v>
      </c>
      <c r="L1228" s="3">
        <v>0.02</v>
      </c>
      <c r="N1228" t="s">
        <v>3763</v>
      </c>
      <c r="S1228" s="4" t="e">
        <f t="shared" si="78"/>
        <v>#NUM!</v>
      </c>
      <c r="T1228" s="4" t="str">
        <f t="shared" si="76"/>
        <v/>
      </c>
      <c r="U1228" s="4" t="s">
        <v>3763</v>
      </c>
    </row>
    <row r="1229" spans="1:21" x14ac:dyDescent="0.3">
      <c r="A1229" t="s">
        <v>1783</v>
      </c>
      <c r="B1229" s="1" t="s">
        <v>170</v>
      </c>
      <c r="C1229" s="1" t="s">
        <v>171</v>
      </c>
      <c r="D1229" s="1" t="s">
        <v>13</v>
      </c>
      <c r="E1229" s="2" t="s">
        <v>3305</v>
      </c>
      <c r="F1229" s="2" t="b">
        <f t="shared" si="79"/>
        <v>0</v>
      </c>
      <c r="G1229" s="2">
        <f t="shared" si="77"/>
        <v>42656</v>
      </c>
      <c r="H1229" s="1" t="s">
        <v>14</v>
      </c>
      <c r="I1229" s="1" t="s">
        <v>274</v>
      </c>
      <c r="J1229" s="1">
        <v>80</v>
      </c>
      <c r="K1229" s="1">
        <v>69</v>
      </c>
      <c r="L1229" s="3">
        <v>0.13750000000000001</v>
      </c>
      <c r="N1229" t="s">
        <v>3305</v>
      </c>
      <c r="P1229">
        <v>10</v>
      </c>
      <c r="Q1229">
        <v>13</v>
      </c>
      <c r="R1229">
        <v>2016</v>
      </c>
      <c r="S1229" s="4">
        <f t="shared" si="78"/>
        <v>42656</v>
      </c>
      <c r="T1229" s="4">
        <f t="shared" si="76"/>
        <v>42656</v>
      </c>
      <c r="U1229" s="4">
        <v>42656</v>
      </c>
    </row>
    <row r="1230" spans="1:21" x14ac:dyDescent="0.3">
      <c r="A1230" t="s">
        <v>1784</v>
      </c>
      <c r="B1230" s="1" t="s">
        <v>85</v>
      </c>
      <c r="C1230" s="1" t="s">
        <v>86</v>
      </c>
      <c r="D1230" s="1" t="s">
        <v>13</v>
      </c>
      <c r="E1230" s="2" t="s">
        <v>3503</v>
      </c>
      <c r="F1230" s="2" t="b">
        <f t="shared" si="79"/>
        <v>0</v>
      </c>
      <c r="G1230" s="2">
        <f t="shared" si="77"/>
        <v>42428</v>
      </c>
      <c r="H1230" s="1" t="s">
        <v>41</v>
      </c>
      <c r="I1230" s="1" t="s">
        <v>1249</v>
      </c>
      <c r="J1230" s="1">
        <v>30</v>
      </c>
      <c r="K1230" s="1">
        <v>26</v>
      </c>
      <c r="L1230" s="3">
        <v>0.1333</v>
      </c>
      <c r="N1230" t="s">
        <v>3503</v>
      </c>
      <c r="P1230">
        <v>2</v>
      </c>
      <c r="Q1230">
        <v>28</v>
      </c>
      <c r="R1230">
        <v>2016</v>
      </c>
      <c r="S1230" s="4">
        <f t="shared" si="78"/>
        <v>42428</v>
      </c>
      <c r="T1230" s="4">
        <f t="shared" si="76"/>
        <v>42428</v>
      </c>
      <c r="U1230" s="4">
        <v>42428</v>
      </c>
    </row>
    <row r="1231" spans="1:21" x14ac:dyDescent="0.3">
      <c r="A1231" t="s">
        <v>1785</v>
      </c>
      <c r="B1231" s="1" t="s">
        <v>146</v>
      </c>
      <c r="C1231" s="1" t="s">
        <v>147</v>
      </c>
      <c r="D1231" s="1" t="s">
        <v>13</v>
      </c>
      <c r="E1231" s="2" t="s">
        <v>3392</v>
      </c>
      <c r="F1231" s="2" t="b">
        <f t="shared" si="79"/>
        <v>0</v>
      </c>
      <c r="G1231" s="2">
        <f t="shared" si="77"/>
        <v>42393</v>
      </c>
      <c r="H1231" s="1" t="s">
        <v>55</v>
      </c>
      <c r="I1231" s="1" t="s">
        <v>1006</v>
      </c>
      <c r="J1231" s="1">
        <v>800</v>
      </c>
      <c r="K1231" s="1">
        <v>592</v>
      </c>
      <c r="L1231" s="3">
        <v>0.26</v>
      </c>
      <c r="N1231" t="s">
        <v>3392</v>
      </c>
      <c r="P1231">
        <v>1</v>
      </c>
      <c r="Q1231">
        <v>24</v>
      </c>
      <c r="R1231">
        <v>2016</v>
      </c>
      <c r="S1231" s="4">
        <f t="shared" si="78"/>
        <v>42393</v>
      </c>
      <c r="T1231" s="4">
        <f t="shared" si="76"/>
        <v>42393</v>
      </c>
      <c r="U1231" s="4">
        <v>42393</v>
      </c>
    </row>
    <row r="1232" spans="1:21" x14ac:dyDescent="0.3">
      <c r="A1232" t="s">
        <v>1786</v>
      </c>
      <c r="B1232" s="1" t="s">
        <v>39</v>
      </c>
      <c r="C1232" s="1" t="s">
        <v>40</v>
      </c>
      <c r="D1232" s="1" t="s">
        <v>35</v>
      </c>
      <c r="E1232" s="2">
        <v>41644</v>
      </c>
      <c r="F1232" s="2" t="b">
        <f t="shared" si="79"/>
        <v>1</v>
      </c>
      <c r="G1232" s="2">
        <f t="shared" si="77"/>
        <v>41644</v>
      </c>
      <c r="H1232" s="1" t="s">
        <v>25</v>
      </c>
      <c r="I1232" s="1" t="s">
        <v>1631</v>
      </c>
      <c r="J1232" s="1">
        <v>700</v>
      </c>
      <c r="K1232" s="1">
        <v>560</v>
      </c>
      <c r="L1232" s="3">
        <v>0.2</v>
      </c>
      <c r="N1232" t="s">
        <v>3763</v>
      </c>
      <c r="S1232" s="4" t="e">
        <f t="shared" si="78"/>
        <v>#NUM!</v>
      </c>
      <c r="T1232" s="4" t="str">
        <f t="shared" si="76"/>
        <v/>
      </c>
      <c r="U1232" s="4" t="s">
        <v>3763</v>
      </c>
    </row>
    <row r="1233" spans="1:21" x14ac:dyDescent="0.3">
      <c r="A1233" t="s">
        <v>1787</v>
      </c>
      <c r="B1233" s="1" t="s">
        <v>205</v>
      </c>
      <c r="C1233" s="1" t="s">
        <v>206</v>
      </c>
      <c r="D1233" s="1" t="s">
        <v>24</v>
      </c>
      <c r="E1233" s="2" t="s">
        <v>3504</v>
      </c>
      <c r="F1233" s="2" t="b">
        <f t="shared" si="79"/>
        <v>0</v>
      </c>
      <c r="G1233" s="2">
        <f t="shared" si="77"/>
        <v>43368</v>
      </c>
      <c r="H1233" s="1" t="s">
        <v>122</v>
      </c>
      <c r="I1233" s="1" t="s">
        <v>1478</v>
      </c>
      <c r="J1233" s="1">
        <v>50</v>
      </c>
      <c r="K1233" s="1">
        <v>45</v>
      </c>
      <c r="L1233" s="3">
        <v>0.1</v>
      </c>
      <c r="N1233" t="s">
        <v>3504</v>
      </c>
      <c r="P1233">
        <v>9</v>
      </c>
      <c r="Q1233">
        <v>25</v>
      </c>
      <c r="R1233">
        <v>2018</v>
      </c>
      <c r="S1233" s="4">
        <f t="shared" si="78"/>
        <v>43368</v>
      </c>
      <c r="T1233" s="4">
        <f t="shared" si="76"/>
        <v>43368</v>
      </c>
      <c r="U1233" s="4">
        <v>43368</v>
      </c>
    </row>
    <row r="1234" spans="1:21" x14ac:dyDescent="0.3">
      <c r="A1234" t="s">
        <v>1788</v>
      </c>
      <c r="B1234" s="1" t="s">
        <v>77</v>
      </c>
      <c r="C1234" s="1" t="s">
        <v>78</v>
      </c>
      <c r="D1234" s="1" t="s">
        <v>35</v>
      </c>
      <c r="E1234" s="2">
        <v>42097</v>
      </c>
      <c r="F1234" s="2" t="b">
        <f t="shared" si="79"/>
        <v>1</v>
      </c>
      <c r="G1234" s="2">
        <f t="shared" si="77"/>
        <v>42097</v>
      </c>
      <c r="H1234" s="1" t="s">
        <v>104</v>
      </c>
      <c r="I1234" s="1" t="s">
        <v>1789</v>
      </c>
      <c r="J1234" s="1">
        <v>70</v>
      </c>
      <c r="K1234" s="1">
        <v>67</v>
      </c>
      <c r="L1234" s="3">
        <v>4.2900000000000001E-2</v>
      </c>
      <c r="N1234" t="s">
        <v>3763</v>
      </c>
      <c r="S1234" s="4" t="e">
        <f t="shared" si="78"/>
        <v>#NUM!</v>
      </c>
      <c r="T1234" s="4" t="str">
        <f t="shared" si="76"/>
        <v/>
      </c>
      <c r="U1234" s="4" t="s">
        <v>3763</v>
      </c>
    </row>
    <row r="1235" spans="1:21" x14ac:dyDescent="0.3">
      <c r="A1235" t="s">
        <v>1790</v>
      </c>
      <c r="B1235" s="1" t="s">
        <v>134</v>
      </c>
      <c r="C1235" s="1" t="s">
        <v>92</v>
      </c>
      <c r="D1235" s="1" t="s">
        <v>35</v>
      </c>
      <c r="E1235" s="2">
        <v>42560</v>
      </c>
      <c r="F1235" s="2" t="b">
        <f t="shared" si="79"/>
        <v>1</v>
      </c>
      <c r="G1235" s="2">
        <f t="shared" si="77"/>
        <v>42560</v>
      </c>
      <c r="H1235" s="1" t="s">
        <v>115</v>
      </c>
      <c r="I1235" s="1" t="s">
        <v>1135</v>
      </c>
      <c r="J1235" s="1">
        <v>250</v>
      </c>
      <c r="K1235" s="1">
        <v>240</v>
      </c>
      <c r="L1235" s="3">
        <v>0.04</v>
      </c>
      <c r="N1235" t="s">
        <v>3763</v>
      </c>
      <c r="S1235" s="4" t="e">
        <f t="shared" si="78"/>
        <v>#NUM!</v>
      </c>
      <c r="T1235" s="4" t="str">
        <f t="shared" si="76"/>
        <v/>
      </c>
      <c r="U1235" s="4" t="s">
        <v>3763</v>
      </c>
    </row>
    <row r="1236" spans="1:21" x14ac:dyDescent="0.3">
      <c r="A1236" t="s">
        <v>1791</v>
      </c>
      <c r="B1236" s="1" t="s">
        <v>44</v>
      </c>
      <c r="C1236" s="1" t="s">
        <v>45</v>
      </c>
      <c r="D1236" s="1" t="s">
        <v>24</v>
      </c>
      <c r="E1236" s="2" t="s">
        <v>3505</v>
      </c>
      <c r="F1236" s="2" t="b">
        <f t="shared" si="79"/>
        <v>0</v>
      </c>
      <c r="G1236" s="2">
        <f t="shared" si="77"/>
        <v>42642</v>
      </c>
      <c r="H1236" s="1" t="s">
        <v>36</v>
      </c>
      <c r="I1236" s="1" t="s">
        <v>1146</v>
      </c>
      <c r="J1236" s="1">
        <v>50</v>
      </c>
      <c r="K1236" s="1">
        <v>46</v>
      </c>
      <c r="L1236" s="3">
        <v>0.08</v>
      </c>
      <c r="N1236" t="s">
        <v>3505</v>
      </c>
      <c r="P1236">
        <v>9</v>
      </c>
      <c r="Q1236">
        <v>29</v>
      </c>
      <c r="R1236">
        <v>2016</v>
      </c>
      <c r="S1236" s="4">
        <f t="shared" si="78"/>
        <v>42642</v>
      </c>
      <c r="T1236" s="4">
        <f t="shared" si="76"/>
        <v>42642</v>
      </c>
      <c r="U1236" s="4">
        <v>42642</v>
      </c>
    </row>
    <row r="1237" spans="1:21" x14ac:dyDescent="0.3">
      <c r="A1237" t="s">
        <v>1792</v>
      </c>
      <c r="B1237" s="1" t="s">
        <v>150</v>
      </c>
      <c r="C1237" s="1" t="s">
        <v>151</v>
      </c>
      <c r="D1237" s="1" t="s">
        <v>13</v>
      </c>
      <c r="E1237" s="2">
        <v>43143</v>
      </c>
      <c r="F1237" s="2" t="b">
        <f t="shared" si="79"/>
        <v>1</v>
      </c>
      <c r="G1237" s="2">
        <f t="shared" si="77"/>
        <v>43143</v>
      </c>
      <c r="H1237" s="1" t="s">
        <v>115</v>
      </c>
      <c r="I1237" s="1" t="s">
        <v>152</v>
      </c>
      <c r="J1237" s="1">
        <v>250</v>
      </c>
      <c r="K1237" s="1">
        <v>240</v>
      </c>
      <c r="L1237" s="3">
        <v>0.04</v>
      </c>
      <c r="N1237" t="s">
        <v>3763</v>
      </c>
      <c r="S1237" s="4" t="e">
        <f t="shared" si="78"/>
        <v>#NUM!</v>
      </c>
      <c r="T1237" s="4" t="str">
        <f t="shared" si="76"/>
        <v/>
      </c>
      <c r="U1237" s="4" t="s">
        <v>3763</v>
      </c>
    </row>
    <row r="1238" spans="1:21" x14ac:dyDescent="0.3">
      <c r="A1238" t="s">
        <v>1793</v>
      </c>
      <c r="B1238" s="1" t="s">
        <v>205</v>
      </c>
      <c r="C1238" s="1" t="s">
        <v>206</v>
      </c>
      <c r="D1238" s="1" t="s">
        <v>24</v>
      </c>
      <c r="E1238" s="2">
        <v>42005</v>
      </c>
      <c r="F1238" s="2" t="b">
        <f t="shared" si="79"/>
        <v>1</v>
      </c>
      <c r="G1238" s="2">
        <f t="shared" si="77"/>
        <v>42005</v>
      </c>
      <c r="H1238" s="1" t="s">
        <v>115</v>
      </c>
      <c r="I1238" s="1" t="s">
        <v>596</v>
      </c>
      <c r="J1238" s="1">
        <v>250</v>
      </c>
      <c r="K1238" s="1">
        <v>220</v>
      </c>
      <c r="L1238" s="3">
        <v>0.12</v>
      </c>
      <c r="N1238" t="s">
        <v>3763</v>
      </c>
      <c r="S1238" s="4" t="e">
        <f t="shared" si="78"/>
        <v>#NUM!</v>
      </c>
      <c r="T1238" s="4" t="str">
        <f t="shared" si="76"/>
        <v/>
      </c>
      <c r="U1238" s="4" t="s">
        <v>3763</v>
      </c>
    </row>
    <row r="1239" spans="1:21" x14ac:dyDescent="0.3">
      <c r="A1239" t="s">
        <v>1794</v>
      </c>
      <c r="B1239" s="1" t="s">
        <v>81</v>
      </c>
      <c r="C1239" s="1" t="s">
        <v>82</v>
      </c>
      <c r="D1239" s="1" t="s">
        <v>13</v>
      </c>
      <c r="E1239" s="2" t="s">
        <v>3506</v>
      </c>
      <c r="F1239" s="2" t="b">
        <f t="shared" si="79"/>
        <v>0</v>
      </c>
      <c r="G1239" s="2">
        <f t="shared" si="77"/>
        <v>42265</v>
      </c>
      <c r="H1239" s="1" t="s">
        <v>36</v>
      </c>
      <c r="I1239" s="1" t="s">
        <v>556</v>
      </c>
      <c r="J1239" s="1">
        <v>50</v>
      </c>
      <c r="K1239" s="1">
        <v>34</v>
      </c>
      <c r="L1239" s="3">
        <v>0.32</v>
      </c>
      <c r="N1239" t="s">
        <v>3506</v>
      </c>
      <c r="P1239">
        <v>9</v>
      </c>
      <c r="Q1239">
        <v>18</v>
      </c>
      <c r="R1239">
        <v>2015</v>
      </c>
      <c r="S1239" s="4">
        <f t="shared" si="78"/>
        <v>42265</v>
      </c>
      <c r="T1239" s="4">
        <f t="shared" si="76"/>
        <v>42265</v>
      </c>
      <c r="U1239" s="4">
        <v>42265</v>
      </c>
    </row>
    <row r="1240" spans="1:21" x14ac:dyDescent="0.3">
      <c r="A1240" t="s">
        <v>1795</v>
      </c>
      <c r="B1240" s="1" t="s">
        <v>22</v>
      </c>
      <c r="C1240" s="1" t="s">
        <v>23</v>
      </c>
      <c r="D1240" s="1" t="s">
        <v>24</v>
      </c>
      <c r="E1240" s="2" t="s">
        <v>3507</v>
      </c>
      <c r="F1240" s="2" t="b">
        <f t="shared" si="79"/>
        <v>0</v>
      </c>
      <c r="G1240" s="2">
        <f t="shared" si="77"/>
        <v>43082</v>
      </c>
      <c r="H1240" s="1" t="s">
        <v>72</v>
      </c>
      <c r="I1240" s="1" t="s">
        <v>483</v>
      </c>
      <c r="J1240" s="1">
        <v>500</v>
      </c>
      <c r="K1240" s="1">
        <v>490</v>
      </c>
      <c r="L1240" s="3">
        <v>0.02</v>
      </c>
      <c r="N1240" t="s">
        <v>3507</v>
      </c>
      <c r="P1240">
        <v>12</v>
      </c>
      <c r="Q1240">
        <v>13</v>
      </c>
      <c r="R1240">
        <v>2017</v>
      </c>
      <c r="S1240" s="4">
        <f t="shared" si="78"/>
        <v>43082</v>
      </c>
      <c r="T1240" s="4">
        <f t="shared" si="76"/>
        <v>43082</v>
      </c>
      <c r="U1240" s="4">
        <v>43082</v>
      </c>
    </row>
    <row r="1241" spans="1:21" x14ac:dyDescent="0.3">
      <c r="A1241" t="s">
        <v>1796</v>
      </c>
      <c r="B1241" s="1" t="s">
        <v>103</v>
      </c>
      <c r="C1241" s="1" t="s">
        <v>71</v>
      </c>
      <c r="D1241" s="1" t="s">
        <v>35</v>
      </c>
      <c r="E1241" s="2">
        <v>42747</v>
      </c>
      <c r="F1241" s="2" t="b">
        <f t="shared" si="79"/>
        <v>1</v>
      </c>
      <c r="G1241" s="2">
        <f t="shared" si="77"/>
        <v>42747</v>
      </c>
      <c r="H1241" s="1" t="s">
        <v>55</v>
      </c>
      <c r="I1241" s="1" t="s">
        <v>497</v>
      </c>
      <c r="J1241" s="1">
        <v>800</v>
      </c>
      <c r="K1241" s="1">
        <v>608</v>
      </c>
      <c r="L1241" s="3">
        <v>0.24</v>
      </c>
      <c r="N1241" t="s">
        <v>3763</v>
      </c>
      <c r="S1241" s="4" t="e">
        <f t="shared" si="78"/>
        <v>#NUM!</v>
      </c>
      <c r="T1241" s="4" t="str">
        <f t="shared" si="76"/>
        <v/>
      </c>
      <c r="U1241" s="4" t="s">
        <v>3763</v>
      </c>
    </row>
    <row r="1242" spans="1:21" x14ac:dyDescent="0.3">
      <c r="A1242" t="s">
        <v>1797</v>
      </c>
      <c r="B1242" s="1" t="s">
        <v>107</v>
      </c>
      <c r="C1242" s="1" t="s">
        <v>108</v>
      </c>
      <c r="D1242" s="1" t="s">
        <v>19</v>
      </c>
      <c r="E1242" s="2" t="s">
        <v>3188</v>
      </c>
      <c r="F1242" s="2" t="b">
        <f t="shared" si="79"/>
        <v>0</v>
      </c>
      <c r="G1242" s="2">
        <f t="shared" si="77"/>
        <v>43397</v>
      </c>
      <c r="H1242" s="1" t="s">
        <v>41</v>
      </c>
      <c r="I1242" s="1" t="s">
        <v>817</v>
      </c>
      <c r="J1242" s="1">
        <v>30</v>
      </c>
      <c r="K1242" s="1">
        <v>29</v>
      </c>
      <c r="L1242" s="3">
        <v>3.3300000000000003E-2</v>
      </c>
      <c r="N1242" t="s">
        <v>3188</v>
      </c>
      <c r="P1242">
        <v>10</v>
      </c>
      <c r="Q1242">
        <v>24</v>
      </c>
      <c r="R1242">
        <v>2018</v>
      </c>
      <c r="S1242" s="4">
        <f t="shared" si="78"/>
        <v>43397</v>
      </c>
      <c r="T1242" s="4">
        <f t="shared" si="76"/>
        <v>43397</v>
      </c>
      <c r="U1242" s="4">
        <v>43397</v>
      </c>
    </row>
    <row r="1243" spans="1:21" x14ac:dyDescent="0.3">
      <c r="A1243" t="s">
        <v>1798</v>
      </c>
      <c r="B1243" s="1" t="s">
        <v>17</v>
      </c>
      <c r="C1243" s="1" t="s">
        <v>18</v>
      </c>
      <c r="D1243" s="1" t="s">
        <v>19</v>
      </c>
      <c r="E1243" s="2" t="s">
        <v>3047</v>
      </c>
      <c r="F1243" s="2" t="b">
        <f t="shared" si="79"/>
        <v>0</v>
      </c>
      <c r="G1243" s="2">
        <f t="shared" si="77"/>
        <v>43094</v>
      </c>
      <c r="H1243" s="1" t="s">
        <v>115</v>
      </c>
      <c r="I1243" s="1" t="s">
        <v>89</v>
      </c>
      <c r="J1243" s="1">
        <v>250</v>
      </c>
      <c r="K1243" s="1">
        <v>235</v>
      </c>
      <c r="L1243" s="3">
        <v>0.06</v>
      </c>
      <c r="N1243" t="s">
        <v>3047</v>
      </c>
      <c r="P1243">
        <v>12</v>
      </c>
      <c r="Q1243">
        <v>25</v>
      </c>
      <c r="R1243">
        <v>2017</v>
      </c>
      <c r="S1243" s="4">
        <f t="shared" si="78"/>
        <v>43094</v>
      </c>
      <c r="T1243" s="4">
        <f t="shared" si="76"/>
        <v>43094</v>
      </c>
      <c r="U1243" s="4">
        <v>43094</v>
      </c>
    </row>
    <row r="1244" spans="1:21" x14ac:dyDescent="0.3">
      <c r="A1244" t="s">
        <v>1799</v>
      </c>
      <c r="B1244" s="1" t="s">
        <v>174</v>
      </c>
      <c r="C1244" s="1" t="s">
        <v>175</v>
      </c>
      <c r="D1244" s="1" t="s">
        <v>13</v>
      </c>
      <c r="E1244" s="2">
        <v>43045</v>
      </c>
      <c r="F1244" s="2" t="b">
        <f t="shared" si="79"/>
        <v>1</v>
      </c>
      <c r="G1244" s="2">
        <f t="shared" si="77"/>
        <v>43045</v>
      </c>
      <c r="H1244" s="1" t="s">
        <v>46</v>
      </c>
      <c r="I1244" s="1" t="s">
        <v>176</v>
      </c>
      <c r="J1244" s="1">
        <v>500</v>
      </c>
      <c r="K1244" s="1">
        <v>465</v>
      </c>
      <c r="L1244" s="3">
        <v>7.0000000000000007E-2</v>
      </c>
      <c r="N1244" t="s">
        <v>3763</v>
      </c>
      <c r="S1244" s="4" t="e">
        <f t="shared" si="78"/>
        <v>#NUM!</v>
      </c>
      <c r="T1244" s="4" t="str">
        <f t="shared" si="76"/>
        <v/>
      </c>
      <c r="U1244" s="4" t="s">
        <v>3763</v>
      </c>
    </row>
    <row r="1245" spans="1:21" x14ac:dyDescent="0.3">
      <c r="A1245" t="s">
        <v>1800</v>
      </c>
      <c r="B1245" s="1" t="s">
        <v>227</v>
      </c>
      <c r="C1245" s="1" t="s">
        <v>228</v>
      </c>
      <c r="D1245" s="1" t="s">
        <v>24</v>
      </c>
      <c r="E1245" s="2">
        <v>42623</v>
      </c>
      <c r="F1245" s="2" t="b">
        <f t="shared" si="79"/>
        <v>1</v>
      </c>
      <c r="G1245" s="2">
        <f t="shared" si="77"/>
        <v>42623</v>
      </c>
      <c r="H1245" s="1" t="s">
        <v>30</v>
      </c>
      <c r="I1245" s="1" t="s">
        <v>229</v>
      </c>
      <c r="J1245" s="1">
        <v>150</v>
      </c>
      <c r="K1245" s="1">
        <v>140</v>
      </c>
      <c r="L1245" s="3">
        <v>6.6699999999999995E-2</v>
      </c>
      <c r="N1245" t="s">
        <v>3763</v>
      </c>
      <c r="S1245" s="4" t="e">
        <f t="shared" si="78"/>
        <v>#NUM!</v>
      </c>
      <c r="T1245" s="4" t="str">
        <f t="shared" si="76"/>
        <v/>
      </c>
      <c r="U1245" s="4" t="s">
        <v>3763</v>
      </c>
    </row>
    <row r="1246" spans="1:21" x14ac:dyDescent="0.3">
      <c r="A1246" t="s">
        <v>1801</v>
      </c>
      <c r="B1246" s="1" t="s">
        <v>227</v>
      </c>
      <c r="C1246" s="1" t="s">
        <v>228</v>
      </c>
      <c r="D1246" s="1" t="s">
        <v>24</v>
      </c>
      <c r="E1246" s="2">
        <v>42896</v>
      </c>
      <c r="F1246" s="2" t="b">
        <f t="shared" si="79"/>
        <v>1</v>
      </c>
      <c r="G1246" s="2">
        <f t="shared" si="77"/>
        <v>42896</v>
      </c>
      <c r="H1246" s="1" t="s">
        <v>25</v>
      </c>
      <c r="I1246" s="1" t="s">
        <v>1024</v>
      </c>
      <c r="J1246" s="1">
        <v>700</v>
      </c>
      <c r="K1246" s="1">
        <v>658</v>
      </c>
      <c r="L1246" s="3">
        <v>0.06</v>
      </c>
      <c r="N1246" t="s">
        <v>3763</v>
      </c>
      <c r="S1246" s="4" t="e">
        <f t="shared" si="78"/>
        <v>#NUM!</v>
      </c>
      <c r="T1246" s="4" t="str">
        <f t="shared" si="76"/>
        <v/>
      </c>
      <c r="U1246" s="4" t="s">
        <v>3763</v>
      </c>
    </row>
    <row r="1247" spans="1:21" x14ac:dyDescent="0.3">
      <c r="A1247" t="s">
        <v>1802</v>
      </c>
      <c r="B1247" s="1" t="s">
        <v>22</v>
      </c>
      <c r="C1247" s="1" t="s">
        <v>23</v>
      </c>
      <c r="D1247" s="1" t="s">
        <v>24</v>
      </c>
      <c r="E1247" s="2">
        <v>41645</v>
      </c>
      <c r="F1247" s="2" t="b">
        <f t="shared" si="79"/>
        <v>1</v>
      </c>
      <c r="G1247" s="2">
        <f t="shared" si="77"/>
        <v>41645</v>
      </c>
      <c r="H1247" s="1" t="s">
        <v>61</v>
      </c>
      <c r="I1247" s="1" t="s">
        <v>144</v>
      </c>
      <c r="J1247" s="1">
        <v>1000</v>
      </c>
      <c r="K1247" s="1">
        <v>600</v>
      </c>
      <c r="L1247" s="3">
        <v>0.4</v>
      </c>
      <c r="N1247" t="s">
        <v>3763</v>
      </c>
      <c r="S1247" s="4" t="e">
        <f t="shared" si="78"/>
        <v>#NUM!</v>
      </c>
      <c r="T1247" s="4" t="str">
        <f t="shared" si="76"/>
        <v/>
      </c>
      <c r="U1247" s="4" t="s">
        <v>3763</v>
      </c>
    </row>
    <row r="1248" spans="1:21" x14ac:dyDescent="0.3">
      <c r="A1248" t="s">
        <v>1803</v>
      </c>
      <c r="B1248" s="1" t="s">
        <v>224</v>
      </c>
      <c r="C1248" s="1" t="s">
        <v>50</v>
      </c>
      <c r="D1248" s="1" t="s">
        <v>24</v>
      </c>
      <c r="E1248" s="2" t="s">
        <v>2963</v>
      </c>
      <c r="F1248" s="2" t="b">
        <f t="shared" si="79"/>
        <v>0</v>
      </c>
      <c r="G1248" s="2">
        <f t="shared" si="77"/>
        <v>41872</v>
      </c>
      <c r="H1248" s="1" t="s">
        <v>122</v>
      </c>
      <c r="I1248" s="1" t="s">
        <v>1239</v>
      </c>
      <c r="J1248" s="1">
        <v>50</v>
      </c>
      <c r="K1248" s="1">
        <v>44</v>
      </c>
      <c r="L1248" s="3">
        <v>0.12</v>
      </c>
      <c r="N1248" t="s">
        <v>2963</v>
      </c>
      <c r="P1248">
        <v>8</v>
      </c>
      <c r="Q1248">
        <v>21</v>
      </c>
      <c r="R1248">
        <v>2014</v>
      </c>
      <c r="S1248" s="4">
        <f t="shared" si="78"/>
        <v>41872</v>
      </c>
      <c r="T1248" s="4">
        <f t="shared" si="76"/>
        <v>41872</v>
      </c>
      <c r="U1248" s="4">
        <v>41872</v>
      </c>
    </row>
    <row r="1249" spans="1:21" x14ac:dyDescent="0.3">
      <c r="A1249" t="s">
        <v>1804</v>
      </c>
      <c r="B1249" s="1" t="s">
        <v>131</v>
      </c>
      <c r="C1249" s="1" t="s">
        <v>108</v>
      </c>
      <c r="D1249" s="1" t="s">
        <v>19</v>
      </c>
      <c r="E1249" s="2" t="s">
        <v>3450</v>
      </c>
      <c r="F1249" s="2" t="b">
        <f t="shared" si="79"/>
        <v>0</v>
      </c>
      <c r="G1249" s="2">
        <f t="shared" si="77"/>
        <v>42511</v>
      </c>
      <c r="H1249" s="1" t="s">
        <v>55</v>
      </c>
      <c r="I1249" s="1" t="s">
        <v>546</v>
      </c>
      <c r="J1249" s="1">
        <v>800</v>
      </c>
      <c r="K1249" s="1">
        <v>544</v>
      </c>
      <c r="L1249" s="3">
        <v>0.32</v>
      </c>
      <c r="N1249" t="s">
        <v>3450</v>
      </c>
      <c r="P1249">
        <v>5</v>
      </c>
      <c r="Q1249">
        <v>21</v>
      </c>
      <c r="R1249">
        <v>2016</v>
      </c>
      <c r="S1249" s="4">
        <f t="shared" si="78"/>
        <v>42511</v>
      </c>
      <c r="T1249" s="4">
        <f t="shared" si="76"/>
        <v>42511</v>
      </c>
      <c r="U1249" s="4">
        <v>42511</v>
      </c>
    </row>
    <row r="1250" spans="1:21" x14ac:dyDescent="0.3">
      <c r="A1250" t="s">
        <v>1805</v>
      </c>
      <c r="B1250" s="1" t="s">
        <v>157</v>
      </c>
      <c r="C1250" s="1" t="s">
        <v>108</v>
      </c>
      <c r="D1250" s="1" t="s">
        <v>19</v>
      </c>
      <c r="E1250" s="2" t="s">
        <v>3508</v>
      </c>
      <c r="F1250" s="2" t="b">
        <f t="shared" si="79"/>
        <v>0</v>
      </c>
      <c r="G1250" s="2">
        <f t="shared" si="77"/>
        <v>43067</v>
      </c>
      <c r="H1250" s="1" t="s">
        <v>104</v>
      </c>
      <c r="I1250" s="1" t="s">
        <v>981</v>
      </c>
      <c r="J1250" s="1">
        <v>70</v>
      </c>
      <c r="K1250" s="1">
        <v>68</v>
      </c>
      <c r="L1250" s="3">
        <v>2.86E-2</v>
      </c>
      <c r="N1250" t="s">
        <v>3508</v>
      </c>
      <c r="P1250">
        <v>11</v>
      </c>
      <c r="Q1250">
        <v>28</v>
      </c>
      <c r="R1250">
        <v>2017</v>
      </c>
      <c r="S1250" s="4">
        <f t="shared" si="78"/>
        <v>43067</v>
      </c>
      <c r="T1250" s="4">
        <f t="shared" si="76"/>
        <v>43067</v>
      </c>
      <c r="U1250" s="4">
        <v>43067</v>
      </c>
    </row>
    <row r="1251" spans="1:21" x14ac:dyDescent="0.3">
      <c r="A1251" t="s">
        <v>1806</v>
      </c>
      <c r="B1251" s="1" t="s">
        <v>118</v>
      </c>
      <c r="C1251" s="1" t="s">
        <v>119</v>
      </c>
      <c r="D1251" s="1" t="s">
        <v>35</v>
      </c>
      <c r="E1251" s="2">
        <v>42223</v>
      </c>
      <c r="F1251" s="2" t="b">
        <f t="shared" si="79"/>
        <v>1</v>
      </c>
      <c r="G1251" s="2">
        <f t="shared" si="77"/>
        <v>42223</v>
      </c>
      <c r="H1251" s="1" t="s">
        <v>36</v>
      </c>
      <c r="I1251" s="1" t="s">
        <v>540</v>
      </c>
      <c r="J1251" s="1">
        <v>50</v>
      </c>
      <c r="K1251" s="1">
        <v>50</v>
      </c>
      <c r="L1251" s="3">
        <v>0</v>
      </c>
      <c r="N1251" t="s">
        <v>3763</v>
      </c>
      <c r="S1251" s="4" t="e">
        <f t="shared" si="78"/>
        <v>#NUM!</v>
      </c>
      <c r="T1251" s="4" t="str">
        <f t="shared" si="76"/>
        <v/>
      </c>
      <c r="U1251" s="4" t="s">
        <v>3763</v>
      </c>
    </row>
    <row r="1252" spans="1:21" x14ac:dyDescent="0.3">
      <c r="A1252" t="s">
        <v>1807</v>
      </c>
      <c r="B1252" s="1" t="s">
        <v>255</v>
      </c>
      <c r="C1252" s="1" t="s">
        <v>256</v>
      </c>
      <c r="D1252" s="1" t="s">
        <v>13</v>
      </c>
      <c r="E1252" s="2">
        <v>43134</v>
      </c>
      <c r="F1252" s="2" t="b">
        <f t="shared" si="79"/>
        <v>1</v>
      </c>
      <c r="G1252" s="2">
        <f t="shared" si="77"/>
        <v>43134</v>
      </c>
      <c r="H1252" s="1" t="s">
        <v>30</v>
      </c>
      <c r="I1252" s="1" t="s">
        <v>1097</v>
      </c>
      <c r="J1252" s="1">
        <v>150</v>
      </c>
      <c r="K1252" s="1">
        <v>135</v>
      </c>
      <c r="L1252" s="3">
        <v>0.1</v>
      </c>
      <c r="N1252" t="s">
        <v>3763</v>
      </c>
      <c r="S1252" s="4" t="e">
        <f t="shared" si="78"/>
        <v>#NUM!</v>
      </c>
      <c r="T1252" s="4" t="str">
        <f t="shared" si="76"/>
        <v/>
      </c>
      <c r="U1252" s="4" t="s">
        <v>3763</v>
      </c>
    </row>
    <row r="1253" spans="1:21" x14ac:dyDescent="0.3">
      <c r="A1253" t="s">
        <v>1808</v>
      </c>
      <c r="B1253" s="1" t="s">
        <v>53</v>
      </c>
      <c r="C1253" s="1" t="s">
        <v>54</v>
      </c>
      <c r="D1253" s="1" t="s">
        <v>13</v>
      </c>
      <c r="E1253" s="2" t="s">
        <v>3403</v>
      </c>
      <c r="F1253" s="2" t="b">
        <f t="shared" si="79"/>
        <v>0</v>
      </c>
      <c r="G1253" s="2">
        <f t="shared" si="77"/>
        <v>43123</v>
      </c>
      <c r="H1253" s="1" t="s">
        <v>122</v>
      </c>
      <c r="I1253" s="1" t="s">
        <v>814</v>
      </c>
      <c r="J1253" s="1">
        <v>50</v>
      </c>
      <c r="K1253" s="1">
        <v>50</v>
      </c>
      <c r="L1253" s="3">
        <v>0</v>
      </c>
      <c r="N1253" t="s">
        <v>3403</v>
      </c>
      <c r="P1253">
        <v>1</v>
      </c>
      <c r="Q1253">
        <v>23</v>
      </c>
      <c r="R1253">
        <v>2018</v>
      </c>
      <c r="S1253" s="4">
        <f t="shared" si="78"/>
        <v>43123</v>
      </c>
      <c r="T1253" s="4">
        <f t="shared" si="76"/>
        <v>43123</v>
      </c>
      <c r="U1253" s="4">
        <v>43123</v>
      </c>
    </row>
    <row r="1254" spans="1:21" x14ac:dyDescent="0.3">
      <c r="A1254" t="s">
        <v>1809</v>
      </c>
      <c r="B1254" s="1" t="s">
        <v>70</v>
      </c>
      <c r="C1254" s="1" t="s">
        <v>71</v>
      </c>
      <c r="D1254" s="1" t="s">
        <v>35</v>
      </c>
      <c r="E1254" s="2">
        <v>42259</v>
      </c>
      <c r="F1254" s="2" t="b">
        <f t="shared" si="79"/>
        <v>1</v>
      </c>
      <c r="G1254" s="2">
        <f t="shared" si="77"/>
        <v>42259</v>
      </c>
      <c r="H1254" s="1" t="s">
        <v>36</v>
      </c>
      <c r="I1254" s="1" t="s">
        <v>1810</v>
      </c>
      <c r="J1254" s="1">
        <v>50</v>
      </c>
      <c r="K1254" s="1">
        <v>33</v>
      </c>
      <c r="L1254" s="3">
        <v>0.34</v>
      </c>
      <c r="N1254" t="s">
        <v>3763</v>
      </c>
      <c r="S1254" s="4" t="e">
        <f t="shared" si="78"/>
        <v>#NUM!</v>
      </c>
      <c r="T1254" s="4" t="str">
        <f t="shared" si="76"/>
        <v/>
      </c>
      <c r="U1254" s="4" t="s">
        <v>3763</v>
      </c>
    </row>
    <row r="1255" spans="1:21" x14ac:dyDescent="0.3">
      <c r="A1255" t="s">
        <v>1811</v>
      </c>
      <c r="B1255" s="1" t="s">
        <v>270</v>
      </c>
      <c r="C1255" s="1" t="s">
        <v>271</v>
      </c>
      <c r="D1255" s="1" t="s">
        <v>35</v>
      </c>
      <c r="E1255" s="2" t="s">
        <v>3509</v>
      </c>
      <c r="F1255" s="2" t="b">
        <f t="shared" si="79"/>
        <v>0</v>
      </c>
      <c r="G1255" s="2">
        <f t="shared" si="77"/>
        <v>43008</v>
      </c>
      <c r="H1255" s="1" t="s">
        <v>36</v>
      </c>
      <c r="I1255" s="1" t="s">
        <v>713</v>
      </c>
      <c r="J1255" s="1">
        <v>50</v>
      </c>
      <c r="K1255" s="1">
        <v>46</v>
      </c>
      <c r="L1255" s="3">
        <v>0.08</v>
      </c>
      <c r="N1255" t="s">
        <v>3509</v>
      </c>
      <c r="P1255">
        <v>9</v>
      </c>
      <c r="Q1255">
        <v>30</v>
      </c>
      <c r="R1255">
        <v>2017</v>
      </c>
      <c r="S1255" s="4">
        <f t="shared" si="78"/>
        <v>43008</v>
      </c>
      <c r="T1255" s="4">
        <f t="shared" si="76"/>
        <v>43008</v>
      </c>
      <c r="U1255" s="4">
        <v>43008</v>
      </c>
    </row>
    <row r="1256" spans="1:21" x14ac:dyDescent="0.3">
      <c r="A1256" t="s">
        <v>1812</v>
      </c>
      <c r="B1256" s="1" t="s">
        <v>95</v>
      </c>
      <c r="C1256" s="1" t="s">
        <v>96</v>
      </c>
      <c r="D1256" s="1" t="s">
        <v>13</v>
      </c>
      <c r="E1256" s="2" t="s">
        <v>3393</v>
      </c>
      <c r="F1256" s="2" t="b">
        <f t="shared" si="79"/>
        <v>0</v>
      </c>
      <c r="G1256" s="2">
        <f t="shared" si="77"/>
        <v>41967</v>
      </c>
      <c r="H1256" s="1" t="s">
        <v>46</v>
      </c>
      <c r="I1256" s="1" t="s">
        <v>180</v>
      </c>
      <c r="J1256" s="1">
        <v>500</v>
      </c>
      <c r="K1256" s="1">
        <v>370</v>
      </c>
      <c r="L1256" s="3">
        <v>0.26</v>
      </c>
      <c r="N1256" t="s">
        <v>3393</v>
      </c>
      <c r="P1256">
        <v>11</v>
      </c>
      <c r="Q1256">
        <v>24</v>
      </c>
      <c r="R1256">
        <v>2014</v>
      </c>
      <c r="S1256" s="4">
        <f t="shared" si="78"/>
        <v>41967</v>
      </c>
      <c r="T1256" s="4">
        <f t="shared" si="76"/>
        <v>41967</v>
      </c>
      <c r="U1256" s="4">
        <v>41967</v>
      </c>
    </row>
    <row r="1257" spans="1:21" x14ac:dyDescent="0.3">
      <c r="A1257" t="s">
        <v>1813</v>
      </c>
      <c r="B1257" s="1" t="s">
        <v>270</v>
      </c>
      <c r="C1257" s="1" t="s">
        <v>271</v>
      </c>
      <c r="D1257" s="1" t="s">
        <v>35</v>
      </c>
      <c r="E1257" s="2">
        <v>42066</v>
      </c>
      <c r="F1257" s="2" t="b">
        <f t="shared" si="79"/>
        <v>1</v>
      </c>
      <c r="G1257" s="2">
        <f t="shared" si="77"/>
        <v>42066</v>
      </c>
      <c r="H1257" s="1" t="s">
        <v>25</v>
      </c>
      <c r="I1257" s="1" t="s">
        <v>809</v>
      </c>
      <c r="J1257" s="1">
        <v>700</v>
      </c>
      <c r="K1257" s="1">
        <v>448</v>
      </c>
      <c r="L1257" s="3">
        <v>0.36</v>
      </c>
      <c r="N1257" t="s">
        <v>3763</v>
      </c>
      <c r="S1257" s="4" t="e">
        <f t="shared" si="78"/>
        <v>#NUM!</v>
      </c>
      <c r="T1257" s="4" t="str">
        <f t="shared" si="76"/>
        <v/>
      </c>
      <c r="U1257" s="4" t="s">
        <v>3763</v>
      </c>
    </row>
    <row r="1258" spans="1:21" x14ac:dyDescent="0.3">
      <c r="A1258" t="s">
        <v>1814</v>
      </c>
      <c r="B1258" s="1" t="s">
        <v>103</v>
      </c>
      <c r="C1258" s="1" t="s">
        <v>71</v>
      </c>
      <c r="D1258" s="1" t="s">
        <v>35</v>
      </c>
      <c r="E1258" s="2" t="s">
        <v>3076</v>
      </c>
      <c r="F1258" s="2" t="b">
        <f t="shared" si="79"/>
        <v>0</v>
      </c>
      <c r="G1258" s="2">
        <f t="shared" si="77"/>
        <v>43096</v>
      </c>
      <c r="H1258" s="1" t="s">
        <v>36</v>
      </c>
      <c r="I1258" s="1" t="s">
        <v>1815</v>
      </c>
      <c r="J1258" s="1">
        <v>50</v>
      </c>
      <c r="K1258" s="1">
        <v>48</v>
      </c>
      <c r="L1258" s="3">
        <v>0.04</v>
      </c>
      <c r="N1258" t="s">
        <v>3076</v>
      </c>
      <c r="P1258">
        <v>12</v>
      </c>
      <c r="Q1258">
        <v>27</v>
      </c>
      <c r="R1258">
        <v>2017</v>
      </c>
      <c r="S1258" s="4">
        <f t="shared" si="78"/>
        <v>43096</v>
      </c>
      <c r="T1258" s="4">
        <f t="shared" si="76"/>
        <v>43096</v>
      </c>
      <c r="U1258" s="4">
        <v>43096</v>
      </c>
    </row>
    <row r="1259" spans="1:21" x14ac:dyDescent="0.3">
      <c r="A1259" t="s">
        <v>1816</v>
      </c>
      <c r="B1259" s="1" t="s">
        <v>205</v>
      </c>
      <c r="C1259" s="1" t="s">
        <v>206</v>
      </c>
      <c r="D1259" s="1" t="s">
        <v>24</v>
      </c>
      <c r="E1259" s="2" t="s">
        <v>3510</v>
      </c>
      <c r="F1259" s="2" t="b">
        <f t="shared" si="79"/>
        <v>0</v>
      </c>
      <c r="G1259" s="2">
        <f t="shared" si="77"/>
        <v>43178</v>
      </c>
      <c r="H1259" s="1" t="s">
        <v>72</v>
      </c>
      <c r="I1259" s="1" t="s">
        <v>1478</v>
      </c>
      <c r="J1259" s="1">
        <v>500</v>
      </c>
      <c r="K1259" s="1">
        <v>490</v>
      </c>
      <c r="L1259" s="3">
        <v>0.02</v>
      </c>
      <c r="N1259" t="s">
        <v>3510</v>
      </c>
      <c r="P1259">
        <v>3</v>
      </c>
      <c r="Q1259">
        <v>19</v>
      </c>
      <c r="R1259">
        <v>2018</v>
      </c>
      <c r="S1259" s="4">
        <f t="shared" si="78"/>
        <v>43178</v>
      </c>
      <c r="T1259" s="4">
        <f t="shared" si="76"/>
        <v>43178</v>
      </c>
      <c r="U1259" s="4">
        <v>43178</v>
      </c>
    </row>
    <row r="1260" spans="1:21" x14ac:dyDescent="0.3">
      <c r="A1260" t="s">
        <v>1817</v>
      </c>
      <c r="B1260" s="1" t="s">
        <v>11</v>
      </c>
      <c r="C1260" s="1" t="s">
        <v>12</v>
      </c>
      <c r="D1260" s="1" t="s">
        <v>13</v>
      </c>
      <c r="E1260" s="2" t="s">
        <v>3511</v>
      </c>
      <c r="F1260" s="2" t="b">
        <f t="shared" si="79"/>
        <v>0</v>
      </c>
      <c r="G1260" s="2">
        <f t="shared" si="77"/>
        <v>42885</v>
      </c>
      <c r="H1260" s="1" t="s">
        <v>122</v>
      </c>
      <c r="I1260" s="1" t="s">
        <v>15</v>
      </c>
      <c r="J1260" s="1">
        <v>50</v>
      </c>
      <c r="K1260" s="1">
        <v>49</v>
      </c>
      <c r="L1260" s="3">
        <v>0.02</v>
      </c>
      <c r="N1260" t="s">
        <v>3511</v>
      </c>
      <c r="P1260">
        <v>5</v>
      </c>
      <c r="Q1260">
        <v>30</v>
      </c>
      <c r="R1260">
        <v>2017</v>
      </c>
      <c r="S1260" s="4">
        <f t="shared" si="78"/>
        <v>42885</v>
      </c>
      <c r="T1260" s="4">
        <f t="shared" si="76"/>
        <v>42885</v>
      </c>
      <c r="U1260" s="4">
        <v>42885</v>
      </c>
    </row>
    <row r="1261" spans="1:21" x14ac:dyDescent="0.3">
      <c r="A1261" t="s">
        <v>1818</v>
      </c>
      <c r="B1261" s="1" t="s">
        <v>118</v>
      </c>
      <c r="C1261" s="1" t="s">
        <v>119</v>
      </c>
      <c r="D1261" s="1" t="s">
        <v>35</v>
      </c>
      <c r="E1261" s="2" t="s">
        <v>3176</v>
      </c>
      <c r="F1261" s="2" t="b">
        <f t="shared" si="79"/>
        <v>0</v>
      </c>
      <c r="G1261" s="2">
        <f t="shared" si="77"/>
        <v>43037</v>
      </c>
      <c r="H1261" s="1" t="s">
        <v>55</v>
      </c>
      <c r="I1261" s="1" t="s">
        <v>120</v>
      </c>
      <c r="J1261" s="1">
        <v>800</v>
      </c>
      <c r="K1261" s="1">
        <v>616</v>
      </c>
      <c r="L1261" s="3">
        <v>0.23</v>
      </c>
      <c r="N1261" t="s">
        <v>3176</v>
      </c>
      <c r="P1261">
        <v>10</v>
      </c>
      <c r="Q1261">
        <v>29</v>
      </c>
      <c r="R1261">
        <v>2017</v>
      </c>
      <c r="S1261" s="4">
        <f t="shared" si="78"/>
        <v>43037</v>
      </c>
      <c r="T1261" s="4">
        <f t="shared" si="76"/>
        <v>43037</v>
      </c>
      <c r="U1261" s="4">
        <v>43037</v>
      </c>
    </row>
    <row r="1262" spans="1:21" x14ac:dyDescent="0.3">
      <c r="A1262" t="s">
        <v>1819</v>
      </c>
      <c r="B1262" s="1" t="s">
        <v>44</v>
      </c>
      <c r="C1262" s="1" t="s">
        <v>45</v>
      </c>
      <c r="D1262" s="1" t="s">
        <v>24</v>
      </c>
      <c r="E1262" s="2" t="s">
        <v>3399</v>
      </c>
      <c r="F1262" s="2" t="b">
        <f t="shared" si="79"/>
        <v>0</v>
      </c>
      <c r="G1262" s="2">
        <f t="shared" si="77"/>
        <v>43114</v>
      </c>
      <c r="H1262" s="1" t="s">
        <v>36</v>
      </c>
      <c r="I1262" s="1" t="s">
        <v>47</v>
      </c>
      <c r="J1262" s="1">
        <v>50</v>
      </c>
      <c r="K1262" s="1">
        <v>46</v>
      </c>
      <c r="L1262" s="3">
        <v>0.08</v>
      </c>
      <c r="N1262" t="s">
        <v>3399</v>
      </c>
      <c r="P1262">
        <v>1</v>
      </c>
      <c r="Q1262">
        <v>14</v>
      </c>
      <c r="R1262">
        <v>2018</v>
      </c>
      <c r="S1262" s="4">
        <f t="shared" si="78"/>
        <v>43114</v>
      </c>
      <c r="T1262" s="4">
        <f t="shared" si="76"/>
        <v>43114</v>
      </c>
      <c r="U1262" s="4">
        <v>43114</v>
      </c>
    </row>
    <row r="1263" spans="1:21" x14ac:dyDescent="0.3">
      <c r="A1263" t="s">
        <v>1820</v>
      </c>
      <c r="B1263" s="1" t="s">
        <v>157</v>
      </c>
      <c r="C1263" s="1" t="s">
        <v>108</v>
      </c>
      <c r="D1263" s="1" t="s">
        <v>19</v>
      </c>
      <c r="E1263" s="2">
        <v>42258</v>
      </c>
      <c r="F1263" s="2" t="b">
        <f t="shared" si="79"/>
        <v>1</v>
      </c>
      <c r="G1263" s="2">
        <f t="shared" si="77"/>
        <v>42258</v>
      </c>
      <c r="H1263" s="1" t="s">
        <v>14</v>
      </c>
      <c r="I1263" s="1" t="s">
        <v>925</v>
      </c>
      <c r="J1263" s="1">
        <v>80</v>
      </c>
      <c r="K1263" s="1">
        <v>70</v>
      </c>
      <c r="L1263" s="3">
        <v>0.125</v>
      </c>
      <c r="N1263" t="s">
        <v>3763</v>
      </c>
      <c r="S1263" s="4" t="e">
        <f t="shared" si="78"/>
        <v>#NUM!</v>
      </c>
      <c r="T1263" s="4" t="str">
        <f t="shared" si="76"/>
        <v/>
      </c>
      <c r="U1263" s="4" t="s">
        <v>3763</v>
      </c>
    </row>
    <row r="1264" spans="1:21" x14ac:dyDescent="0.3">
      <c r="A1264" t="s">
        <v>1821</v>
      </c>
      <c r="B1264" s="1" t="s">
        <v>85</v>
      </c>
      <c r="C1264" s="1" t="s">
        <v>86</v>
      </c>
      <c r="D1264" s="1" t="s">
        <v>13</v>
      </c>
      <c r="E1264" s="2" t="s">
        <v>3512</v>
      </c>
      <c r="F1264" s="2" t="b">
        <f t="shared" si="79"/>
        <v>0</v>
      </c>
      <c r="G1264" s="2">
        <f t="shared" si="77"/>
        <v>42687</v>
      </c>
      <c r="H1264" s="1" t="s">
        <v>46</v>
      </c>
      <c r="I1264" s="1" t="s">
        <v>1822</v>
      </c>
      <c r="J1264" s="1">
        <v>500</v>
      </c>
      <c r="K1264" s="1">
        <v>490</v>
      </c>
      <c r="L1264" s="3">
        <v>0.02</v>
      </c>
      <c r="N1264" t="s">
        <v>3512</v>
      </c>
      <c r="P1264">
        <v>11</v>
      </c>
      <c r="Q1264">
        <v>13</v>
      </c>
      <c r="R1264">
        <v>2016</v>
      </c>
      <c r="S1264" s="4">
        <f t="shared" si="78"/>
        <v>42687</v>
      </c>
      <c r="T1264" s="4">
        <f t="shared" si="76"/>
        <v>42687</v>
      </c>
      <c r="U1264" s="4">
        <v>42687</v>
      </c>
    </row>
    <row r="1265" spans="1:21" x14ac:dyDescent="0.3">
      <c r="A1265" t="s">
        <v>1823</v>
      </c>
      <c r="B1265" s="1" t="s">
        <v>85</v>
      </c>
      <c r="C1265" s="1" t="s">
        <v>86</v>
      </c>
      <c r="D1265" s="1" t="s">
        <v>13</v>
      </c>
      <c r="E1265" s="2">
        <v>41891</v>
      </c>
      <c r="F1265" s="2" t="b">
        <f t="shared" si="79"/>
        <v>1</v>
      </c>
      <c r="G1265" s="2">
        <f t="shared" si="77"/>
        <v>41891</v>
      </c>
      <c r="H1265" s="1" t="s">
        <v>115</v>
      </c>
      <c r="I1265" s="1" t="s">
        <v>516</v>
      </c>
      <c r="J1265" s="1">
        <v>250</v>
      </c>
      <c r="K1265" s="1">
        <v>190</v>
      </c>
      <c r="L1265" s="3">
        <v>0.24</v>
      </c>
      <c r="N1265" t="s">
        <v>3763</v>
      </c>
      <c r="S1265" s="4" t="e">
        <f t="shared" si="78"/>
        <v>#NUM!</v>
      </c>
      <c r="T1265" s="4" t="str">
        <f t="shared" si="76"/>
        <v/>
      </c>
      <c r="U1265" s="4" t="s">
        <v>3763</v>
      </c>
    </row>
    <row r="1266" spans="1:21" x14ac:dyDescent="0.3">
      <c r="A1266" t="s">
        <v>1824</v>
      </c>
      <c r="B1266" s="1" t="s">
        <v>99</v>
      </c>
      <c r="C1266" s="1" t="s">
        <v>100</v>
      </c>
      <c r="D1266" s="1" t="s">
        <v>13</v>
      </c>
      <c r="E1266" s="2" t="s">
        <v>3192</v>
      </c>
      <c r="F1266" s="2" t="b">
        <f t="shared" si="79"/>
        <v>0</v>
      </c>
      <c r="G1266" s="2">
        <f t="shared" si="77"/>
        <v>43398</v>
      </c>
      <c r="H1266" s="1" t="s">
        <v>14</v>
      </c>
      <c r="I1266" s="1" t="s">
        <v>1825</v>
      </c>
      <c r="J1266" s="1">
        <v>80</v>
      </c>
      <c r="K1266" s="1">
        <v>68</v>
      </c>
      <c r="L1266" s="3">
        <v>0.15</v>
      </c>
      <c r="N1266" t="s">
        <v>3192</v>
      </c>
      <c r="P1266">
        <v>10</v>
      </c>
      <c r="Q1266">
        <v>25</v>
      </c>
      <c r="R1266">
        <v>2018</v>
      </c>
      <c r="S1266" s="4">
        <f t="shared" si="78"/>
        <v>43398</v>
      </c>
      <c r="T1266" s="4">
        <f t="shared" si="76"/>
        <v>43398</v>
      </c>
      <c r="U1266" s="4">
        <v>43398</v>
      </c>
    </row>
    <row r="1267" spans="1:21" x14ac:dyDescent="0.3">
      <c r="A1267" t="s">
        <v>1826</v>
      </c>
      <c r="B1267" s="1" t="s">
        <v>270</v>
      </c>
      <c r="C1267" s="1" t="s">
        <v>271</v>
      </c>
      <c r="D1267" s="1" t="s">
        <v>35</v>
      </c>
      <c r="E1267" s="2" t="s">
        <v>3513</v>
      </c>
      <c r="F1267" s="2" t="b">
        <f t="shared" si="79"/>
        <v>0</v>
      </c>
      <c r="G1267" s="2">
        <f t="shared" si="77"/>
        <v>42564</v>
      </c>
      <c r="H1267" s="1" t="s">
        <v>36</v>
      </c>
      <c r="I1267" s="1" t="s">
        <v>1827</v>
      </c>
      <c r="J1267" s="1">
        <v>50</v>
      </c>
      <c r="K1267" s="1">
        <v>46</v>
      </c>
      <c r="L1267" s="3">
        <v>0.08</v>
      </c>
      <c r="N1267" t="s">
        <v>3513</v>
      </c>
      <c r="P1267">
        <v>7</v>
      </c>
      <c r="Q1267">
        <v>13</v>
      </c>
      <c r="R1267">
        <v>2016</v>
      </c>
      <c r="S1267" s="4">
        <f t="shared" si="78"/>
        <v>42564</v>
      </c>
      <c r="T1267" s="4">
        <f t="shared" si="76"/>
        <v>42564</v>
      </c>
      <c r="U1267" s="4">
        <v>42564</v>
      </c>
    </row>
    <row r="1268" spans="1:21" x14ac:dyDescent="0.3">
      <c r="A1268" t="s">
        <v>1828</v>
      </c>
      <c r="B1268" s="1" t="s">
        <v>255</v>
      </c>
      <c r="C1268" s="1" t="s">
        <v>256</v>
      </c>
      <c r="D1268" s="1" t="s">
        <v>13</v>
      </c>
      <c r="E1268" s="2" t="s">
        <v>3514</v>
      </c>
      <c r="F1268" s="2" t="b">
        <f t="shared" si="79"/>
        <v>0</v>
      </c>
      <c r="G1268" s="2">
        <f t="shared" si="77"/>
        <v>41667</v>
      </c>
      <c r="H1268" s="1" t="s">
        <v>25</v>
      </c>
      <c r="I1268" s="1" t="s">
        <v>1829</v>
      </c>
      <c r="J1268" s="1">
        <v>700</v>
      </c>
      <c r="K1268" s="1">
        <v>574</v>
      </c>
      <c r="L1268" s="3">
        <v>0.18</v>
      </c>
      <c r="N1268" t="s">
        <v>3514</v>
      </c>
      <c r="P1268">
        <v>1</v>
      </c>
      <c r="Q1268">
        <v>28</v>
      </c>
      <c r="R1268">
        <v>2014</v>
      </c>
      <c r="S1268" s="4">
        <f t="shared" si="78"/>
        <v>41667</v>
      </c>
      <c r="T1268" s="4">
        <f t="shared" si="76"/>
        <v>41667</v>
      </c>
      <c r="U1268" s="4">
        <v>41667</v>
      </c>
    </row>
    <row r="1269" spans="1:21" x14ac:dyDescent="0.3">
      <c r="A1269" t="s">
        <v>1830</v>
      </c>
      <c r="B1269" s="1" t="s">
        <v>270</v>
      </c>
      <c r="C1269" s="1" t="s">
        <v>271</v>
      </c>
      <c r="D1269" s="1" t="s">
        <v>35</v>
      </c>
      <c r="E1269" s="2" t="s">
        <v>3480</v>
      </c>
      <c r="F1269" s="2" t="b">
        <f t="shared" si="79"/>
        <v>0</v>
      </c>
      <c r="G1269" s="2">
        <f t="shared" si="77"/>
        <v>42839</v>
      </c>
      <c r="H1269" s="1" t="s">
        <v>14</v>
      </c>
      <c r="I1269" s="1" t="s">
        <v>713</v>
      </c>
      <c r="J1269" s="1">
        <v>80</v>
      </c>
      <c r="K1269" s="1">
        <v>74</v>
      </c>
      <c r="L1269" s="3">
        <v>7.4999999999999997E-2</v>
      </c>
      <c r="N1269" t="s">
        <v>3480</v>
      </c>
      <c r="P1269">
        <v>4</v>
      </c>
      <c r="Q1269">
        <v>14</v>
      </c>
      <c r="R1269">
        <v>2017</v>
      </c>
      <c r="S1269" s="4">
        <f t="shared" si="78"/>
        <v>42839</v>
      </c>
      <c r="T1269" s="4">
        <f t="shared" si="76"/>
        <v>42839</v>
      </c>
      <c r="U1269" s="4">
        <v>42839</v>
      </c>
    </row>
    <row r="1270" spans="1:21" x14ac:dyDescent="0.3">
      <c r="A1270" t="s">
        <v>1831</v>
      </c>
      <c r="B1270" s="1" t="s">
        <v>49</v>
      </c>
      <c r="C1270" s="1" t="s">
        <v>50</v>
      </c>
      <c r="D1270" s="1" t="s">
        <v>24</v>
      </c>
      <c r="E1270" s="2">
        <v>43435</v>
      </c>
      <c r="F1270" s="2" t="b">
        <f t="shared" si="79"/>
        <v>1</v>
      </c>
      <c r="G1270" s="2">
        <f t="shared" si="77"/>
        <v>43435</v>
      </c>
      <c r="H1270" s="1" t="s">
        <v>122</v>
      </c>
      <c r="I1270" s="1" t="s">
        <v>378</v>
      </c>
      <c r="J1270" s="1">
        <v>50</v>
      </c>
      <c r="K1270" s="1">
        <v>44</v>
      </c>
      <c r="L1270" s="3">
        <v>0.12</v>
      </c>
      <c r="N1270" t="s">
        <v>3763</v>
      </c>
      <c r="S1270" s="4" t="e">
        <f t="shared" si="78"/>
        <v>#NUM!</v>
      </c>
      <c r="T1270" s="4" t="str">
        <f t="shared" si="76"/>
        <v/>
      </c>
      <c r="U1270" s="4" t="s">
        <v>3763</v>
      </c>
    </row>
    <row r="1271" spans="1:21" x14ac:dyDescent="0.3">
      <c r="A1271" t="s">
        <v>1832</v>
      </c>
      <c r="B1271" s="1" t="s">
        <v>118</v>
      </c>
      <c r="C1271" s="1" t="s">
        <v>119</v>
      </c>
      <c r="D1271" s="1" t="s">
        <v>35</v>
      </c>
      <c r="E1271" s="2">
        <v>42802</v>
      </c>
      <c r="F1271" s="2" t="b">
        <f t="shared" si="79"/>
        <v>1</v>
      </c>
      <c r="G1271" s="2">
        <f t="shared" si="77"/>
        <v>42802</v>
      </c>
      <c r="H1271" s="1" t="s">
        <v>41</v>
      </c>
      <c r="I1271" s="1" t="s">
        <v>120</v>
      </c>
      <c r="J1271" s="1">
        <v>30</v>
      </c>
      <c r="K1271" s="1">
        <v>30</v>
      </c>
      <c r="L1271" s="3">
        <v>0</v>
      </c>
      <c r="N1271" t="s">
        <v>3763</v>
      </c>
      <c r="S1271" s="4" t="e">
        <f t="shared" si="78"/>
        <v>#NUM!</v>
      </c>
      <c r="T1271" s="4" t="str">
        <f t="shared" si="76"/>
        <v/>
      </c>
      <c r="U1271" s="4" t="s">
        <v>3763</v>
      </c>
    </row>
    <row r="1272" spans="1:21" x14ac:dyDescent="0.3">
      <c r="A1272" t="s">
        <v>1833</v>
      </c>
      <c r="B1272" s="1" t="s">
        <v>95</v>
      </c>
      <c r="C1272" s="1" t="s">
        <v>96</v>
      </c>
      <c r="D1272" s="1" t="s">
        <v>13</v>
      </c>
      <c r="E1272" s="2" t="s">
        <v>3178</v>
      </c>
      <c r="F1272" s="2" t="b">
        <f t="shared" si="79"/>
        <v>0</v>
      </c>
      <c r="G1272" s="2">
        <f t="shared" si="77"/>
        <v>42934</v>
      </c>
      <c r="H1272" s="1" t="s">
        <v>72</v>
      </c>
      <c r="I1272" s="1" t="s">
        <v>1408</v>
      </c>
      <c r="J1272" s="1">
        <v>500</v>
      </c>
      <c r="K1272" s="1">
        <v>500</v>
      </c>
      <c r="L1272" s="3">
        <v>0</v>
      </c>
      <c r="N1272" t="s">
        <v>3178</v>
      </c>
      <c r="P1272">
        <v>7</v>
      </c>
      <c r="Q1272">
        <v>18</v>
      </c>
      <c r="R1272">
        <v>2017</v>
      </c>
      <c r="S1272" s="4">
        <f t="shared" si="78"/>
        <v>42934</v>
      </c>
      <c r="T1272" s="4">
        <f t="shared" si="76"/>
        <v>42934</v>
      </c>
      <c r="U1272" s="4">
        <v>42934</v>
      </c>
    </row>
    <row r="1273" spans="1:21" x14ac:dyDescent="0.3">
      <c r="A1273" t="s">
        <v>1834</v>
      </c>
      <c r="B1273" s="1" t="s">
        <v>157</v>
      </c>
      <c r="C1273" s="1" t="s">
        <v>108</v>
      </c>
      <c r="D1273" s="1" t="s">
        <v>19</v>
      </c>
      <c r="E1273" s="2" t="s">
        <v>3515</v>
      </c>
      <c r="F1273" s="2" t="b">
        <f t="shared" si="79"/>
        <v>0</v>
      </c>
      <c r="G1273" s="2">
        <f t="shared" si="77"/>
        <v>41723</v>
      </c>
      <c r="H1273" s="1" t="s">
        <v>36</v>
      </c>
      <c r="I1273" s="1" t="s">
        <v>1286</v>
      </c>
      <c r="J1273" s="1">
        <v>50</v>
      </c>
      <c r="K1273" s="1">
        <v>47</v>
      </c>
      <c r="L1273" s="3">
        <v>0.06</v>
      </c>
      <c r="N1273" t="s">
        <v>3515</v>
      </c>
      <c r="P1273">
        <v>3</v>
      </c>
      <c r="Q1273">
        <v>25</v>
      </c>
      <c r="R1273">
        <v>2014</v>
      </c>
      <c r="S1273" s="4">
        <f t="shared" si="78"/>
        <v>41723</v>
      </c>
      <c r="T1273" s="4">
        <f t="shared" si="76"/>
        <v>41723</v>
      </c>
      <c r="U1273" s="4">
        <v>41723</v>
      </c>
    </row>
    <row r="1274" spans="1:21" x14ac:dyDescent="0.3">
      <c r="A1274" t="s">
        <v>1835</v>
      </c>
      <c r="B1274" s="1" t="s">
        <v>81</v>
      </c>
      <c r="C1274" s="1" t="s">
        <v>82</v>
      </c>
      <c r="D1274" s="1" t="s">
        <v>13</v>
      </c>
      <c r="E1274" s="2" t="s">
        <v>3516</v>
      </c>
      <c r="F1274" s="2" t="b">
        <f t="shared" si="79"/>
        <v>0</v>
      </c>
      <c r="G1274" s="2">
        <f t="shared" si="77"/>
        <v>42853</v>
      </c>
      <c r="H1274" s="1" t="s">
        <v>36</v>
      </c>
      <c r="I1274" s="1" t="s">
        <v>282</v>
      </c>
      <c r="J1274" s="1">
        <v>50</v>
      </c>
      <c r="K1274" s="1">
        <v>46</v>
      </c>
      <c r="L1274" s="3">
        <v>0.08</v>
      </c>
      <c r="N1274" t="s">
        <v>3516</v>
      </c>
      <c r="P1274">
        <v>4</v>
      </c>
      <c r="Q1274">
        <v>28</v>
      </c>
      <c r="R1274">
        <v>2017</v>
      </c>
      <c r="S1274" s="4">
        <f t="shared" si="78"/>
        <v>42853</v>
      </c>
      <c r="T1274" s="4">
        <f t="shared" si="76"/>
        <v>42853</v>
      </c>
      <c r="U1274" s="4">
        <v>42853</v>
      </c>
    </row>
    <row r="1275" spans="1:21" x14ac:dyDescent="0.3">
      <c r="A1275" t="s">
        <v>1836</v>
      </c>
      <c r="B1275" s="1" t="s">
        <v>131</v>
      </c>
      <c r="C1275" s="1" t="s">
        <v>108</v>
      </c>
      <c r="D1275" s="1" t="s">
        <v>19</v>
      </c>
      <c r="E1275" s="2" t="s">
        <v>3251</v>
      </c>
      <c r="F1275" s="2" t="b">
        <f t="shared" si="79"/>
        <v>0</v>
      </c>
      <c r="G1275" s="2">
        <f t="shared" si="77"/>
        <v>42662</v>
      </c>
      <c r="H1275" s="1" t="s">
        <v>36</v>
      </c>
      <c r="I1275" s="1" t="s">
        <v>688</v>
      </c>
      <c r="J1275" s="1">
        <v>50</v>
      </c>
      <c r="K1275" s="1">
        <v>44</v>
      </c>
      <c r="L1275" s="3">
        <v>0.12</v>
      </c>
      <c r="N1275" t="s">
        <v>3251</v>
      </c>
      <c r="P1275">
        <v>10</v>
      </c>
      <c r="Q1275">
        <v>19</v>
      </c>
      <c r="R1275">
        <v>2016</v>
      </c>
      <c r="S1275" s="4">
        <f t="shared" si="78"/>
        <v>42662</v>
      </c>
      <c r="T1275" s="4">
        <f t="shared" si="76"/>
        <v>42662</v>
      </c>
      <c r="U1275" s="4">
        <v>42662</v>
      </c>
    </row>
    <row r="1276" spans="1:21" x14ac:dyDescent="0.3">
      <c r="A1276" t="s">
        <v>1837</v>
      </c>
      <c r="B1276" s="1" t="s">
        <v>22</v>
      </c>
      <c r="C1276" s="1" t="s">
        <v>23</v>
      </c>
      <c r="D1276" s="1" t="s">
        <v>24</v>
      </c>
      <c r="E1276" s="2">
        <v>41679</v>
      </c>
      <c r="F1276" s="2" t="b">
        <f t="shared" si="79"/>
        <v>1</v>
      </c>
      <c r="G1276" s="2">
        <f t="shared" si="77"/>
        <v>41679</v>
      </c>
      <c r="H1276" s="1" t="s">
        <v>46</v>
      </c>
      <c r="I1276" s="1" t="s">
        <v>624</v>
      </c>
      <c r="J1276" s="1">
        <v>500</v>
      </c>
      <c r="K1276" s="1">
        <v>355</v>
      </c>
      <c r="L1276" s="3">
        <v>0.28999999999999998</v>
      </c>
      <c r="N1276" t="s">
        <v>3763</v>
      </c>
      <c r="S1276" s="4" t="e">
        <f t="shared" si="78"/>
        <v>#NUM!</v>
      </c>
      <c r="T1276" s="4" t="str">
        <f t="shared" si="76"/>
        <v/>
      </c>
      <c r="U1276" s="4" t="s">
        <v>3763</v>
      </c>
    </row>
    <row r="1277" spans="1:21" x14ac:dyDescent="0.3">
      <c r="A1277" t="s">
        <v>1838</v>
      </c>
      <c r="B1277" s="1" t="s">
        <v>131</v>
      </c>
      <c r="C1277" s="1" t="s">
        <v>108</v>
      </c>
      <c r="D1277" s="1" t="s">
        <v>19</v>
      </c>
      <c r="E1277" s="2" t="s">
        <v>3517</v>
      </c>
      <c r="F1277" s="2" t="b">
        <f t="shared" si="79"/>
        <v>0</v>
      </c>
      <c r="G1277" s="2">
        <f t="shared" si="77"/>
        <v>43124</v>
      </c>
      <c r="H1277" s="1" t="s">
        <v>46</v>
      </c>
      <c r="I1277" s="1" t="s">
        <v>212</v>
      </c>
      <c r="J1277" s="1">
        <v>500</v>
      </c>
      <c r="K1277" s="1">
        <v>495</v>
      </c>
      <c r="L1277" s="3">
        <v>0.01</v>
      </c>
      <c r="N1277" t="s">
        <v>3517</v>
      </c>
      <c r="P1277">
        <v>1</v>
      </c>
      <c r="Q1277">
        <v>24</v>
      </c>
      <c r="R1277">
        <v>2018</v>
      </c>
      <c r="S1277" s="4">
        <f t="shared" si="78"/>
        <v>43124</v>
      </c>
      <c r="T1277" s="4">
        <f t="shared" si="76"/>
        <v>43124</v>
      </c>
      <c r="U1277" s="4">
        <v>43124</v>
      </c>
    </row>
    <row r="1278" spans="1:21" x14ac:dyDescent="0.3">
      <c r="A1278" t="s">
        <v>1839</v>
      </c>
      <c r="B1278" s="1" t="s">
        <v>227</v>
      </c>
      <c r="C1278" s="1" t="s">
        <v>228</v>
      </c>
      <c r="D1278" s="1" t="s">
        <v>24</v>
      </c>
      <c r="E1278" s="2" t="s">
        <v>3327</v>
      </c>
      <c r="F1278" s="2" t="b">
        <f t="shared" si="79"/>
        <v>0</v>
      </c>
      <c r="G1278" s="2">
        <f t="shared" si="77"/>
        <v>42303</v>
      </c>
      <c r="H1278" s="1" t="s">
        <v>14</v>
      </c>
      <c r="I1278" s="1" t="s">
        <v>836</v>
      </c>
      <c r="J1278" s="1">
        <v>80</v>
      </c>
      <c r="K1278" s="1">
        <v>61</v>
      </c>
      <c r="L1278" s="3">
        <v>0.23749999999999999</v>
      </c>
      <c r="N1278" t="s">
        <v>3327</v>
      </c>
      <c r="P1278">
        <v>10</v>
      </c>
      <c r="Q1278">
        <v>26</v>
      </c>
      <c r="R1278">
        <v>2015</v>
      </c>
      <c r="S1278" s="4">
        <f t="shared" si="78"/>
        <v>42303</v>
      </c>
      <c r="T1278" s="4">
        <f t="shared" si="76"/>
        <v>42303</v>
      </c>
      <c r="U1278" s="4">
        <v>42303</v>
      </c>
    </row>
    <row r="1279" spans="1:21" x14ac:dyDescent="0.3">
      <c r="A1279" t="s">
        <v>1840</v>
      </c>
      <c r="B1279" s="1" t="s">
        <v>95</v>
      </c>
      <c r="C1279" s="1" t="s">
        <v>96</v>
      </c>
      <c r="D1279" s="1" t="s">
        <v>13</v>
      </c>
      <c r="E1279" s="2" t="s">
        <v>3518</v>
      </c>
      <c r="F1279" s="2" t="b">
        <f t="shared" si="79"/>
        <v>0</v>
      </c>
      <c r="G1279" s="2">
        <f t="shared" si="77"/>
        <v>43424</v>
      </c>
      <c r="H1279" s="1" t="s">
        <v>72</v>
      </c>
      <c r="I1279" s="1" t="s">
        <v>216</v>
      </c>
      <c r="J1279" s="1">
        <v>500</v>
      </c>
      <c r="K1279" s="1">
        <v>495</v>
      </c>
      <c r="L1279" s="3">
        <v>0.01</v>
      </c>
      <c r="N1279" t="s">
        <v>3518</v>
      </c>
      <c r="P1279">
        <v>11</v>
      </c>
      <c r="Q1279">
        <v>20</v>
      </c>
      <c r="R1279">
        <v>2018</v>
      </c>
      <c r="S1279" s="4">
        <f t="shared" si="78"/>
        <v>43424</v>
      </c>
      <c r="T1279" s="4">
        <f t="shared" si="76"/>
        <v>43424</v>
      </c>
      <c r="U1279" s="4">
        <v>43424</v>
      </c>
    </row>
    <row r="1280" spans="1:21" x14ac:dyDescent="0.3">
      <c r="A1280" t="s">
        <v>1841</v>
      </c>
      <c r="B1280" s="1" t="s">
        <v>59</v>
      </c>
      <c r="C1280" s="1" t="s">
        <v>60</v>
      </c>
      <c r="D1280" s="1" t="s">
        <v>13</v>
      </c>
      <c r="E1280" s="2" t="s">
        <v>3080</v>
      </c>
      <c r="F1280" s="2" t="b">
        <f t="shared" si="79"/>
        <v>0</v>
      </c>
      <c r="G1280" s="2">
        <f t="shared" si="77"/>
        <v>43434</v>
      </c>
      <c r="H1280" s="1" t="s">
        <v>122</v>
      </c>
      <c r="I1280" s="1" t="s">
        <v>1842</v>
      </c>
      <c r="J1280" s="1">
        <v>50</v>
      </c>
      <c r="K1280" s="1">
        <v>48</v>
      </c>
      <c r="L1280" s="3">
        <v>0.04</v>
      </c>
      <c r="N1280" t="s">
        <v>3080</v>
      </c>
      <c r="P1280">
        <v>11</v>
      </c>
      <c r="Q1280">
        <v>30</v>
      </c>
      <c r="R1280">
        <v>2018</v>
      </c>
      <c r="S1280" s="4">
        <f t="shared" si="78"/>
        <v>43434</v>
      </c>
      <c r="T1280" s="4">
        <f t="shared" si="76"/>
        <v>43434</v>
      </c>
      <c r="U1280" s="4">
        <v>43434</v>
      </c>
    </row>
    <row r="1281" spans="1:21" x14ac:dyDescent="0.3">
      <c r="A1281" t="s">
        <v>1843</v>
      </c>
      <c r="B1281" s="1" t="s">
        <v>174</v>
      </c>
      <c r="C1281" s="1" t="s">
        <v>175</v>
      </c>
      <c r="D1281" s="1" t="s">
        <v>13</v>
      </c>
      <c r="E1281" s="2" t="s">
        <v>3519</v>
      </c>
      <c r="F1281" s="2" t="b">
        <f t="shared" si="79"/>
        <v>0</v>
      </c>
      <c r="G1281" s="2">
        <f t="shared" si="77"/>
        <v>43188</v>
      </c>
      <c r="H1281" s="1" t="s">
        <v>55</v>
      </c>
      <c r="I1281" s="1" t="s">
        <v>607</v>
      </c>
      <c r="J1281" s="1">
        <v>800</v>
      </c>
      <c r="K1281" s="1">
        <v>520</v>
      </c>
      <c r="L1281" s="3">
        <v>0.35</v>
      </c>
      <c r="N1281" t="s">
        <v>3519</v>
      </c>
      <c r="P1281">
        <v>3</v>
      </c>
      <c r="Q1281">
        <v>29</v>
      </c>
      <c r="R1281">
        <v>2018</v>
      </c>
      <c r="S1281" s="4">
        <f t="shared" si="78"/>
        <v>43188</v>
      </c>
      <c r="T1281" s="4">
        <f t="shared" si="76"/>
        <v>43188</v>
      </c>
      <c r="U1281" s="4">
        <v>43188</v>
      </c>
    </row>
    <row r="1282" spans="1:21" x14ac:dyDescent="0.3">
      <c r="A1282" t="s">
        <v>1844</v>
      </c>
      <c r="B1282" s="1" t="s">
        <v>270</v>
      </c>
      <c r="C1282" s="1" t="s">
        <v>271</v>
      </c>
      <c r="D1282" s="1" t="s">
        <v>35</v>
      </c>
      <c r="E1282" s="2" t="s">
        <v>3009</v>
      </c>
      <c r="F1282" s="2" t="b">
        <f t="shared" si="79"/>
        <v>0</v>
      </c>
      <c r="G1282" s="2">
        <f t="shared" si="77"/>
        <v>41866</v>
      </c>
      <c r="H1282" s="1" t="s">
        <v>72</v>
      </c>
      <c r="I1282" s="1" t="s">
        <v>566</v>
      </c>
      <c r="J1282" s="1">
        <v>500</v>
      </c>
      <c r="K1282" s="1">
        <v>490</v>
      </c>
      <c r="L1282" s="3">
        <v>0.02</v>
      </c>
      <c r="N1282" t="s">
        <v>3009</v>
      </c>
      <c r="P1282">
        <v>8</v>
      </c>
      <c r="Q1282">
        <v>15</v>
      </c>
      <c r="R1282">
        <v>2014</v>
      </c>
      <c r="S1282" s="4">
        <f t="shared" si="78"/>
        <v>41866</v>
      </c>
      <c r="T1282" s="4">
        <f t="shared" si="76"/>
        <v>41866</v>
      </c>
      <c r="U1282" s="4">
        <v>41866</v>
      </c>
    </row>
    <row r="1283" spans="1:21" x14ac:dyDescent="0.3">
      <c r="A1283" t="s">
        <v>1845</v>
      </c>
      <c r="B1283" s="1" t="s">
        <v>49</v>
      </c>
      <c r="C1283" s="1" t="s">
        <v>50</v>
      </c>
      <c r="D1283" s="1" t="s">
        <v>24</v>
      </c>
      <c r="E1283" s="2" t="s">
        <v>3520</v>
      </c>
      <c r="F1283" s="2" t="b">
        <f t="shared" si="79"/>
        <v>0</v>
      </c>
      <c r="G1283" s="2">
        <f t="shared" si="77"/>
        <v>42932</v>
      </c>
      <c r="H1283" s="1" t="s">
        <v>25</v>
      </c>
      <c r="I1283" s="1" t="s">
        <v>51</v>
      </c>
      <c r="J1283" s="1">
        <v>700</v>
      </c>
      <c r="K1283" s="1">
        <v>637</v>
      </c>
      <c r="L1283" s="3">
        <v>0.09</v>
      </c>
      <c r="N1283" t="s">
        <v>3520</v>
      </c>
      <c r="P1283">
        <v>7</v>
      </c>
      <c r="Q1283">
        <v>16</v>
      </c>
      <c r="R1283">
        <v>2017</v>
      </c>
      <c r="S1283" s="4">
        <f t="shared" si="78"/>
        <v>42932</v>
      </c>
      <c r="T1283" s="4">
        <f t="shared" ref="T1283:T1346" si="80">IF(AND(P1283&lt;&gt;"",Q1283&lt;&gt;"",R1283&lt;&gt;""),IFERROR(DATE(R1283,P1283,Q1283),""),"")</f>
        <v>42932</v>
      </c>
      <c r="U1283" s="4">
        <v>42932</v>
      </c>
    </row>
    <row r="1284" spans="1:21" x14ac:dyDescent="0.3">
      <c r="A1284" t="s">
        <v>1846</v>
      </c>
      <c r="B1284" s="1" t="s">
        <v>255</v>
      </c>
      <c r="C1284" s="1" t="s">
        <v>256</v>
      </c>
      <c r="D1284" s="1" t="s">
        <v>13</v>
      </c>
      <c r="E1284" s="2" t="s">
        <v>3521</v>
      </c>
      <c r="F1284" s="2" t="b">
        <f t="shared" si="79"/>
        <v>0</v>
      </c>
      <c r="G1284" s="2">
        <f t="shared" ref="G1284:G1347" si="81">IF(F1284=TRUE,E1284,U1284)</f>
        <v>41812</v>
      </c>
      <c r="H1284" s="1" t="s">
        <v>115</v>
      </c>
      <c r="I1284" s="1" t="s">
        <v>1341</v>
      </c>
      <c r="J1284" s="1">
        <v>250</v>
      </c>
      <c r="K1284" s="1">
        <v>203</v>
      </c>
      <c r="L1284" s="3">
        <v>0.188</v>
      </c>
      <c r="N1284" t="s">
        <v>3521</v>
      </c>
      <c r="P1284">
        <v>6</v>
      </c>
      <c r="Q1284">
        <v>22</v>
      </c>
      <c r="R1284">
        <v>2014</v>
      </c>
      <c r="S1284" s="4">
        <f t="shared" ref="S1284:S1347" si="82">DATE(R1284,P1284,Q1284)</f>
        <v>41812</v>
      </c>
      <c r="T1284" s="4">
        <f t="shared" si="80"/>
        <v>41812</v>
      </c>
      <c r="U1284" s="4">
        <v>41812</v>
      </c>
    </row>
    <row r="1285" spans="1:21" x14ac:dyDescent="0.3">
      <c r="A1285" t="s">
        <v>1847</v>
      </c>
      <c r="B1285" s="1" t="s">
        <v>81</v>
      </c>
      <c r="C1285" s="1" t="s">
        <v>82</v>
      </c>
      <c r="D1285" s="1" t="s">
        <v>13</v>
      </c>
      <c r="E1285" s="2" t="s">
        <v>3522</v>
      </c>
      <c r="F1285" s="2" t="b">
        <f t="shared" ref="F1285:F1348" si="83">ISNUMBER(E1285)</f>
        <v>0</v>
      </c>
      <c r="G1285" s="2">
        <f t="shared" si="81"/>
        <v>43452</v>
      </c>
      <c r="H1285" s="1" t="s">
        <v>46</v>
      </c>
      <c r="I1285" s="1" t="s">
        <v>83</v>
      </c>
      <c r="J1285" s="1">
        <v>500</v>
      </c>
      <c r="K1285" s="1">
        <v>500</v>
      </c>
      <c r="L1285" s="3">
        <v>0</v>
      </c>
      <c r="N1285" t="s">
        <v>3522</v>
      </c>
      <c r="P1285">
        <v>12</v>
      </c>
      <c r="Q1285">
        <v>18</v>
      </c>
      <c r="R1285">
        <v>2018</v>
      </c>
      <c r="S1285" s="4">
        <f t="shared" si="82"/>
        <v>43452</v>
      </c>
      <c r="T1285" s="4">
        <f t="shared" si="80"/>
        <v>43452</v>
      </c>
      <c r="U1285" s="4">
        <v>43452</v>
      </c>
    </row>
    <row r="1286" spans="1:21" x14ac:dyDescent="0.3">
      <c r="A1286" t="s">
        <v>1848</v>
      </c>
      <c r="B1286" s="1" t="s">
        <v>150</v>
      </c>
      <c r="C1286" s="1" t="s">
        <v>151</v>
      </c>
      <c r="D1286" s="1" t="s">
        <v>13</v>
      </c>
      <c r="E1286" s="2" t="s">
        <v>3308</v>
      </c>
      <c r="F1286" s="2" t="b">
        <f t="shared" si="83"/>
        <v>0</v>
      </c>
      <c r="G1286" s="2">
        <f t="shared" si="81"/>
        <v>42053</v>
      </c>
      <c r="H1286" s="1" t="s">
        <v>41</v>
      </c>
      <c r="I1286" s="1" t="s">
        <v>409</v>
      </c>
      <c r="J1286" s="1">
        <v>30</v>
      </c>
      <c r="K1286" s="1">
        <v>20</v>
      </c>
      <c r="L1286" s="3">
        <v>0.33329999999999999</v>
      </c>
      <c r="N1286" t="s">
        <v>3308</v>
      </c>
      <c r="P1286">
        <v>2</v>
      </c>
      <c r="Q1286">
        <v>18</v>
      </c>
      <c r="R1286">
        <v>2015</v>
      </c>
      <c r="S1286" s="4">
        <f t="shared" si="82"/>
        <v>42053</v>
      </c>
      <c r="T1286" s="4">
        <f t="shared" si="80"/>
        <v>42053</v>
      </c>
      <c r="U1286" s="4">
        <v>42053</v>
      </c>
    </row>
    <row r="1287" spans="1:21" x14ac:dyDescent="0.3">
      <c r="A1287" t="s">
        <v>1849</v>
      </c>
      <c r="B1287" s="1" t="s">
        <v>107</v>
      </c>
      <c r="C1287" s="1" t="s">
        <v>108</v>
      </c>
      <c r="D1287" s="1" t="s">
        <v>19</v>
      </c>
      <c r="E1287" s="2">
        <v>42404</v>
      </c>
      <c r="F1287" s="2" t="b">
        <f t="shared" si="83"/>
        <v>1</v>
      </c>
      <c r="G1287" s="2">
        <f t="shared" si="81"/>
        <v>42404</v>
      </c>
      <c r="H1287" s="1" t="s">
        <v>72</v>
      </c>
      <c r="I1287" s="1" t="s">
        <v>946</v>
      </c>
      <c r="J1287" s="1">
        <v>500</v>
      </c>
      <c r="K1287" s="1">
        <v>500</v>
      </c>
      <c r="L1287" s="3">
        <v>0</v>
      </c>
      <c r="N1287" t="s">
        <v>3763</v>
      </c>
      <c r="S1287" s="4" t="e">
        <f t="shared" si="82"/>
        <v>#NUM!</v>
      </c>
      <c r="T1287" s="4" t="str">
        <f t="shared" si="80"/>
        <v/>
      </c>
      <c r="U1287" s="4" t="s">
        <v>3763</v>
      </c>
    </row>
    <row r="1288" spans="1:21" x14ac:dyDescent="0.3">
      <c r="A1288" t="s">
        <v>1850</v>
      </c>
      <c r="B1288" s="1" t="s">
        <v>124</v>
      </c>
      <c r="C1288" s="1" t="s">
        <v>40</v>
      </c>
      <c r="D1288" s="1" t="s">
        <v>35</v>
      </c>
      <c r="E1288" s="2" t="s">
        <v>3456</v>
      </c>
      <c r="F1288" s="2" t="b">
        <f t="shared" si="83"/>
        <v>0</v>
      </c>
      <c r="G1288" s="2">
        <f t="shared" si="81"/>
        <v>42137</v>
      </c>
      <c r="H1288" s="1" t="s">
        <v>61</v>
      </c>
      <c r="I1288" s="1" t="s">
        <v>916</v>
      </c>
      <c r="J1288" s="1">
        <v>1000</v>
      </c>
      <c r="K1288" s="1">
        <v>910</v>
      </c>
      <c r="L1288" s="3">
        <v>0.09</v>
      </c>
      <c r="N1288" t="s">
        <v>3456</v>
      </c>
      <c r="P1288">
        <v>5</v>
      </c>
      <c r="Q1288">
        <v>13</v>
      </c>
      <c r="R1288">
        <v>2015</v>
      </c>
      <c r="S1288" s="4">
        <f t="shared" si="82"/>
        <v>42137</v>
      </c>
      <c r="T1288" s="4">
        <f t="shared" si="80"/>
        <v>42137</v>
      </c>
      <c r="U1288" s="4">
        <v>42137</v>
      </c>
    </row>
    <row r="1289" spans="1:21" x14ac:dyDescent="0.3">
      <c r="A1289" t="s">
        <v>1851</v>
      </c>
      <c r="B1289" s="1" t="s">
        <v>170</v>
      </c>
      <c r="C1289" s="1" t="s">
        <v>171</v>
      </c>
      <c r="D1289" s="1" t="s">
        <v>13</v>
      </c>
      <c r="E1289" s="2" t="s">
        <v>3523</v>
      </c>
      <c r="F1289" s="2" t="b">
        <f t="shared" si="83"/>
        <v>0</v>
      </c>
      <c r="G1289" s="2">
        <f t="shared" si="81"/>
        <v>42459</v>
      </c>
      <c r="H1289" s="1" t="s">
        <v>61</v>
      </c>
      <c r="I1289" s="1" t="s">
        <v>411</v>
      </c>
      <c r="J1289" s="1">
        <v>1000</v>
      </c>
      <c r="K1289" s="1">
        <v>960</v>
      </c>
      <c r="L1289" s="3">
        <v>0.04</v>
      </c>
      <c r="N1289" t="s">
        <v>3523</v>
      </c>
      <c r="P1289">
        <v>3</v>
      </c>
      <c r="Q1289">
        <v>30</v>
      </c>
      <c r="R1289">
        <v>2016</v>
      </c>
      <c r="S1289" s="4">
        <f t="shared" si="82"/>
        <v>42459</v>
      </c>
      <c r="T1289" s="4">
        <f t="shared" si="80"/>
        <v>42459</v>
      </c>
      <c r="U1289" s="4">
        <v>42459</v>
      </c>
    </row>
    <row r="1290" spans="1:21" x14ac:dyDescent="0.3">
      <c r="A1290" t="s">
        <v>1852</v>
      </c>
      <c r="B1290" s="1" t="s">
        <v>270</v>
      </c>
      <c r="C1290" s="1" t="s">
        <v>271</v>
      </c>
      <c r="D1290" s="1" t="s">
        <v>35</v>
      </c>
      <c r="E1290" s="2">
        <v>41677</v>
      </c>
      <c r="F1290" s="2" t="b">
        <f t="shared" si="83"/>
        <v>1</v>
      </c>
      <c r="G1290" s="2">
        <f t="shared" si="81"/>
        <v>41677</v>
      </c>
      <c r="H1290" s="1" t="s">
        <v>61</v>
      </c>
      <c r="I1290" s="1" t="s">
        <v>715</v>
      </c>
      <c r="J1290" s="1">
        <v>1000</v>
      </c>
      <c r="K1290" s="1">
        <v>540</v>
      </c>
      <c r="L1290" s="3">
        <v>0.46</v>
      </c>
      <c r="N1290" t="s">
        <v>3763</v>
      </c>
      <c r="S1290" s="4" t="e">
        <f t="shared" si="82"/>
        <v>#NUM!</v>
      </c>
      <c r="T1290" s="4" t="str">
        <f t="shared" si="80"/>
        <v/>
      </c>
      <c r="U1290" s="4" t="s">
        <v>3763</v>
      </c>
    </row>
    <row r="1291" spans="1:21" x14ac:dyDescent="0.3">
      <c r="A1291" t="s">
        <v>1853</v>
      </c>
      <c r="B1291" s="1" t="s">
        <v>182</v>
      </c>
      <c r="C1291" s="1" t="s">
        <v>108</v>
      </c>
      <c r="D1291" s="1" t="s">
        <v>19</v>
      </c>
      <c r="E1291" s="2">
        <v>43285</v>
      </c>
      <c r="F1291" s="2" t="b">
        <f t="shared" si="83"/>
        <v>1</v>
      </c>
      <c r="G1291" s="2">
        <f t="shared" si="81"/>
        <v>43285</v>
      </c>
      <c r="H1291" s="1" t="s">
        <v>36</v>
      </c>
      <c r="I1291" s="1" t="s">
        <v>502</v>
      </c>
      <c r="J1291" s="1">
        <v>50</v>
      </c>
      <c r="K1291" s="1">
        <v>49</v>
      </c>
      <c r="L1291" s="3">
        <v>0.02</v>
      </c>
      <c r="N1291" t="s">
        <v>3763</v>
      </c>
      <c r="S1291" s="4" t="e">
        <f t="shared" si="82"/>
        <v>#NUM!</v>
      </c>
      <c r="T1291" s="4" t="str">
        <f t="shared" si="80"/>
        <v/>
      </c>
      <c r="U1291" s="4" t="s">
        <v>3763</v>
      </c>
    </row>
    <row r="1292" spans="1:21" x14ac:dyDescent="0.3">
      <c r="A1292" t="s">
        <v>1854</v>
      </c>
      <c r="B1292" s="1" t="s">
        <v>95</v>
      </c>
      <c r="C1292" s="1" t="s">
        <v>96</v>
      </c>
      <c r="D1292" s="1" t="s">
        <v>13</v>
      </c>
      <c r="E1292" s="2" t="s">
        <v>2984</v>
      </c>
      <c r="F1292" s="2" t="b">
        <f t="shared" si="83"/>
        <v>0</v>
      </c>
      <c r="G1292" s="2">
        <f t="shared" si="81"/>
        <v>42936</v>
      </c>
      <c r="H1292" s="1" t="s">
        <v>36</v>
      </c>
      <c r="I1292" s="1" t="s">
        <v>460</v>
      </c>
      <c r="J1292" s="1">
        <v>50</v>
      </c>
      <c r="K1292" s="1">
        <v>47</v>
      </c>
      <c r="L1292" s="3">
        <v>0.06</v>
      </c>
      <c r="N1292" t="s">
        <v>2984</v>
      </c>
      <c r="P1292">
        <v>7</v>
      </c>
      <c r="Q1292">
        <v>20</v>
      </c>
      <c r="R1292">
        <v>2017</v>
      </c>
      <c r="S1292" s="4">
        <f t="shared" si="82"/>
        <v>42936</v>
      </c>
      <c r="T1292" s="4">
        <f t="shared" si="80"/>
        <v>42936</v>
      </c>
      <c r="U1292" s="4">
        <v>42936</v>
      </c>
    </row>
    <row r="1293" spans="1:21" x14ac:dyDescent="0.3">
      <c r="A1293" t="s">
        <v>1855</v>
      </c>
      <c r="B1293" s="1" t="s">
        <v>59</v>
      </c>
      <c r="C1293" s="1" t="s">
        <v>60</v>
      </c>
      <c r="D1293" s="1" t="s">
        <v>13</v>
      </c>
      <c r="E1293" s="2" t="s">
        <v>3524</v>
      </c>
      <c r="F1293" s="2" t="b">
        <f t="shared" si="83"/>
        <v>0</v>
      </c>
      <c r="G1293" s="2">
        <f t="shared" si="81"/>
        <v>42076</v>
      </c>
      <c r="H1293" s="1" t="s">
        <v>25</v>
      </c>
      <c r="I1293" s="1" t="s">
        <v>781</v>
      </c>
      <c r="J1293" s="1">
        <v>700</v>
      </c>
      <c r="K1293" s="1">
        <v>511</v>
      </c>
      <c r="L1293" s="3">
        <v>0.27</v>
      </c>
      <c r="N1293" t="s">
        <v>3524</v>
      </c>
      <c r="P1293">
        <v>3</v>
      </c>
      <c r="Q1293">
        <v>13</v>
      </c>
      <c r="R1293">
        <v>2015</v>
      </c>
      <c r="S1293" s="4">
        <f t="shared" si="82"/>
        <v>42076</v>
      </c>
      <c r="T1293" s="4">
        <f t="shared" si="80"/>
        <v>42076</v>
      </c>
      <c r="U1293" s="4">
        <v>42076</v>
      </c>
    </row>
    <row r="1294" spans="1:21" x14ac:dyDescent="0.3">
      <c r="A1294" t="s">
        <v>1856</v>
      </c>
      <c r="B1294" s="1" t="s">
        <v>255</v>
      </c>
      <c r="C1294" s="1" t="s">
        <v>256</v>
      </c>
      <c r="D1294" s="1" t="s">
        <v>13</v>
      </c>
      <c r="E1294" s="2" t="s">
        <v>3525</v>
      </c>
      <c r="F1294" s="2" t="b">
        <f t="shared" si="83"/>
        <v>0</v>
      </c>
      <c r="G1294" s="2">
        <f t="shared" si="81"/>
        <v>43386</v>
      </c>
      <c r="H1294" s="1" t="s">
        <v>55</v>
      </c>
      <c r="I1294" s="1" t="s">
        <v>1373</v>
      </c>
      <c r="J1294" s="1">
        <v>800</v>
      </c>
      <c r="K1294" s="1">
        <v>688</v>
      </c>
      <c r="L1294" s="3">
        <v>0.14000000000000001</v>
      </c>
      <c r="N1294" t="s">
        <v>3525</v>
      </c>
      <c r="P1294">
        <v>10</v>
      </c>
      <c r="Q1294">
        <v>13</v>
      </c>
      <c r="R1294">
        <v>2018</v>
      </c>
      <c r="S1294" s="4">
        <f t="shared" si="82"/>
        <v>43386</v>
      </c>
      <c r="T1294" s="4">
        <f t="shared" si="80"/>
        <v>43386</v>
      </c>
      <c r="U1294" s="4">
        <v>43386</v>
      </c>
    </row>
    <row r="1295" spans="1:21" x14ac:dyDescent="0.3">
      <c r="A1295" t="s">
        <v>1857</v>
      </c>
      <c r="B1295" s="1" t="s">
        <v>114</v>
      </c>
      <c r="C1295" s="1" t="s">
        <v>54</v>
      </c>
      <c r="D1295" s="1" t="s">
        <v>13</v>
      </c>
      <c r="E1295" s="2">
        <v>43198</v>
      </c>
      <c r="F1295" s="2" t="b">
        <f t="shared" si="83"/>
        <v>1</v>
      </c>
      <c r="G1295" s="2">
        <f t="shared" si="81"/>
        <v>43198</v>
      </c>
      <c r="H1295" s="1" t="s">
        <v>55</v>
      </c>
      <c r="I1295" s="1" t="s">
        <v>1496</v>
      </c>
      <c r="J1295" s="1">
        <v>800</v>
      </c>
      <c r="K1295" s="1">
        <v>648</v>
      </c>
      <c r="L1295" s="3">
        <v>0.19</v>
      </c>
      <c r="N1295" t="s">
        <v>3763</v>
      </c>
      <c r="S1295" s="4" t="e">
        <f t="shared" si="82"/>
        <v>#NUM!</v>
      </c>
      <c r="T1295" s="4" t="str">
        <f t="shared" si="80"/>
        <v/>
      </c>
      <c r="U1295" s="4" t="s">
        <v>3763</v>
      </c>
    </row>
    <row r="1296" spans="1:21" x14ac:dyDescent="0.3">
      <c r="A1296" t="s">
        <v>1858</v>
      </c>
      <c r="B1296" s="1" t="s">
        <v>187</v>
      </c>
      <c r="C1296" s="1" t="s">
        <v>188</v>
      </c>
      <c r="D1296" s="1" t="s">
        <v>13</v>
      </c>
      <c r="E1296" s="2" t="s">
        <v>3316</v>
      </c>
      <c r="F1296" s="2" t="b">
        <f t="shared" si="83"/>
        <v>0</v>
      </c>
      <c r="G1296" s="2">
        <f t="shared" si="81"/>
        <v>42884</v>
      </c>
      <c r="H1296" s="1" t="s">
        <v>41</v>
      </c>
      <c r="I1296" s="1" t="s">
        <v>741</v>
      </c>
      <c r="J1296" s="1">
        <v>30</v>
      </c>
      <c r="K1296" s="1">
        <v>30</v>
      </c>
      <c r="L1296" s="3">
        <v>0</v>
      </c>
      <c r="N1296" t="s">
        <v>3316</v>
      </c>
      <c r="P1296">
        <v>5</v>
      </c>
      <c r="Q1296">
        <v>29</v>
      </c>
      <c r="R1296">
        <v>2017</v>
      </c>
      <c r="S1296" s="4">
        <f t="shared" si="82"/>
        <v>42884</v>
      </c>
      <c r="T1296" s="4">
        <f t="shared" si="80"/>
        <v>42884</v>
      </c>
      <c r="U1296" s="4">
        <v>42884</v>
      </c>
    </row>
    <row r="1297" spans="1:21" x14ac:dyDescent="0.3">
      <c r="A1297" t="s">
        <v>1859</v>
      </c>
      <c r="B1297" s="1" t="s">
        <v>227</v>
      </c>
      <c r="C1297" s="1" t="s">
        <v>228</v>
      </c>
      <c r="D1297" s="1" t="s">
        <v>24</v>
      </c>
      <c r="E1297" s="2" t="s">
        <v>3526</v>
      </c>
      <c r="F1297" s="2" t="b">
        <f t="shared" si="83"/>
        <v>0</v>
      </c>
      <c r="G1297" s="2">
        <f t="shared" si="81"/>
        <v>41908</v>
      </c>
      <c r="H1297" s="1" t="s">
        <v>115</v>
      </c>
      <c r="I1297" s="1" t="s">
        <v>278</v>
      </c>
      <c r="J1297" s="1">
        <v>250</v>
      </c>
      <c r="K1297" s="1">
        <v>230</v>
      </c>
      <c r="L1297" s="3">
        <v>0.08</v>
      </c>
      <c r="N1297" t="s">
        <v>3526</v>
      </c>
      <c r="P1297">
        <v>9</v>
      </c>
      <c r="Q1297">
        <v>26</v>
      </c>
      <c r="R1297">
        <v>2014</v>
      </c>
      <c r="S1297" s="4">
        <f t="shared" si="82"/>
        <v>41908</v>
      </c>
      <c r="T1297" s="4">
        <f t="shared" si="80"/>
        <v>41908</v>
      </c>
      <c r="U1297" s="4">
        <v>41908</v>
      </c>
    </row>
    <row r="1298" spans="1:21" x14ac:dyDescent="0.3">
      <c r="A1298" t="s">
        <v>1860</v>
      </c>
      <c r="B1298" s="1" t="s">
        <v>17</v>
      </c>
      <c r="C1298" s="1" t="s">
        <v>18</v>
      </c>
      <c r="D1298" s="1" t="s">
        <v>19</v>
      </c>
      <c r="E1298" s="2" t="s">
        <v>3477</v>
      </c>
      <c r="F1298" s="2" t="b">
        <f t="shared" si="83"/>
        <v>0</v>
      </c>
      <c r="G1298" s="2">
        <f t="shared" si="81"/>
        <v>43428</v>
      </c>
      <c r="H1298" s="1" t="s">
        <v>122</v>
      </c>
      <c r="I1298" s="1" t="s">
        <v>776</v>
      </c>
      <c r="J1298" s="1">
        <v>50</v>
      </c>
      <c r="K1298" s="1">
        <v>47</v>
      </c>
      <c r="L1298" s="3">
        <v>0.06</v>
      </c>
      <c r="N1298" t="s">
        <v>3477</v>
      </c>
      <c r="P1298">
        <v>11</v>
      </c>
      <c r="Q1298">
        <v>24</v>
      </c>
      <c r="R1298">
        <v>2018</v>
      </c>
      <c r="S1298" s="4">
        <f t="shared" si="82"/>
        <v>43428</v>
      </c>
      <c r="T1298" s="4">
        <f t="shared" si="80"/>
        <v>43428</v>
      </c>
      <c r="U1298" s="4">
        <v>43428</v>
      </c>
    </row>
    <row r="1299" spans="1:21" x14ac:dyDescent="0.3">
      <c r="A1299" t="s">
        <v>1861</v>
      </c>
      <c r="B1299" s="1" t="s">
        <v>255</v>
      </c>
      <c r="C1299" s="1" t="s">
        <v>256</v>
      </c>
      <c r="D1299" s="1" t="s">
        <v>13</v>
      </c>
      <c r="E1299" s="2" t="s">
        <v>3500</v>
      </c>
      <c r="F1299" s="2" t="b">
        <f t="shared" si="83"/>
        <v>0</v>
      </c>
      <c r="G1299" s="2">
        <f t="shared" si="81"/>
        <v>42147</v>
      </c>
      <c r="H1299" s="1" t="s">
        <v>41</v>
      </c>
      <c r="I1299" s="1" t="s">
        <v>522</v>
      </c>
      <c r="J1299" s="1">
        <v>30</v>
      </c>
      <c r="K1299" s="1">
        <v>25</v>
      </c>
      <c r="L1299" s="3">
        <v>0.16669999999999999</v>
      </c>
      <c r="N1299" t="s">
        <v>3500</v>
      </c>
      <c r="P1299">
        <v>5</v>
      </c>
      <c r="Q1299">
        <v>23</v>
      </c>
      <c r="R1299">
        <v>2015</v>
      </c>
      <c r="S1299" s="4">
        <f t="shared" si="82"/>
        <v>42147</v>
      </c>
      <c r="T1299" s="4">
        <f t="shared" si="80"/>
        <v>42147</v>
      </c>
      <c r="U1299" s="4">
        <v>42147</v>
      </c>
    </row>
    <row r="1300" spans="1:21" x14ac:dyDescent="0.3">
      <c r="A1300" t="s">
        <v>1862</v>
      </c>
      <c r="B1300" s="1" t="s">
        <v>187</v>
      </c>
      <c r="C1300" s="1" t="s">
        <v>188</v>
      </c>
      <c r="D1300" s="1" t="s">
        <v>13</v>
      </c>
      <c r="E1300" s="2" t="s">
        <v>3128</v>
      </c>
      <c r="F1300" s="2" t="b">
        <f t="shared" si="83"/>
        <v>0</v>
      </c>
      <c r="G1300" s="2">
        <f t="shared" si="81"/>
        <v>43022</v>
      </c>
      <c r="H1300" s="1" t="s">
        <v>104</v>
      </c>
      <c r="I1300" s="1" t="s">
        <v>741</v>
      </c>
      <c r="J1300" s="1">
        <v>70</v>
      </c>
      <c r="K1300" s="1">
        <v>67</v>
      </c>
      <c r="L1300" s="3">
        <v>4.2900000000000001E-2</v>
      </c>
      <c r="N1300" t="s">
        <v>3128</v>
      </c>
      <c r="P1300">
        <v>10</v>
      </c>
      <c r="Q1300">
        <v>14</v>
      </c>
      <c r="R1300">
        <v>2017</v>
      </c>
      <c r="S1300" s="4">
        <f t="shared" si="82"/>
        <v>43022</v>
      </c>
      <c r="T1300" s="4">
        <f t="shared" si="80"/>
        <v>43022</v>
      </c>
      <c r="U1300" s="4">
        <v>43022</v>
      </c>
    </row>
    <row r="1301" spans="1:21" x14ac:dyDescent="0.3">
      <c r="A1301" t="s">
        <v>1863</v>
      </c>
      <c r="B1301" s="1" t="s">
        <v>170</v>
      </c>
      <c r="C1301" s="1" t="s">
        <v>171</v>
      </c>
      <c r="D1301" s="1" t="s">
        <v>13</v>
      </c>
      <c r="E1301" s="2" t="s">
        <v>3527</v>
      </c>
      <c r="F1301" s="2" t="b">
        <f t="shared" si="83"/>
        <v>0</v>
      </c>
      <c r="G1301" s="2">
        <f t="shared" si="81"/>
        <v>43250</v>
      </c>
      <c r="H1301" s="1" t="s">
        <v>61</v>
      </c>
      <c r="I1301" s="1" t="s">
        <v>1864</v>
      </c>
      <c r="J1301" s="1">
        <v>1000</v>
      </c>
      <c r="K1301" s="1">
        <v>940</v>
      </c>
      <c r="L1301" s="3">
        <v>0.06</v>
      </c>
      <c r="N1301" t="s">
        <v>3527</v>
      </c>
      <c r="P1301">
        <v>5</v>
      </c>
      <c r="Q1301">
        <v>30</v>
      </c>
      <c r="R1301">
        <v>2018</v>
      </c>
      <c r="S1301" s="4">
        <f t="shared" si="82"/>
        <v>43250</v>
      </c>
      <c r="T1301" s="4">
        <f t="shared" si="80"/>
        <v>43250</v>
      </c>
      <c r="U1301" s="4">
        <v>43250</v>
      </c>
    </row>
    <row r="1302" spans="1:21" x14ac:dyDescent="0.3">
      <c r="A1302" t="s">
        <v>1865</v>
      </c>
      <c r="B1302" s="1" t="s">
        <v>154</v>
      </c>
      <c r="C1302" s="1" t="s">
        <v>108</v>
      </c>
      <c r="D1302" s="1" t="s">
        <v>19</v>
      </c>
      <c r="E1302" s="2" t="s">
        <v>3299</v>
      </c>
      <c r="F1302" s="2" t="b">
        <f t="shared" si="83"/>
        <v>0</v>
      </c>
      <c r="G1302" s="2">
        <f t="shared" si="81"/>
        <v>42301</v>
      </c>
      <c r="H1302" s="1" t="s">
        <v>46</v>
      </c>
      <c r="I1302" s="1" t="s">
        <v>993</v>
      </c>
      <c r="J1302" s="1">
        <v>500</v>
      </c>
      <c r="K1302" s="1">
        <v>480</v>
      </c>
      <c r="L1302" s="3">
        <v>0.04</v>
      </c>
      <c r="N1302" t="s">
        <v>3299</v>
      </c>
      <c r="P1302">
        <v>10</v>
      </c>
      <c r="Q1302">
        <v>24</v>
      </c>
      <c r="R1302">
        <v>2015</v>
      </c>
      <c r="S1302" s="4">
        <f t="shared" si="82"/>
        <v>42301</v>
      </c>
      <c r="T1302" s="4">
        <f t="shared" si="80"/>
        <v>42301</v>
      </c>
      <c r="U1302" s="4">
        <v>42301</v>
      </c>
    </row>
    <row r="1303" spans="1:21" x14ac:dyDescent="0.3">
      <c r="A1303" t="s">
        <v>1866</v>
      </c>
      <c r="B1303" s="1" t="s">
        <v>95</v>
      </c>
      <c r="C1303" s="1" t="s">
        <v>96</v>
      </c>
      <c r="D1303" s="1" t="s">
        <v>13</v>
      </c>
      <c r="E1303" s="2" t="s">
        <v>3528</v>
      </c>
      <c r="F1303" s="2" t="b">
        <f t="shared" si="83"/>
        <v>0</v>
      </c>
      <c r="G1303" s="2">
        <f t="shared" si="81"/>
        <v>43126</v>
      </c>
      <c r="H1303" s="1" t="s">
        <v>104</v>
      </c>
      <c r="I1303" s="1" t="s">
        <v>460</v>
      </c>
      <c r="J1303" s="1">
        <v>70</v>
      </c>
      <c r="K1303" s="1">
        <v>68</v>
      </c>
      <c r="L1303" s="3">
        <v>2.86E-2</v>
      </c>
      <c r="N1303" t="s">
        <v>3528</v>
      </c>
      <c r="P1303">
        <v>1</v>
      </c>
      <c r="Q1303">
        <v>26</v>
      </c>
      <c r="R1303">
        <v>2018</v>
      </c>
      <c r="S1303" s="4">
        <f t="shared" si="82"/>
        <v>43126</v>
      </c>
      <c r="T1303" s="4">
        <f t="shared" si="80"/>
        <v>43126</v>
      </c>
      <c r="U1303" s="4">
        <v>43126</v>
      </c>
    </row>
    <row r="1304" spans="1:21" x14ac:dyDescent="0.3">
      <c r="A1304" t="s">
        <v>1867</v>
      </c>
      <c r="B1304" s="1" t="s">
        <v>99</v>
      </c>
      <c r="C1304" s="1" t="s">
        <v>100</v>
      </c>
      <c r="D1304" s="1" t="s">
        <v>13</v>
      </c>
      <c r="E1304" s="2" t="s">
        <v>3529</v>
      </c>
      <c r="F1304" s="2" t="b">
        <f t="shared" si="83"/>
        <v>0</v>
      </c>
      <c r="G1304" s="2">
        <f t="shared" si="81"/>
        <v>43266</v>
      </c>
      <c r="H1304" s="1" t="s">
        <v>30</v>
      </c>
      <c r="I1304" s="1" t="s">
        <v>1825</v>
      </c>
      <c r="J1304" s="1">
        <v>150</v>
      </c>
      <c r="K1304" s="1">
        <v>147</v>
      </c>
      <c r="L1304" s="3">
        <v>0.02</v>
      </c>
      <c r="N1304" t="s">
        <v>3529</v>
      </c>
      <c r="P1304">
        <v>6</v>
      </c>
      <c r="Q1304">
        <v>15</v>
      </c>
      <c r="R1304">
        <v>2018</v>
      </c>
      <c r="S1304" s="4">
        <f t="shared" si="82"/>
        <v>43266</v>
      </c>
      <c r="T1304" s="4">
        <f t="shared" si="80"/>
        <v>43266</v>
      </c>
      <c r="U1304" s="4">
        <v>43266</v>
      </c>
    </row>
    <row r="1305" spans="1:21" x14ac:dyDescent="0.3">
      <c r="A1305" t="s">
        <v>1868</v>
      </c>
      <c r="B1305" s="1" t="s">
        <v>170</v>
      </c>
      <c r="C1305" s="1" t="s">
        <v>171</v>
      </c>
      <c r="D1305" s="1" t="s">
        <v>13</v>
      </c>
      <c r="E1305" s="2" t="s">
        <v>3530</v>
      </c>
      <c r="F1305" s="2" t="b">
        <f t="shared" si="83"/>
        <v>0</v>
      </c>
      <c r="G1305" s="2">
        <f t="shared" si="81"/>
        <v>42915</v>
      </c>
      <c r="H1305" s="1" t="s">
        <v>14</v>
      </c>
      <c r="I1305" s="1" t="s">
        <v>1421</v>
      </c>
      <c r="J1305" s="1">
        <v>80</v>
      </c>
      <c r="K1305" s="1">
        <v>74</v>
      </c>
      <c r="L1305" s="3">
        <v>7.4999999999999997E-2</v>
      </c>
      <c r="N1305" t="s">
        <v>3530</v>
      </c>
      <c r="P1305">
        <v>6</v>
      </c>
      <c r="Q1305">
        <v>29</v>
      </c>
      <c r="R1305">
        <v>2017</v>
      </c>
      <c r="S1305" s="4">
        <f t="shared" si="82"/>
        <v>42915</v>
      </c>
      <c r="T1305" s="4">
        <f t="shared" si="80"/>
        <v>42915</v>
      </c>
      <c r="U1305" s="4">
        <v>42915</v>
      </c>
    </row>
    <row r="1306" spans="1:21" x14ac:dyDescent="0.3">
      <c r="A1306" t="s">
        <v>1869</v>
      </c>
      <c r="B1306" s="1" t="s">
        <v>157</v>
      </c>
      <c r="C1306" s="1" t="s">
        <v>108</v>
      </c>
      <c r="D1306" s="1" t="s">
        <v>19</v>
      </c>
      <c r="E1306" s="2" t="s">
        <v>3531</v>
      </c>
      <c r="F1306" s="2" t="b">
        <f t="shared" si="83"/>
        <v>0</v>
      </c>
      <c r="G1306" s="2">
        <f t="shared" si="81"/>
        <v>42580</v>
      </c>
      <c r="H1306" s="1" t="s">
        <v>72</v>
      </c>
      <c r="I1306" s="1" t="s">
        <v>1870</v>
      </c>
      <c r="J1306" s="1">
        <v>500</v>
      </c>
      <c r="K1306" s="1">
        <v>490</v>
      </c>
      <c r="L1306" s="3">
        <v>0.02</v>
      </c>
      <c r="N1306" t="s">
        <v>3531</v>
      </c>
      <c r="P1306">
        <v>7</v>
      </c>
      <c r="Q1306">
        <v>29</v>
      </c>
      <c r="R1306">
        <v>2016</v>
      </c>
      <c r="S1306" s="4">
        <f t="shared" si="82"/>
        <v>42580</v>
      </c>
      <c r="T1306" s="4">
        <f t="shared" si="80"/>
        <v>42580</v>
      </c>
      <c r="U1306" s="4">
        <v>42580</v>
      </c>
    </row>
    <row r="1307" spans="1:21" x14ac:dyDescent="0.3">
      <c r="A1307" t="s">
        <v>1871</v>
      </c>
      <c r="B1307" s="1" t="s">
        <v>205</v>
      </c>
      <c r="C1307" s="1" t="s">
        <v>206</v>
      </c>
      <c r="D1307" s="1" t="s">
        <v>24</v>
      </c>
      <c r="E1307" s="2" t="s">
        <v>3058</v>
      </c>
      <c r="F1307" s="2" t="b">
        <f t="shared" si="83"/>
        <v>0</v>
      </c>
      <c r="G1307" s="2">
        <f t="shared" si="81"/>
        <v>42509</v>
      </c>
      <c r="H1307" s="1" t="s">
        <v>72</v>
      </c>
      <c r="I1307" s="1" t="s">
        <v>1872</v>
      </c>
      <c r="J1307" s="1">
        <v>500</v>
      </c>
      <c r="K1307" s="1">
        <v>490</v>
      </c>
      <c r="L1307" s="3">
        <v>0.02</v>
      </c>
      <c r="N1307" t="s">
        <v>3058</v>
      </c>
      <c r="P1307">
        <v>5</v>
      </c>
      <c r="Q1307">
        <v>19</v>
      </c>
      <c r="R1307">
        <v>2016</v>
      </c>
      <c r="S1307" s="4">
        <f t="shared" si="82"/>
        <v>42509</v>
      </c>
      <c r="T1307" s="4">
        <f t="shared" si="80"/>
        <v>42509</v>
      </c>
      <c r="U1307" s="4">
        <v>42509</v>
      </c>
    </row>
    <row r="1308" spans="1:21" x14ac:dyDescent="0.3">
      <c r="A1308" t="s">
        <v>1873</v>
      </c>
      <c r="B1308" s="1" t="s">
        <v>118</v>
      </c>
      <c r="C1308" s="1" t="s">
        <v>119</v>
      </c>
      <c r="D1308" s="1" t="s">
        <v>35</v>
      </c>
      <c r="E1308" s="2">
        <v>41674</v>
      </c>
      <c r="F1308" s="2" t="b">
        <f t="shared" si="83"/>
        <v>1</v>
      </c>
      <c r="G1308" s="2">
        <f t="shared" si="81"/>
        <v>41674</v>
      </c>
      <c r="H1308" s="1" t="s">
        <v>104</v>
      </c>
      <c r="I1308" s="1" t="s">
        <v>847</v>
      </c>
      <c r="J1308" s="1">
        <v>70</v>
      </c>
      <c r="K1308" s="1">
        <v>70</v>
      </c>
      <c r="L1308" s="3">
        <v>0</v>
      </c>
      <c r="N1308" t="s">
        <v>3763</v>
      </c>
      <c r="S1308" s="4" t="e">
        <f t="shared" si="82"/>
        <v>#NUM!</v>
      </c>
      <c r="T1308" s="4" t="str">
        <f t="shared" si="80"/>
        <v/>
      </c>
      <c r="U1308" s="4" t="s">
        <v>3763</v>
      </c>
    </row>
    <row r="1309" spans="1:21" x14ac:dyDescent="0.3">
      <c r="A1309" t="s">
        <v>1874</v>
      </c>
      <c r="B1309" s="1" t="s">
        <v>85</v>
      </c>
      <c r="C1309" s="1" t="s">
        <v>86</v>
      </c>
      <c r="D1309" s="1" t="s">
        <v>13</v>
      </c>
      <c r="E1309" s="2" t="s">
        <v>3089</v>
      </c>
      <c r="F1309" s="2" t="b">
        <f t="shared" si="83"/>
        <v>0</v>
      </c>
      <c r="G1309" s="2">
        <f t="shared" si="81"/>
        <v>41972</v>
      </c>
      <c r="H1309" s="1" t="s">
        <v>72</v>
      </c>
      <c r="I1309" s="1" t="s">
        <v>573</v>
      </c>
      <c r="J1309" s="1">
        <v>500</v>
      </c>
      <c r="K1309" s="1">
        <v>500</v>
      </c>
      <c r="L1309" s="3">
        <v>0</v>
      </c>
      <c r="N1309" t="s">
        <v>3089</v>
      </c>
      <c r="P1309">
        <v>11</v>
      </c>
      <c r="Q1309">
        <v>29</v>
      </c>
      <c r="R1309">
        <v>2014</v>
      </c>
      <c r="S1309" s="4">
        <f t="shared" si="82"/>
        <v>41972</v>
      </c>
      <c r="T1309" s="4">
        <f t="shared" si="80"/>
        <v>41972</v>
      </c>
      <c r="U1309" s="4">
        <v>41972</v>
      </c>
    </row>
    <row r="1310" spans="1:21" x14ac:dyDescent="0.3">
      <c r="A1310" t="s">
        <v>1875</v>
      </c>
      <c r="B1310" s="1" t="s">
        <v>77</v>
      </c>
      <c r="C1310" s="1" t="s">
        <v>78</v>
      </c>
      <c r="D1310" s="1" t="s">
        <v>35</v>
      </c>
      <c r="E1310" s="2" t="s">
        <v>2974</v>
      </c>
      <c r="F1310" s="2" t="b">
        <f t="shared" si="83"/>
        <v>0</v>
      </c>
      <c r="G1310" s="2">
        <f t="shared" si="81"/>
        <v>42305</v>
      </c>
      <c r="H1310" s="1" t="s">
        <v>25</v>
      </c>
      <c r="I1310" s="1" t="s">
        <v>162</v>
      </c>
      <c r="J1310" s="1">
        <v>700</v>
      </c>
      <c r="K1310" s="1">
        <v>630</v>
      </c>
      <c r="L1310" s="3">
        <v>0.1</v>
      </c>
      <c r="N1310" t="s">
        <v>2974</v>
      </c>
      <c r="P1310">
        <v>10</v>
      </c>
      <c r="Q1310">
        <v>28</v>
      </c>
      <c r="R1310">
        <v>2015</v>
      </c>
      <c r="S1310" s="4">
        <f t="shared" si="82"/>
        <v>42305</v>
      </c>
      <c r="T1310" s="4">
        <f t="shared" si="80"/>
        <v>42305</v>
      </c>
      <c r="U1310" s="4">
        <v>42305</v>
      </c>
    </row>
    <row r="1311" spans="1:21" x14ac:dyDescent="0.3">
      <c r="A1311" t="s">
        <v>1876</v>
      </c>
      <c r="B1311" s="1" t="s">
        <v>95</v>
      </c>
      <c r="C1311" s="1" t="s">
        <v>96</v>
      </c>
      <c r="D1311" s="1" t="s">
        <v>13</v>
      </c>
      <c r="E1311" s="2" t="s">
        <v>3532</v>
      </c>
      <c r="F1311" s="2" t="b">
        <f t="shared" si="83"/>
        <v>0</v>
      </c>
      <c r="G1311" s="2">
        <f t="shared" si="81"/>
        <v>42170</v>
      </c>
      <c r="H1311" s="1" t="s">
        <v>36</v>
      </c>
      <c r="I1311" s="1" t="s">
        <v>1275</v>
      </c>
      <c r="J1311" s="1">
        <v>50</v>
      </c>
      <c r="K1311" s="1">
        <v>48</v>
      </c>
      <c r="L1311" s="3">
        <v>0.04</v>
      </c>
      <c r="N1311" t="s">
        <v>3532</v>
      </c>
      <c r="P1311">
        <v>6</v>
      </c>
      <c r="Q1311">
        <v>15</v>
      </c>
      <c r="R1311">
        <v>2015</v>
      </c>
      <c r="S1311" s="4">
        <f t="shared" si="82"/>
        <v>42170</v>
      </c>
      <c r="T1311" s="4">
        <f t="shared" si="80"/>
        <v>42170</v>
      </c>
      <c r="U1311" s="4">
        <v>42170</v>
      </c>
    </row>
    <row r="1312" spans="1:21" x14ac:dyDescent="0.3">
      <c r="A1312" t="s">
        <v>1877</v>
      </c>
      <c r="B1312" s="1" t="s">
        <v>241</v>
      </c>
      <c r="C1312" s="1" t="s">
        <v>242</v>
      </c>
      <c r="D1312" s="1" t="s">
        <v>13</v>
      </c>
      <c r="E1312" s="2" t="s">
        <v>3533</v>
      </c>
      <c r="F1312" s="2" t="b">
        <f t="shared" si="83"/>
        <v>0</v>
      </c>
      <c r="G1312" s="2">
        <f t="shared" si="81"/>
        <v>43402</v>
      </c>
      <c r="H1312" s="1" t="s">
        <v>55</v>
      </c>
      <c r="I1312" s="1" t="s">
        <v>626</v>
      </c>
      <c r="J1312" s="1">
        <v>800</v>
      </c>
      <c r="K1312" s="1">
        <v>736</v>
      </c>
      <c r="L1312" s="3">
        <v>0.08</v>
      </c>
      <c r="N1312" t="s">
        <v>3533</v>
      </c>
      <c r="P1312">
        <v>10</v>
      </c>
      <c r="Q1312">
        <v>29</v>
      </c>
      <c r="R1312">
        <v>2018</v>
      </c>
      <c r="S1312" s="4">
        <f t="shared" si="82"/>
        <v>43402</v>
      </c>
      <c r="T1312" s="4">
        <f t="shared" si="80"/>
        <v>43402</v>
      </c>
      <c r="U1312" s="4">
        <v>43402</v>
      </c>
    </row>
    <row r="1313" spans="1:21" x14ac:dyDescent="0.3">
      <c r="A1313" t="s">
        <v>1878</v>
      </c>
      <c r="B1313" s="1" t="s">
        <v>127</v>
      </c>
      <c r="C1313" s="1" t="s">
        <v>128</v>
      </c>
      <c r="D1313" s="1" t="s">
        <v>13</v>
      </c>
      <c r="E1313" s="2" t="s">
        <v>3063</v>
      </c>
      <c r="F1313" s="2" t="b">
        <f t="shared" si="83"/>
        <v>0</v>
      </c>
      <c r="G1313" s="2">
        <f t="shared" si="81"/>
        <v>42819</v>
      </c>
      <c r="H1313" s="1" t="s">
        <v>55</v>
      </c>
      <c r="I1313" s="1" t="s">
        <v>920</v>
      </c>
      <c r="J1313" s="1">
        <v>800</v>
      </c>
      <c r="K1313" s="1">
        <v>784</v>
      </c>
      <c r="L1313" s="3">
        <v>0.02</v>
      </c>
      <c r="N1313" t="s">
        <v>3063</v>
      </c>
      <c r="P1313">
        <v>3</v>
      </c>
      <c r="Q1313">
        <v>25</v>
      </c>
      <c r="R1313">
        <v>2017</v>
      </c>
      <c r="S1313" s="4">
        <f t="shared" si="82"/>
        <v>42819</v>
      </c>
      <c r="T1313" s="4">
        <f t="shared" si="80"/>
        <v>42819</v>
      </c>
      <c r="U1313" s="4">
        <v>42819</v>
      </c>
    </row>
    <row r="1314" spans="1:21" x14ac:dyDescent="0.3">
      <c r="A1314" t="s">
        <v>1879</v>
      </c>
      <c r="B1314" s="1" t="s">
        <v>150</v>
      </c>
      <c r="C1314" s="1" t="s">
        <v>151</v>
      </c>
      <c r="D1314" s="1" t="s">
        <v>13</v>
      </c>
      <c r="E1314" s="2" t="s">
        <v>3534</v>
      </c>
      <c r="F1314" s="2" t="b">
        <f t="shared" si="83"/>
        <v>0</v>
      </c>
      <c r="G1314" s="2">
        <f t="shared" si="81"/>
        <v>42912</v>
      </c>
      <c r="H1314" s="1" t="s">
        <v>115</v>
      </c>
      <c r="I1314" s="1" t="s">
        <v>771</v>
      </c>
      <c r="J1314" s="1">
        <v>250</v>
      </c>
      <c r="K1314" s="1">
        <v>230</v>
      </c>
      <c r="L1314" s="3">
        <v>0.08</v>
      </c>
      <c r="N1314" t="s">
        <v>3534</v>
      </c>
      <c r="P1314">
        <v>6</v>
      </c>
      <c r="Q1314">
        <v>26</v>
      </c>
      <c r="R1314">
        <v>2017</v>
      </c>
      <c r="S1314" s="4">
        <f t="shared" si="82"/>
        <v>42912</v>
      </c>
      <c r="T1314" s="4">
        <f t="shared" si="80"/>
        <v>42912</v>
      </c>
      <c r="U1314" s="4">
        <v>42912</v>
      </c>
    </row>
    <row r="1315" spans="1:21" x14ac:dyDescent="0.3">
      <c r="A1315" t="s">
        <v>1880</v>
      </c>
      <c r="B1315" s="1" t="s">
        <v>39</v>
      </c>
      <c r="C1315" s="1" t="s">
        <v>40</v>
      </c>
      <c r="D1315" s="1" t="s">
        <v>35</v>
      </c>
      <c r="E1315" s="2">
        <v>42380</v>
      </c>
      <c r="F1315" s="2" t="b">
        <f t="shared" si="83"/>
        <v>1</v>
      </c>
      <c r="G1315" s="2">
        <f t="shared" si="81"/>
        <v>42380</v>
      </c>
      <c r="H1315" s="1" t="s">
        <v>104</v>
      </c>
      <c r="I1315" s="1" t="s">
        <v>1881</v>
      </c>
      <c r="J1315" s="1">
        <v>70</v>
      </c>
      <c r="K1315" s="1">
        <v>62</v>
      </c>
      <c r="L1315" s="3">
        <v>0.1143</v>
      </c>
      <c r="N1315" t="s">
        <v>3763</v>
      </c>
      <c r="S1315" s="4" t="e">
        <f t="shared" si="82"/>
        <v>#NUM!</v>
      </c>
      <c r="T1315" s="4" t="str">
        <f t="shared" si="80"/>
        <v/>
      </c>
      <c r="U1315" s="4" t="s">
        <v>3763</v>
      </c>
    </row>
    <row r="1316" spans="1:21" x14ac:dyDescent="0.3">
      <c r="A1316" t="s">
        <v>1882</v>
      </c>
      <c r="B1316" s="1" t="s">
        <v>22</v>
      </c>
      <c r="C1316" s="1" t="s">
        <v>23</v>
      </c>
      <c r="D1316" s="1" t="s">
        <v>24</v>
      </c>
      <c r="E1316" s="2" t="s">
        <v>3535</v>
      </c>
      <c r="F1316" s="2" t="b">
        <f t="shared" si="83"/>
        <v>0</v>
      </c>
      <c r="G1316" s="2">
        <f t="shared" si="81"/>
        <v>41847</v>
      </c>
      <c r="H1316" s="1" t="s">
        <v>115</v>
      </c>
      <c r="I1316" s="1" t="s">
        <v>310</v>
      </c>
      <c r="J1316" s="1">
        <v>250</v>
      </c>
      <c r="K1316" s="1">
        <v>193</v>
      </c>
      <c r="L1316" s="3">
        <v>0.22800000000000001</v>
      </c>
      <c r="N1316" t="s">
        <v>3535</v>
      </c>
      <c r="P1316">
        <v>7</v>
      </c>
      <c r="Q1316">
        <v>27</v>
      </c>
      <c r="R1316">
        <v>2014</v>
      </c>
      <c r="S1316" s="4">
        <f t="shared" si="82"/>
        <v>41847</v>
      </c>
      <c r="T1316" s="4">
        <f t="shared" si="80"/>
        <v>41847</v>
      </c>
      <c r="U1316" s="4">
        <v>41847</v>
      </c>
    </row>
    <row r="1317" spans="1:21" x14ac:dyDescent="0.3">
      <c r="A1317" t="s">
        <v>1883</v>
      </c>
      <c r="B1317" s="1" t="s">
        <v>77</v>
      </c>
      <c r="C1317" s="1" t="s">
        <v>78</v>
      </c>
      <c r="D1317" s="1" t="s">
        <v>35</v>
      </c>
      <c r="E1317" s="2" t="s">
        <v>3524</v>
      </c>
      <c r="F1317" s="2" t="b">
        <f t="shared" si="83"/>
        <v>0</v>
      </c>
      <c r="G1317" s="2">
        <f t="shared" si="81"/>
        <v>42076</v>
      </c>
      <c r="H1317" s="1" t="s">
        <v>72</v>
      </c>
      <c r="I1317" s="1" t="s">
        <v>762</v>
      </c>
      <c r="J1317" s="1">
        <v>500</v>
      </c>
      <c r="K1317" s="1">
        <v>495</v>
      </c>
      <c r="L1317" s="3">
        <v>0.01</v>
      </c>
      <c r="N1317" t="s">
        <v>3524</v>
      </c>
      <c r="P1317">
        <v>3</v>
      </c>
      <c r="Q1317">
        <v>13</v>
      </c>
      <c r="R1317">
        <v>2015</v>
      </c>
      <c r="S1317" s="4">
        <f t="shared" si="82"/>
        <v>42076</v>
      </c>
      <c r="T1317" s="4">
        <f t="shared" si="80"/>
        <v>42076</v>
      </c>
      <c r="U1317" s="4">
        <v>42076</v>
      </c>
    </row>
    <row r="1318" spans="1:21" x14ac:dyDescent="0.3">
      <c r="A1318" t="s">
        <v>1884</v>
      </c>
      <c r="B1318" s="1" t="s">
        <v>150</v>
      </c>
      <c r="C1318" s="1" t="s">
        <v>151</v>
      </c>
      <c r="D1318" s="1" t="s">
        <v>13</v>
      </c>
      <c r="E1318" s="2">
        <v>41648</v>
      </c>
      <c r="F1318" s="2" t="b">
        <f t="shared" si="83"/>
        <v>1</v>
      </c>
      <c r="G1318" s="2">
        <f t="shared" si="81"/>
        <v>41648</v>
      </c>
      <c r="H1318" s="1" t="s">
        <v>55</v>
      </c>
      <c r="I1318" s="1" t="s">
        <v>152</v>
      </c>
      <c r="J1318" s="1">
        <v>800</v>
      </c>
      <c r="K1318" s="1">
        <v>784</v>
      </c>
      <c r="L1318" s="3">
        <v>0.02</v>
      </c>
      <c r="N1318" t="s">
        <v>3763</v>
      </c>
      <c r="S1318" s="4" t="e">
        <f t="shared" si="82"/>
        <v>#NUM!</v>
      </c>
      <c r="T1318" s="4" t="str">
        <f t="shared" si="80"/>
        <v/>
      </c>
      <c r="U1318" s="4" t="s">
        <v>3763</v>
      </c>
    </row>
    <row r="1319" spans="1:21" x14ac:dyDescent="0.3">
      <c r="A1319" t="s">
        <v>1885</v>
      </c>
      <c r="B1319" s="1" t="s">
        <v>205</v>
      </c>
      <c r="C1319" s="1" t="s">
        <v>206</v>
      </c>
      <c r="D1319" s="1" t="s">
        <v>24</v>
      </c>
      <c r="E1319" s="2" t="s">
        <v>3300</v>
      </c>
      <c r="F1319" s="2" t="b">
        <f t="shared" si="83"/>
        <v>0</v>
      </c>
      <c r="G1319" s="2">
        <f t="shared" si="81"/>
        <v>41989</v>
      </c>
      <c r="H1319" s="1" t="s">
        <v>14</v>
      </c>
      <c r="I1319" s="1" t="s">
        <v>681</v>
      </c>
      <c r="J1319" s="1">
        <v>80</v>
      </c>
      <c r="K1319" s="1">
        <v>60</v>
      </c>
      <c r="L1319" s="3">
        <v>0.25</v>
      </c>
      <c r="N1319" t="s">
        <v>3300</v>
      </c>
      <c r="P1319">
        <v>12</v>
      </c>
      <c r="Q1319">
        <v>16</v>
      </c>
      <c r="R1319">
        <v>2014</v>
      </c>
      <c r="S1319" s="4">
        <f t="shared" si="82"/>
        <v>41989</v>
      </c>
      <c r="T1319" s="4">
        <f t="shared" si="80"/>
        <v>41989</v>
      </c>
      <c r="U1319" s="4">
        <v>41989</v>
      </c>
    </row>
    <row r="1320" spans="1:21" x14ac:dyDescent="0.3">
      <c r="A1320" t="s">
        <v>1886</v>
      </c>
      <c r="B1320" s="1" t="s">
        <v>127</v>
      </c>
      <c r="C1320" s="1" t="s">
        <v>128</v>
      </c>
      <c r="D1320" s="1" t="s">
        <v>13</v>
      </c>
      <c r="E1320" s="2" t="s">
        <v>3536</v>
      </c>
      <c r="F1320" s="2" t="b">
        <f t="shared" si="83"/>
        <v>0</v>
      </c>
      <c r="G1320" s="2">
        <f t="shared" si="81"/>
        <v>43063</v>
      </c>
      <c r="H1320" s="1" t="s">
        <v>115</v>
      </c>
      <c r="I1320" s="1" t="s">
        <v>1261</v>
      </c>
      <c r="J1320" s="1">
        <v>250</v>
      </c>
      <c r="K1320" s="1">
        <v>235</v>
      </c>
      <c r="L1320" s="3">
        <v>0.06</v>
      </c>
      <c r="N1320" t="s">
        <v>3536</v>
      </c>
      <c r="P1320">
        <v>11</v>
      </c>
      <c r="Q1320">
        <v>24</v>
      </c>
      <c r="R1320">
        <v>2017</v>
      </c>
      <c r="S1320" s="4">
        <f t="shared" si="82"/>
        <v>43063</v>
      </c>
      <c r="T1320" s="4">
        <f t="shared" si="80"/>
        <v>43063</v>
      </c>
      <c r="U1320" s="4">
        <v>43063</v>
      </c>
    </row>
    <row r="1321" spans="1:21" x14ac:dyDescent="0.3">
      <c r="A1321" t="s">
        <v>1887</v>
      </c>
      <c r="B1321" s="1" t="s">
        <v>81</v>
      </c>
      <c r="C1321" s="1" t="s">
        <v>82</v>
      </c>
      <c r="D1321" s="1" t="s">
        <v>13</v>
      </c>
      <c r="E1321" s="2" t="s">
        <v>3084</v>
      </c>
      <c r="F1321" s="2" t="b">
        <f t="shared" si="83"/>
        <v>0</v>
      </c>
      <c r="G1321" s="2">
        <f t="shared" si="81"/>
        <v>42364</v>
      </c>
      <c r="H1321" s="1" t="s">
        <v>115</v>
      </c>
      <c r="I1321" s="1" t="s">
        <v>953</v>
      </c>
      <c r="J1321" s="1">
        <v>250</v>
      </c>
      <c r="K1321" s="1">
        <v>228</v>
      </c>
      <c r="L1321" s="3">
        <v>8.7999999999999995E-2</v>
      </c>
      <c r="N1321" t="s">
        <v>3084</v>
      </c>
      <c r="P1321">
        <v>12</v>
      </c>
      <c r="Q1321">
        <v>26</v>
      </c>
      <c r="R1321">
        <v>2015</v>
      </c>
      <c r="S1321" s="4">
        <f t="shared" si="82"/>
        <v>42364</v>
      </c>
      <c r="T1321" s="4">
        <f t="shared" si="80"/>
        <v>42364</v>
      </c>
      <c r="U1321" s="4">
        <v>42364</v>
      </c>
    </row>
    <row r="1322" spans="1:21" x14ac:dyDescent="0.3">
      <c r="A1322" t="s">
        <v>1888</v>
      </c>
      <c r="B1322" s="1" t="s">
        <v>146</v>
      </c>
      <c r="C1322" s="1" t="s">
        <v>147</v>
      </c>
      <c r="D1322" s="1" t="s">
        <v>13</v>
      </c>
      <c r="E1322" s="2" t="s">
        <v>3537</v>
      </c>
      <c r="F1322" s="2" t="b">
        <f t="shared" si="83"/>
        <v>0</v>
      </c>
      <c r="G1322" s="2">
        <f t="shared" si="81"/>
        <v>42425</v>
      </c>
      <c r="H1322" s="1" t="s">
        <v>14</v>
      </c>
      <c r="I1322" s="1" t="s">
        <v>1318</v>
      </c>
      <c r="J1322" s="1">
        <v>80</v>
      </c>
      <c r="K1322" s="1">
        <v>68</v>
      </c>
      <c r="L1322" s="3">
        <v>0.15</v>
      </c>
      <c r="N1322" t="s">
        <v>3537</v>
      </c>
      <c r="P1322">
        <v>2</v>
      </c>
      <c r="Q1322">
        <v>25</v>
      </c>
      <c r="R1322">
        <v>2016</v>
      </c>
      <c r="S1322" s="4">
        <f t="shared" si="82"/>
        <v>42425</v>
      </c>
      <c r="T1322" s="4">
        <f t="shared" si="80"/>
        <v>42425</v>
      </c>
      <c r="U1322" s="4">
        <v>42425</v>
      </c>
    </row>
    <row r="1323" spans="1:21" x14ac:dyDescent="0.3">
      <c r="A1323" t="s">
        <v>1889</v>
      </c>
      <c r="B1323" s="1" t="s">
        <v>127</v>
      </c>
      <c r="C1323" s="1" t="s">
        <v>128</v>
      </c>
      <c r="D1323" s="1" t="s">
        <v>13</v>
      </c>
      <c r="E1323" s="2" t="s">
        <v>3349</v>
      </c>
      <c r="F1323" s="2" t="b">
        <f t="shared" si="83"/>
        <v>0</v>
      </c>
      <c r="G1323" s="2">
        <f t="shared" si="81"/>
        <v>42172</v>
      </c>
      <c r="H1323" s="1" t="s">
        <v>104</v>
      </c>
      <c r="I1323" s="1" t="s">
        <v>920</v>
      </c>
      <c r="J1323" s="1">
        <v>70</v>
      </c>
      <c r="K1323" s="1">
        <v>64</v>
      </c>
      <c r="L1323" s="3">
        <v>8.5699999999999998E-2</v>
      </c>
      <c r="N1323" t="s">
        <v>3349</v>
      </c>
      <c r="P1323">
        <v>6</v>
      </c>
      <c r="Q1323">
        <v>17</v>
      </c>
      <c r="R1323">
        <v>2015</v>
      </c>
      <c r="S1323" s="4">
        <f t="shared" si="82"/>
        <v>42172</v>
      </c>
      <c r="T1323" s="4">
        <f t="shared" si="80"/>
        <v>42172</v>
      </c>
      <c r="U1323" s="4">
        <v>42172</v>
      </c>
    </row>
    <row r="1324" spans="1:21" x14ac:dyDescent="0.3">
      <c r="A1324" t="s">
        <v>1890</v>
      </c>
      <c r="B1324" s="1" t="s">
        <v>11</v>
      </c>
      <c r="C1324" s="1" t="s">
        <v>12</v>
      </c>
      <c r="D1324" s="1" t="s">
        <v>13</v>
      </c>
      <c r="E1324" s="2">
        <v>42187</v>
      </c>
      <c r="F1324" s="2" t="b">
        <f t="shared" si="83"/>
        <v>1</v>
      </c>
      <c r="G1324" s="2">
        <f t="shared" si="81"/>
        <v>42187</v>
      </c>
      <c r="H1324" s="1" t="s">
        <v>55</v>
      </c>
      <c r="I1324" s="1" t="s">
        <v>348</v>
      </c>
      <c r="J1324" s="1">
        <v>800</v>
      </c>
      <c r="K1324" s="1">
        <v>576</v>
      </c>
      <c r="L1324" s="3">
        <v>0.28000000000000003</v>
      </c>
      <c r="N1324" t="s">
        <v>3763</v>
      </c>
      <c r="S1324" s="4" t="e">
        <f t="shared" si="82"/>
        <v>#NUM!</v>
      </c>
      <c r="T1324" s="4" t="str">
        <f t="shared" si="80"/>
        <v/>
      </c>
      <c r="U1324" s="4" t="s">
        <v>3763</v>
      </c>
    </row>
    <row r="1325" spans="1:21" x14ac:dyDescent="0.3">
      <c r="A1325" t="s">
        <v>1891</v>
      </c>
      <c r="B1325" s="1" t="s">
        <v>53</v>
      </c>
      <c r="C1325" s="1" t="s">
        <v>54</v>
      </c>
      <c r="D1325" s="1" t="s">
        <v>13</v>
      </c>
      <c r="E1325" s="2">
        <v>42742</v>
      </c>
      <c r="F1325" s="2" t="b">
        <f t="shared" si="83"/>
        <v>1</v>
      </c>
      <c r="G1325" s="2">
        <f t="shared" si="81"/>
        <v>42742</v>
      </c>
      <c r="H1325" s="1" t="s">
        <v>36</v>
      </c>
      <c r="I1325" s="1" t="s">
        <v>1206</v>
      </c>
      <c r="J1325" s="1">
        <v>50</v>
      </c>
      <c r="K1325" s="1">
        <v>48</v>
      </c>
      <c r="L1325" s="3">
        <v>0.04</v>
      </c>
      <c r="N1325" t="s">
        <v>3763</v>
      </c>
      <c r="S1325" s="4" t="e">
        <f t="shared" si="82"/>
        <v>#NUM!</v>
      </c>
      <c r="T1325" s="4" t="str">
        <f t="shared" si="80"/>
        <v/>
      </c>
      <c r="U1325" s="4" t="s">
        <v>3763</v>
      </c>
    </row>
    <row r="1326" spans="1:21" x14ac:dyDescent="0.3">
      <c r="A1326" t="s">
        <v>1892</v>
      </c>
      <c r="B1326" s="1" t="s">
        <v>324</v>
      </c>
      <c r="C1326" s="1" t="s">
        <v>325</v>
      </c>
      <c r="D1326" s="1" t="s">
        <v>13</v>
      </c>
      <c r="E1326" s="2" t="s">
        <v>3538</v>
      </c>
      <c r="F1326" s="2" t="b">
        <f t="shared" si="83"/>
        <v>0</v>
      </c>
      <c r="G1326" s="2">
        <f t="shared" si="81"/>
        <v>41907</v>
      </c>
      <c r="H1326" s="1" t="s">
        <v>115</v>
      </c>
      <c r="I1326" s="1" t="s">
        <v>326</v>
      </c>
      <c r="J1326" s="1">
        <v>250</v>
      </c>
      <c r="K1326" s="1">
        <v>248</v>
      </c>
      <c r="L1326" s="3">
        <v>8.0000000000000002E-3</v>
      </c>
      <c r="N1326" t="s">
        <v>3538</v>
      </c>
      <c r="P1326">
        <v>9</v>
      </c>
      <c r="Q1326">
        <v>25</v>
      </c>
      <c r="R1326">
        <v>2014</v>
      </c>
      <c r="S1326" s="4">
        <f t="shared" si="82"/>
        <v>41907</v>
      </c>
      <c r="T1326" s="4">
        <f t="shared" si="80"/>
        <v>41907</v>
      </c>
      <c r="U1326" s="4">
        <v>41907</v>
      </c>
    </row>
    <row r="1327" spans="1:21" x14ac:dyDescent="0.3">
      <c r="A1327" t="s">
        <v>1893</v>
      </c>
      <c r="B1327" s="1" t="s">
        <v>103</v>
      </c>
      <c r="C1327" s="1" t="s">
        <v>71</v>
      </c>
      <c r="D1327" s="1" t="s">
        <v>35</v>
      </c>
      <c r="E1327" s="2">
        <v>42016</v>
      </c>
      <c r="F1327" s="2" t="b">
        <f t="shared" si="83"/>
        <v>1</v>
      </c>
      <c r="G1327" s="2">
        <f t="shared" si="81"/>
        <v>42016</v>
      </c>
      <c r="H1327" s="1" t="s">
        <v>25</v>
      </c>
      <c r="I1327" s="1" t="s">
        <v>497</v>
      </c>
      <c r="J1327" s="1">
        <v>700</v>
      </c>
      <c r="K1327" s="1">
        <v>567</v>
      </c>
      <c r="L1327" s="3">
        <v>0.19</v>
      </c>
      <c r="N1327" t="s">
        <v>3763</v>
      </c>
      <c r="S1327" s="4" t="e">
        <f t="shared" si="82"/>
        <v>#NUM!</v>
      </c>
      <c r="T1327" s="4" t="str">
        <f t="shared" si="80"/>
        <v/>
      </c>
      <c r="U1327" s="4" t="s">
        <v>3763</v>
      </c>
    </row>
    <row r="1328" spans="1:21" x14ac:dyDescent="0.3">
      <c r="A1328" t="s">
        <v>1894</v>
      </c>
      <c r="B1328" s="1" t="s">
        <v>70</v>
      </c>
      <c r="C1328" s="1" t="s">
        <v>71</v>
      </c>
      <c r="D1328" s="1" t="s">
        <v>35</v>
      </c>
      <c r="E1328" s="2">
        <v>42861</v>
      </c>
      <c r="F1328" s="2" t="b">
        <f t="shared" si="83"/>
        <v>1</v>
      </c>
      <c r="G1328" s="2">
        <f t="shared" si="81"/>
        <v>42861</v>
      </c>
      <c r="H1328" s="1" t="s">
        <v>55</v>
      </c>
      <c r="I1328" s="1" t="s">
        <v>962</v>
      </c>
      <c r="J1328" s="1">
        <v>800</v>
      </c>
      <c r="K1328" s="1">
        <v>472</v>
      </c>
      <c r="L1328" s="3">
        <v>0.41</v>
      </c>
      <c r="N1328" t="s">
        <v>3763</v>
      </c>
      <c r="S1328" s="4" t="e">
        <f t="shared" si="82"/>
        <v>#NUM!</v>
      </c>
      <c r="T1328" s="4" t="str">
        <f t="shared" si="80"/>
        <v/>
      </c>
      <c r="U1328" s="4" t="s">
        <v>3763</v>
      </c>
    </row>
    <row r="1329" spans="1:21" x14ac:dyDescent="0.3">
      <c r="A1329" t="s">
        <v>1895</v>
      </c>
      <c r="B1329" s="1" t="s">
        <v>270</v>
      </c>
      <c r="C1329" s="1" t="s">
        <v>271</v>
      </c>
      <c r="D1329" s="1" t="s">
        <v>35</v>
      </c>
      <c r="E1329" s="2" t="s">
        <v>3055</v>
      </c>
      <c r="F1329" s="2" t="b">
        <f t="shared" si="83"/>
        <v>0</v>
      </c>
      <c r="G1329" s="2">
        <f t="shared" si="81"/>
        <v>42171</v>
      </c>
      <c r="H1329" s="1" t="s">
        <v>25</v>
      </c>
      <c r="I1329" s="1" t="s">
        <v>566</v>
      </c>
      <c r="J1329" s="1">
        <v>700</v>
      </c>
      <c r="K1329" s="1">
        <v>595</v>
      </c>
      <c r="L1329" s="3">
        <v>0.15</v>
      </c>
      <c r="N1329" t="s">
        <v>3055</v>
      </c>
      <c r="P1329">
        <v>6</v>
      </c>
      <c r="Q1329">
        <v>16</v>
      </c>
      <c r="R1329">
        <v>2015</v>
      </c>
      <c r="S1329" s="4">
        <f t="shared" si="82"/>
        <v>42171</v>
      </c>
      <c r="T1329" s="4">
        <f t="shared" si="80"/>
        <v>42171</v>
      </c>
      <c r="U1329" s="4">
        <v>42171</v>
      </c>
    </row>
    <row r="1330" spans="1:21" x14ac:dyDescent="0.3">
      <c r="A1330" t="s">
        <v>1896</v>
      </c>
      <c r="B1330" s="1" t="s">
        <v>118</v>
      </c>
      <c r="C1330" s="1" t="s">
        <v>119</v>
      </c>
      <c r="D1330" s="1" t="s">
        <v>35</v>
      </c>
      <c r="E1330" s="2" t="s">
        <v>3190</v>
      </c>
      <c r="F1330" s="2" t="b">
        <f t="shared" si="83"/>
        <v>0</v>
      </c>
      <c r="G1330" s="2">
        <f t="shared" si="81"/>
        <v>42448</v>
      </c>
      <c r="H1330" s="1" t="s">
        <v>41</v>
      </c>
      <c r="I1330" s="1" t="s">
        <v>120</v>
      </c>
      <c r="J1330" s="1">
        <v>30</v>
      </c>
      <c r="K1330" s="1">
        <v>29</v>
      </c>
      <c r="L1330" s="3">
        <v>3.3300000000000003E-2</v>
      </c>
      <c r="N1330" t="s">
        <v>3190</v>
      </c>
      <c r="P1330">
        <v>3</v>
      </c>
      <c r="Q1330">
        <v>19</v>
      </c>
      <c r="R1330">
        <v>2016</v>
      </c>
      <c r="S1330" s="4">
        <f t="shared" si="82"/>
        <v>42448</v>
      </c>
      <c r="T1330" s="4">
        <f t="shared" si="80"/>
        <v>42448</v>
      </c>
      <c r="U1330" s="4">
        <v>42448</v>
      </c>
    </row>
    <row r="1331" spans="1:21" x14ac:dyDescent="0.3">
      <c r="A1331" t="s">
        <v>1897</v>
      </c>
      <c r="B1331" s="1" t="s">
        <v>95</v>
      </c>
      <c r="C1331" s="1" t="s">
        <v>96</v>
      </c>
      <c r="D1331" s="1" t="s">
        <v>13</v>
      </c>
      <c r="E1331" s="2" t="s">
        <v>3133</v>
      </c>
      <c r="F1331" s="2" t="b">
        <f t="shared" si="83"/>
        <v>0</v>
      </c>
      <c r="G1331" s="2">
        <f t="shared" si="81"/>
        <v>41970</v>
      </c>
      <c r="H1331" s="1" t="s">
        <v>122</v>
      </c>
      <c r="I1331" s="1" t="s">
        <v>769</v>
      </c>
      <c r="J1331" s="1">
        <v>50</v>
      </c>
      <c r="K1331" s="1">
        <v>36</v>
      </c>
      <c r="L1331" s="3">
        <v>0.28000000000000003</v>
      </c>
      <c r="N1331" t="s">
        <v>3133</v>
      </c>
      <c r="P1331">
        <v>11</v>
      </c>
      <c r="Q1331">
        <v>27</v>
      </c>
      <c r="R1331">
        <v>2014</v>
      </c>
      <c r="S1331" s="4">
        <f t="shared" si="82"/>
        <v>41970</v>
      </c>
      <c r="T1331" s="4">
        <f t="shared" si="80"/>
        <v>41970</v>
      </c>
      <c r="U1331" s="4">
        <v>41970</v>
      </c>
    </row>
    <row r="1332" spans="1:21" x14ac:dyDescent="0.3">
      <c r="A1332" t="s">
        <v>1898</v>
      </c>
      <c r="B1332" s="1" t="s">
        <v>114</v>
      </c>
      <c r="C1332" s="1" t="s">
        <v>54</v>
      </c>
      <c r="D1332" s="1" t="s">
        <v>13</v>
      </c>
      <c r="E1332" s="2" t="s">
        <v>3298</v>
      </c>
      <c r="F1332" s="2" t="b">
        <f t="shared" si="83"/>
        <v>0</v>
      </c>
      <c r="G1332" s="2">
        <f t="shared" si="81"/>
        <v>42022</v>
      </c>
      <c r="H1332" s="1" t="s">
        <v>36</v>
      </c>
      <c r="I1332" s="1" t="s">
        <v>235</v>
      </c>
      <c r="J1332" s="1">
        <v>50</v>
      </c>
      <c r="K1332" s="1">
        <v>31</v>
      </c>
      <c r="L1332" s="3">
        <v>0.38</v>
      </c>
      <c r="N1332" t="s">
        <v>3298</v>
      </c>
      <c r="P1332">
        <v>1</v>
      </c>
      <c r="Q1332">
        <v>18</v>
      </c>
      <c r="R1332">
        <v>2015</v>
      </c>
      <c r="S1332" s="4">
        <f t="shared" si="82"/>
        <v>42022</v>
      </c>
      <c r="T1332" s="4">
        <f t="shared" si="80"/>
        <v>42022</v>
      </c>
      <c r="U1332" s="4">
        <v>42022</v>
      </c>
    </row>
    <row r="1333" spans="1:21" x14ac:dyDescent="0.3">
      <c r="A1333" t="s">
        <v>1899</v>
      </c>
      <c r="B1333" s="1" t="s">
        <v>111</v>
      </c>
      <c r="C1333" s="1" t="s">
        <v>82</v>
      </c>
      <c r="D1333" s="1" t="s">
        <v>13</v>
      </c>
      <c r="E1333" s="2">
        <v>42408</v>
      </c>
      <c r="F1333" s="2" t="b">
        <f t="shared" si="83"/>
        <v>1</v>
      </c>
      <c r="G1333" s="2">
        <f t="shared" si="81"/>
        <v>42408</v>
      </c>
      <c r="H1333" s="1" t="s">
        <v>104</v>
      </c>
      <c r="I1333" s="1" t="s">
        <v>1424</v>
      </c>
      <c r="J1333" s="1">
        <v>70</v>
      </c>
      <c r="K1333" s="1">
        <v>68</v>
      </c>
      <c r="L1333" s="3">
        <v>2.86E-2</v>
      </c>
      <c r="N1333" t="s">
        <v>3763</v>
      </c>
      <c r="S1333" s="4" t="e">
        <f t="shared" si="82"/>
        <v>#NUM!</v>
      </c>
      <c r="T1333" s="4" t="str">
        <f t="shared" si="80"/>
        <v/>
      </c>
      <c r="U1333" s="4" t="s">
        <v>3763</v>
      </c>
    </row>
    <row r="1334" spans="1:21" x14ac:dyDescent="0.3">
      <c r="A1334" t="s">
        <v>1900</v>
      </c>
      <c r="B1334" s="1" t="s">
        <v>157</v>
      </c>
      <c r="C1334" s="1" t="s">
        <v>108</v>
      </c>
      <c r="D1334" s="1" t="s">
        <v>19</v>
      </c>
      <c r="E1334" s="2" t="s">
        <v>3134</v>
      </c>
      <c r="F1334" s="2" t="b">
        <f t="shared" si="83"/>
        <v>0</v>
      </c>
      <c r="G1334" s="2">
        <f t="shared" si="81"/>
        <v>42994</v>
      </c>
      <c r="H1334" s="1" t="s">
        <v>25</v>
      </c>
      <c r="I1334" s="1" t="s">
        <v>1870</v>
      </c>
      <c r="J1334" s="1">
        <v>700</v>
      </c>
      <c r="K1334" s="1">
        <v>672</v>
      </c>
      <c r="L1334" s="3">
        <v>0.04</v>
      </c>
      <c r="N1334" t="s">
        <v>3134</v>
      </c>
      <c r="P1334">
        <v>9</v>
      </c>
      <c r="Q1334">
        <v>16</v>
      </c>
      <c r="R1334">
        <v>2017</v>
      </c>
      <c r="S1334" s="4">
        <f t="shared" si="82"/>
        <v>42994</v>
      </c>
      <c r="T1334" s="4">
        <f t="shared" si="80"/>
        <v>42994</v>
      </c>
      <c r="U1334" s="4">
        <v>42994</v>
      </c>
    </row>
    <row r="1335" spans="1:21" x14ac:dyDescent="0.3">
      <c r="A1335" t="s">
        <v>1901</v>
      </c>
      <c r="B1335" s="1" t="s">
        <v>124</v>
      </c>
      <c r="C1335" s="1" t="s">
        <v>40</v>
      </c>
      <c r="D1335" s="1" t="s">
        <v>35</v>
      </c>
      <c r="E1335" s="2" t="s">
        <v>3539</v>
      </c>
      <c r="F1335" s="2" t="b">
        <f t="shared" si="83"/>
        <v>0</v>
      </c>
      <c r="G1335" s="2">
        <f t="shared" si="81"/>
        <v>42698</v>
      </c>
      <c r="H1335" s="1" t="s">
        <v>115</v>
      </c>
      <c r="I1335" s="1" t="s">
        <v>1017</v>
      </c>
      <c r="J1335" s="1">
        <v>250</v>
      </c>
      <c r="K1335" s="1">
        <v>240</v>
      </c>
      <c r="L1335" s="3">
        <v>0.04</v>
      </c>
      <c r="N1335" t="s">
        <v>3539</v>
      </c>
      <c r="P1335">
        <v>11</v>
      </c>
      <c r="Q1335">
        <v>24</v>
      </c>
      <c r="R1335">
        <v>2016</v>
      </c>
      <c r="S1335" s="4">
        <f t="shared" si="82"/>
        <v>42698</v>
      </c>
      <c r="T1335" s="4">
        <f t="shared" si="80"/>
        <v>42698</v>
      </c>
      <c r="U1335" s="4">
        <v>42698</v>
      </c>
    </row>
    <row r="1336" spans="1:21" x14ac:dyDescent="0.3">
      <c r="A1336" t="s">
        <v>1902</v>
      </c>
      <c r="B1336" s="1" t="s">
        <v>99</v>
      </c>
      <c r="C1336" s="1" t="s">
        <v>100</v>
      </c>
      <c r="D1336" s="1" t="s">
        <v>13</v>
      </c>
      <c r="E1336" s="2" t="s">
        <v>3210</v>
      </c>
      <c r="F1336" s="2" t="b">
        <f t="shared" si="83"/>
        <v>0</v>
      </c>
      <c r="G1336" s="2">
        <f t="shared" si="81"/>
        <v>43373</v>
      </c>
      <c r="H1336" s="1" t="s">
        <v>55</v>
      </c>
      <c r="I1336" s="1" t="s">
        <v>948</v>
      </c>
      <c r="J1336" s="1">
        <v>800</v>
      </c>
      <c r="K1336" s="1">
        <v>696</v>
      </c>
      <c r="L1336" s="3">
        <v>0.13</v>
      </c>
      <c r="N1336" t="s">
        <v>3210</v>
      </c>
      <c r="P1336">
        <v>9</v>
      </c>
      <c r="Q1336">
        <v>30</v>
      </c>
      <c r="R1336">
        <v>2018</v>
      </c>
      <c r="S1336" s="4">
        <f t="shared" si="82"/>
        <v>43373</v>
      </c>
      <c r="T1336" s="4">
        <f t="shared" si="80"/>
        <v>43373</v>
      </c>
      <c r="U1336" s="4">
        <v>43373</v>
      </c>
    </row>
    <row r="1337" spans="1:21" x14ac:dyDescent="0.3">
      <c r="A1337" t="s">
        <v>1903</v>
      </c>
      <c r="B1337" s="1" t="s">
        <v>77</v>
      </c>
      <c r="C1337" s="1" t="s">
        <v>78</v>
      </c>
      <c r="D1337" s="1" t="s">
        <v>35</v>
      </c>
      <c r="E1337" s="2">
        <v>43445</v>
      </c>
      <c r="F1337" s="2" t="b">
        <f t="shared" si="83"/>
        <v>1</v>
      </c>
      <c r="G1337" s="2">
        <f t="shared" si="81"/>
        <v>43445</v>
      </c>
      <c r="H1337" s="1" t="s">
        <v>25</v>
      </c>
      <c r="I1337" s="1" t="s">
        <v>394</v>
      </c>
      <c r="J1337" s="1">
        <v>700</v>
      </c>
      <c r="K1337" s="1">
        <v>602</v>
      </c>
      <c r="L1337" s="3">
        <v>0.14000000000000001</v>
      </c>
      <c r="N1337" t="s">
        <v>3763</v>
      </c>
      <c r="S1337" s="4" t="e">
        <f t="shared" si="82"/>
        <v>#NUM!</v>
      </c>
      <c r="T1337" s="4" t="str">
        <f t="shared" si="80"/>
        <v/>
      </c>
      <c r="U1337" s="4" t="s">
        <v>3763</v>
      </c>
    </row>
    <row r="1338" spans="1:21" x14ac:dyDescent="0.3">
      <c r="A1338" t="s">
        <v>1904</v>
      </c>
      <c r="B1338" s="1" t="s">
        <v>241</v>
      </c>
      <c r="C1338" s="1" t="s">
        <v>242</v>
      </c>
      <c r="D1338" s="1" t="s">
        <v>13</v>
      </c>
      <c r="E1338" s="2" t="s">
        <v>3540</v>
      </c>
      <c r="F1338" s="2" t="b">
        <f t="shared" si="83"/>
        <v>0</v>
      </c>
      <c r="G1338" s="2">
        <f t="shared" si="81"/>
        <v>42418</v>
      </c>
      <c r="H1338" s="1" t="s">
        <v>36</v>
      </c>
      <c r="I1338" s="1" t="s">
        <v>287</v>
      </c>
      <c r="J1338" s="1">
        <v>50</v>
      </c>
      <c r="K1338" s="1">
        <v>43</v>
      </c>
      <c r="L1338" s="3">
        <v>0.14000000000000001</v>
      </c>
      <c r="N1338" t="s">
        <v>3540</v>
      </c>
      <c r="P1338">
        <v>2</v>
      </c>
      <c r="Q1338">
        <v>18</v>
      </c>
      <c r="R1338">
        <v>2016</v>
      </c>
      <c r="S1338" s="4">
        <f t="shared" si="82"/>
        <v>42418</v>
      </c>
      <c r="T1338" s="4">
        <f t="shared" si="80"/>
        <v>42418</v>
      </c>
      <c r="U1338" s="4">
        <v>42418</v>
      </c>
    </row>
    <row r="1339" spans="1:21" x14ac:dyDescent="0.3">
      <c r="A1339" t="s">
        <v>1905</v>
      </c>
      <c r="B1339" s="1" t="s">
        <v>22</v>
      </c>
      <c r="C1339" s="1" t="s">
        <v>23</v>
      </c>
      <c r="D1339" s="1" t="s">
        <v>24</v>
      </c>
      <c r="E1339" s="2" t="s">
        <v>3062</v>
      </c>
      <c r="F1339" s="2" t="b">
        <f t="shared" si="83"/>
        <v>0</v>
      </c>
      <c r="G1339" s="2">
        <f t="shared" si="81"/>
        <v>42120</v>
      </c>
      <c r="H1339" s="1" t="s">
        <v>104</v>
      </c>
      <c r="I1339" s="1" t="s">
        <v>483</v>
      </c>
      <c r="J1339" s="1">
        <v>70</v>
      </c>
      <c r="K1339" s="1">
        <v>42</v>
      </c>
      <c r="L1339" s="3">
        <v>0.4</v>
      </c>
      <c r="N1339" t="s">
        <v>3062</v>
      </c>
      <c r="P1339">
        <v>4</v>
      </c>
      <c r="Q1339">
        <v>26</v>
      </c>
      <c r="R1339">
        <v>2015</v>
      </c>
      <c r="S1339" s="4">
        <f t="shared" si="82"/>
        <v>42120</v>
      </c>
      <c r="T1339" s="4">
        <f t="shared" si="80"/>
        <v>42120</v>
      </c>
      <c r="U1339" s="4">
        <v>42120</v>
      </c>
    </row>
    <row r="1340" spans="1:21" x14ac:dyDescent="0.3">
      <c r="A1340" t="s">
        <v>1906</v>
      </c>
      <c r="B1340" s="1" t="s">
        <v>187</v>
      </c>
      <c r="C1340" s="1" t="s">
        <v>188</v>
      </c>
      <c r="D1340" s="1" t="s">
        <v>13</v>
      </c>
      <c r="E1340" s="2">
        <v>41646</v>
      </c>
      <c r="F1340" s="2" t="b">
        <f t="shared" si="83"/>
        <v>1</v>
      </c>
      <c r="G1340" s="2">
        <f t="shared" si="81"/>
        <v>41646</v>
      </c>
      <c r="H1340" s="1" t="s">
        <v>41</v>
      </c>
      <c r="I1340" s="1" t="s">
        <v>741</v>
      </c>
      <c r="J1340" s="1">
        <v>30</v>
      </c>
      <c r="K1340" s="1">
        <v>30</v>
      </c>
      <c r="L1340" s="3">
        <v>0</v>
      </c>
      <c r="N1340" t="s">
        <v>3763</v>
      </c>
      <c r="S1340" s="4" t="e">
        <f t="shared" si="82"/>
        <v>#NUM!</v>
      </c>
      <c r="T1340" s="4" t="str">
        <f t="shared" si="80"/>
        <v/>
      </c>
      <c r="U1340" s="4" t="s">
        <v>3763</v>
      </c>
    </row>
    <row r="1341" spans="1:21" x14ac:dyDescent="0.3">
      <c r="A1341" t="s">
        <v>1907</v>
      </c>
      <c r="B1341" s="1" t="s">
        <v>264</v>
      </c>
      <c r="C1341" s="1" t="s">
        <v>265</v>
      </c>
      <c r="D1341" s="1" t="s">
        <v>13</v>
      </c>
      <c r="E1341" s="2" t="s">
        <v>3528</v>
      </c>
      <c r="F1341" s="2" t="b">
        <f t="shared" si="83"/>
        <v>0</v>
      </c>
      <c r="G1341" s="2">
        <f t="shared" si="81"/>
        <v>43126</v>
      </c>
      <c r="H1341" s="1" t="s">
        <v>25</v>
      </c>
      <c r="I1341" s="1" t="s">
        <v>802</v>
      </c>
      <c r="J1341" s="1">
        <v>700</v>
      </c>
      <c r="K1341" s="1">
        <v>623</v>
      </c>
      <c r="L1341" s="3">
        <v>0.11</v>
      </c>
      <c r="N1341" t="s">
        <v>3528</v>
      </c>
      <c r="P1341">
        <v>1</v>
      </c>
      <c r="Q1341">
        <v>26</v>
      </c>
      <c r="R1341">
        <v>2018</v>
      </c>
      <c r="S1341" s="4">
        <f t="shared" si="82"/>
        <v>43126</v>
      </c>
      <c r="T1341" s="4">
        <f t="shared" si="80"/>
        <v>43126</v>
      </c>
      <c r="U1341" s="4">
        <v>43126</v>
      </c>
    </row>
    <row r="1342" spans="1:21" x14ac:dyDescent="0.3">
      <c r="A1342" t="s">
        <v>1908</v>
      </c>
      <c r="B1342" s="1" t="s">
        <v>103</v>
      </c>
      <c r="C1342" s="1" t="s">
        <v>71</v>
      </c>
      <c r="D1342" s="1" t="s">
        <v>35</v>
      </c>
      <c r="E1342" s="2" t="s">
        <v>3541</v>
      </c>
      <c r="F1342" s="2" t="b">
        <f t="shared" si="83"/>
        <v>0</v>
      </c>
      <c r="G1342" s="2">
        <f t="shared" si="81"/>
        <v>42488</v>
      </c>
      <c r="H1342" s="1" t="s">
        <v>14</v>
      </c>
      <c r="I1342" s="1" t="s">
        <v>1531</v>
      </c>
      <c r="J1342" s="1">
        <v>80</v>
      </c>
      <c r="K1342" s="1">
        <v>76</v>
      </c>
      <c r="L1342" s="3">
        <v>0.05</v>
      </c>
      <c r="N1342" t="s">
        <v>3541</v>
      </c>
      <c r="P1342">
        <v>4</v>
      </c>
      <c r="Q1342">
        <v>28</v>
      </c>
      <c r="R1342">
        <v>2016</v>
      </c>
      <c r="S1342" s="4">
        <f t="shared" si="82"/>
        <v>42488</v>
      </c>
      <c r="T1342" s="4">
        <f t="shared" si="80"/>
        <v>42488</v>
      </c>
      <c r="U1342" s="4">
        <v>42488</v>
      </c>
    </row>
    <row r="1343" spans="1:21" x14ac:dyDescent="0.3">
      <c r="A1343" t="s">
        <v>1909</v>
      </c>
      <c r="B1343" s="1" t="s">
        <v>49</v>
      </c>
      <c r="C1343" s="1" t="s">
        <v>50</v>
      </c>
      <c r="D1343" s="1" t="s">
        <v>24</v>
      </c>
      <c r="E1343" s="2" t="s">
        <v>3208</v>
      </c>
      <c r="F1343" s="2" t="b">
        <f t="shared" si="83"/>
        <v>0</v>
      </c>
      <c r="G1343" s="2">
        <f t="shared" si="81"/>
        <v>42077</v>
      </c>
      <c r="H1343" s="1" t="s">
        <v>104</v>
      </c>
      <c r="I1343" s="1" t="s">
        <v>1000</v>
      </c>
      <c r="J1343" s="1">
        <v>70</v>
      </c>
      <c r="K1343" s="1">
        <v>45</v>
      </c>
      <c r="L1343" s="3">
        <v>0.35709999999999997</v>
      </c>
      <c r="N1343" t="s">
        <v>3208</v>
      </c>
      <c r="P1343">
        <v>3</v>
      </c>
      <c r="Q1343">
        <v>14</v>
      </c>
      <c r="R1343">
        <v>2015</v>
      </c>
      <c r="S1343" s="4">
        <f t="shared" si="82"/>
        <v>42077</v>
      </c>
      <c r="T1343" s="4">
        <f t="shared" si="80"/>
        <v>42077</v>
      </c>
      <c r="U1343" s="4">
        <v>42077</v>
      </c>
    </row>
    <row r="1344" spans="1:21" x14ac:dyDescent="0.3">
      <c r="A1344" t="s">
        <v>1910</v>
      </c>
      <c r="B1344" s="1" t="s">
        <v>124</v>
      </c>
      <c r="C1344" s="1" t="s">
        <v>40</v>
      </c>
      <c r="D1344" s="1" t="s">
        <v>35</v>
      </c>
      <c r="E1344" s="2" t="s">
        <v>3532</v>
      </c>
      <c r="F1344" s="2" t="b">
        <f t="shared" si="83"/>
        <v>0</v>
      </c>
      <c r="G1344" s="2">
        <f t="shared" si="81"/>
        <v>42170</v>
      </c>
      <c r="H1344" s="1" t="s">
        <v>55</v>
      </c>
      <c r="I1344" s="1" t="s">
        <v>1017</v>
      </c>
      <c r="J1344" s="1">
        <v>800</v>
      </c>
      <c r="K1344" s="1">
        <v>720</v>
      </c>
      <c r="L1344" s="3">
        <v>0.1</v>
      </c>
      <c r="N1344" t="s">
        <v>3532</v>
      </c>
      <c r="P1344">
        <v>6</v>
      </c>
      <c r="Q1344">
        <v>15</v>
      </c>
      <c r="R1344">
        <v>2015</v>
      </c>
      <c r="S1344" s="4">
        <f t="shared" si="82"/>
        <v>42170</v>
      </c>
      <c r="T1344" s="4">
        <f t="shared" si="80"/>
        <v>42170</v>
      </c>
      <c r="U1344" s="4">
        <v>42170</v>
      </c>
    </row>
    <row r="1345" spans="1:21" x14ac:dyDescent="0.3">
      <c r="A1345" t="s">
        <v>1911</v>
      </c>
      <c r="B1345" s="1" t="s">
        <v>154</v>
      </c>
      <c r="C1345" s="1" t="s">
        <v>108</v>
      </c>
      <c r="D1345" s="1" t="s">
        <v>19</v>
      </c>
      <c r="E1345" s="2" t="s">
        <v>3542</v>
      </c>
      <c r="F1345" s="2" t="b">
        <f t="shared" si="83"/>
        <v>0</v>
      </c>
      <c r="G1345" s="2">
        <f t="shared" si="81"/>
        <v>42539</v>
      </c>
      <c r="H1345" s="1" t="s">
        <v>104</v>
      </c>
      <c r="I1345" s="1" t="s">
        <v>490</v>
      </c>
      <c r="J1345" s="1">
        <v>70</v>
      </c>
      <c r="K1345" s="1">
        <v>63</v>
      </c>
      <c r="L1345" s="3">
        <v>0.1</v>
      </c>
      <c r="N1345" t="s">
        <v>3542</v>
      </c>
      <c r="P1345">
        <v>6</v>
      </c>
      <c r="Q1345">
        <v>18</v>
      </c>
      <c r="R1345">
        <v>2016</v>
      </c>
      <c r="S1345" s="4">
        <f t="shared" si="82"/>
        <v>42539</v>
      </c>
      <c r="T1345" s="4">
        <f t="shared" si="80"/>
        <v>42539</v>
      </c>
      <c r="U1345" s="4">
        <v>42539</v>
      </c>
    </row>
    <row r="1346" spans="1:21" x14ac:dyDescent="0.3">
      <c r="A1346" t="s">
        <v>1912</v>
      </c>
      <c r="B1346" s="1" t="s">
        <v>53</v>
      </c>
      <c r="C1346" s="1" t="s">
        <v>54</v>
      </c>
      <c r="D1346" s="1" t="s">
        <v>13</v>
      </c>
      <c r="E1346" s="2">
        <v>42917</v>
      </c>
      <c r="F1346" s="2" t="b">
        <f t="shared" si="83"/>
        <v>1</v>
      </c>
      <c r="G1346" s="2">
        <f t="shared" si="81"/>
        <v>42917</v>
      </c>
      <c r="H1346" s="1" t="s">
        <v>30</v>
      </c>
      <c r="I1346" s="1" t="s">
        <v>822</v>
      </c>
      <c r="J1346" s="1">
        <v>150</v>
      </c>
      <c r="K1346" s="1">
        <v>150</v>
      </c>
      <c r="L1346" s="3">
        <v>0</v>
      </c>
      <c r="N1346" t="s">
        <v>3763</v>
      </c>
      <c r="S1346" s="4" t="e">
        <f t="shared" si="82"/>
        <v>#NUM!</v>
      </c>
      <c r="T1346" s="4" t="str">
        <f t="shared" si="80"/>
        <v/>
      </c>
      <c r="U1346" s="4" t="s">
        <v>3763</v>
      </c>
    </row>
    <row r="1347" spans="1:21" x14ac:dyDescent="0.3">
      <c r="A1347" t="s">
        <v>1913</v>
      </c>
      <c r="B1347" s="1" t="s">
        <v>111</v>
      </c>
      <c r="C1347" s="1" t="s">
        <v>82</v>
      </c>
      <c r="D1347" s="1" t="s">
        <v>13</v>
      </c>
      <c r="E1347" s="2">
        <v>42287</v>
      </c>
      <c r="F1347" s="2" t="b">
        <f t="shared" si="83"/>
        <v>1</v>
      </c>
      <c r="G1347" s="2">
        <f t="shared" si="81"/>
        <v>42287</v>
      </c>
      <c r="H1347" s="1" t="s">
        <v>72</v>
      </c>
      <c r="I1347" s="1" t="s">
        <v>1688</v>
      </c>
      <c r="J1347" s="1">
        <v>500</v>
      </c>
      <c r="K1347" s="1">
        <v>490</v>
      </c>
      <c r="L1347" s="3">
        <v>0.02</v>
      </c>
      <c r="N1347" t="s">
        <v>3763</v>
      </c>
      <c r="S1347" s="4" t="e">
        <f t="shared" si="82"/>
        <v>#NUM!</v>
      </c>
      <c r="T1347" s="4" t="str">
        <f t="shared" ref="T1347:T1410" si="84">IF(AND(P1347&lt;&gt;"",Q1347&lt;&gt;"",R1347&lt;&gt;""),IFERROR(DATE(R1347,P1347,Q1347),""),"")</f>
        <v/>
      </c>
      <c r="U1347" s="4" t="s">
        <v>3763</v>
      </c>
    </row>
    <row r="1348" spans="1:21" x14ac:dyDescent="0.3">
      <c r="A1348" t="s">
        <v>1914</v>
      </c>
      <c r="B1348" s="1" t="s">
        <v>324</v>
      </c>
      <c r="C1348" s="1" t="s">
        <v>325</v>
      </c>
      <c r="D1348" s="1" t="s">
        <v>13</v>
      </c>
      <c r="E1348" s="2">
        <v>42714</v>
      </c>
      <c r="F1348" s="2" t="b">
        <f t="shared" si="83"/>
        <v>1</v>
      </c>
      <c r="G1348" s="2">
        <f t="shared" ref="G1348:G1411" si="85">IF(F1348=TRUE,E1348,U1348)</f>
        <v>42714</v>
      </c>
      <c r="H1348" s="1" t="s">
        <v>46</v>
      </c>
      <c r="I1348" s="1" t="s">
        <v>1915</v>
      </c>
      <c r="J1348" s="1">
        <v>500</v>
      </c>
      <c r="K1348" s="1">
        <v>500</v>
      </c>
      <c r="L1348" s="3">
        <v>0</v>
      </c>
      <c r="N1348" t="s">
        <v>3763</v>
      </c>
      <c r="S1348" s="4" t="e">
        <f t="shared" ref="S1348:S1411" si="86">DATE(R1348,P1348,Q1348)</f>
        <v>#NUM!</v>
      </c>
      <c r="T1348" s="4" t="str">
        <f t="shared" si="84"/>
        <v/>
      </c>
      <c r="U1348" s="4" t="s">
        <v>3763</v>
      </c>
    </row>
    <row r="1349" spans="1:21" x14ac:dyDescent="0.3">
      <c r="A1349" t="s">
        <v>1916</v>
      </c>
      <c r="B1349" s="1" t="s">
        <v>103</v>
      </c>
      <c r="C1349" s="1" t="s">
        <v>71</v>
      </c>
      <c r="D1349" s="1" t="s">
        <v>35</v>
      </c>
      <c r="E1349" s="2" t="s">
        <v>3543</v>
      </c>
      <c r="F1349" s="2" t="b">
        <f t="shared" ref="F1349:F1412" si="87">ISNUMBER(E1349)</f>
        <v>0</v>
      </c>
      <c r="G1349" s="2">
        <f t="shared" si="85"/>
        <v>42969</v>
      </c>
      <c r="H1349" s="1" t="s">
        <v>115</v>
      </c>
      <c r="I1349" s="1" t="s">
        <v>727</v>
      </c>
      <c r="J1349" s="1">
        <v>250</v>
      </c>
      <c r="K1349" s="1">
        <v>225</v>
      </c>
      <c r="L1349" s="3">
        <v>0.1</v>
      </c>
      <c r="N1349" t="s">
        <v>3543</v>
      </c>
      <c r="P1349">
        <v>8</v>
      </c>
      <c r="Q1349">
        <v>22</v>
      </c>
      <c r="R1349">
        <v>2017</v>
      </c>
      <c r="S1349" s="4">
        <f t="shared" si="86"/>
        <v>42969</v>
      </c>
      <c r="T1349" s="4">
        <f t="shared" si="84"/>
        <v>42969</v>
      </c>
      <c r="U1349" s="4">
        <v>42969</v>
      </c>
    </row>
    <row r="1350" spans="1:21" x14ac:dyDescent="0.3">
      <c r="A1350" t="s">
        <v>1917</v>
      </c>
      <c r="B1350" s="1" t="s">
        <v>124</v>
      </c>
      <c r="C1350" s="1" t="s">
        <v>40</v>
      </c>
      <c r="D1350" s="1" t="s">
        <v>35</v>
      </c>
      <c r="E1350" s="2">
        <v>42073</v>
      </c>
      <c r="F1350" s="2" t="b">
        <f t="shared" si="87"/>
        <v>1</v>
      </c>
      <c r="G1350" s="2">
        <f t="shared" si="85"/>
        <v>42073</v>
      </c>
      <c r="H1350" s="1" t="s">
        <v>36</v>
      </c>
      <c r="I1350" s="1" t="s">
        <v>125</v>
      </c>
      <c r="J1350" s="1">
        <v>50</v>
      </c>
      <c r="K1350" s="1">
        <v>43</v>
      </c>
      <c r="L1350" s="3">
        <v>0.14000000000000001</v>
      </c>
      <c r="N1350" t="s">
        <v>3763</v>
      </c>
      <c r="S1350" s="4" t="e">
        <f t="shared" si="86"/>
        <v>#NUM!</v>
      </c>
      <c r="T1350" s="4" t="str">
        <f t="shared" si="84"/>
        <v/>
      </c>
      <c r="U1350" s="4" t="s">
        <v>3763</v>
      </c>
    </row>
    <row r="1351" spans="1:21" x14ac:dyDescent="0.3">
      <c r="A1351" t="s">
        <v>1918</v>
      </c>
      <c r="B1351" s="1" t="s">
        <v>174</v>
      </c>
      <c r="C1351" s="1" t="s">
        <v>175</v>
      </c>
      <c r="D1351" s="1" t="s">
        <v>13</v>
      </c>
      <c r="E1351" s="2">
        <v>42983</v>
      </c>
      <c r="F1351" s="2" t="b">
        <f t="shared" si="87"/>
        <v>1</v>
      </c>
      <c r="G1351" s="2">
        <f t="shared" si="85"/>
        <v>42983</v>
      </c>
      <c r="H1351" s="1" t="s">
        <v>122</v>
      </c>
      <c r="I1351" s="1" t="s">
        <v>176</v>
      </c>
      <c r="J1351" s="1">
        <v>50</v>
      </c>
      <c r="K1351" s="1">
        <v>47</v>
      </c>
      <c r="L1351" s="3">
        <v>0.06</v>
      </c>
      <c r="N1351" t="s">
        <v>3763</v>
      </c>
      <c r="S1351" s="4" t="e">
        <f t="shared" si="86"/>
        <v>#NUM!</v>
      </c>
      <c r="T1351" s="4" t="str">
        <f t="shared" si="84"/>
        <v/>
      </c>
      <c r="U1351" s="4" t="s">
        <v>3763</v>
      </c>
    </row>
    <row r="1352" spans="1:21" x14ac:dyDescent="0.3">
      <c r="A1352" t="s">
        <v>1919</v>
      </c>
      <c r="B1352" s="1" t="s">
        <v>221</v>
      </c>
      <c r="C1352" s="1" t="s">
        <v>40</v>
      </c>
      <c r="D1352" s="1" t="s">
        <v>35</v>
      </c>
      <c r="E1352" s="2" t="s">
        <v>3237</v>
      </c>
      <c r="F1352" s="2" t="b">
        <f t="shared" si="87"/>
        <v>0</v>
      </c>
      <c r="G1352" s="2">
        <f t="shared" si="85"/>
        <v>42207</v>
      </c>
      <c r="H1352" s="1" t="s">
        <v>61</v>
      </c>
      <c r="I1352" s="1" t="s">
        <v>1920</v>
      </c>
      <c r="J1352" s="1">
        <v>1000</v>
      </c>
      <c r="K1352" s="1">
        <v>870</v>
      </c>
      <c r="L1352" s="3">
        <v>0.13</v>
      </c>
      <c r="N1352" t="s">
        <v>3237</v>
      </c>
      <c r="P1352">
        <v>7</v>
      </c>
      <c r="Q1352">
        <v>22</v>
      </c>
      <c r="R1352">
        <v>2015</v>
      </c>
      <c r="S1352" s="4">
        <f t="shared" si="86"/>
        <v>42207</v>
      </c>
      <c r="T1352" s="4">
        <f t="shared" si="84"/>
        <v>42207</v>
      </c>
      <c r="U1352" s="4">
        <v>42207</v>
      </c>
    </row>
    <row r="1353" spans="1:21" x14ac:dyDescent="0.3">
      <c r="A1353" t="s">
        <v>1921</v>
      </c>
      <c r="B1353" s="1" t="s">
        <v>33</v>
      </c>
      <c r="C1353" s="1" t="s">
        <v>34</v>
      </c>
      <c r="D1353" s="1" t="s">
        <v>35</v>
      </c>
      <c r="E1353" s="2" t="s">
        <v>3544</v>
      </c>
      <c r="F1353" s="2" t="b">
        <f t="shared" si="87"/>
        <v>0</v>
      </c>
      <c r="G1353" s="2">
        <f t="shared" si="85"/>
        <v>42901</v>
      </c>
      <c r="H1353" s="1" t="s">
        <v>55</v>
      </c>
      <c r="I1353" s="1" t="s">
        <v>37</v>
      </c>
      <c r="J1353" s="1">
        <v>800</v>
      </c>
      <c r="K1353" s="1">
        <v>456</v>
      </c>
      <c r="L1353" s="3">
        <v>0.43</v>
      </c>
      <c r="N1353" t="s">
        <v>3544</v>
      </c>
      <c r="P1353">
        <v>6</v>
      </c>
      <c r="Q1353">
        <v>15</v>
      </c>
      <c r="R1353">
        <v>2017</v>
      </c>
      <c r="S1353" s="4">
        <f t="shared" si="86"/>
        <v>42901</v>
      </c>
      <c r="T1353" s="4">
        <f t="shared" si="84"/>
        <v>42901</v>
      </c>
      <c r="U1353" s="4">
        <v>42901</v>
      </c>
    </row>
    <row r="1354" spans="1:21" x14ac:dyDescent="0.3">
      <c r="A1354" t="s">
        <v>1922</v>
      </c>
      <c r="B1354" s="1" t="s">
        <v>70</v>
      </c>
      <c r="C1354" s="1" t="s">
        <v>71</v>
      </c>
      <c r="D1354" s="1" t="s">
        <v>35</v>
      </c>
      <c r="E1354" s="2" t="s">
        <v>3545</v>
      </c>
      <c r="F1354" s="2" t="b">
        <f t="shared" si="87"/>
        <v>0</v>
      </c>
      <c r="G1354" s="2">
        <f t="shared" si="85"/>
        <v>42182</v>
      </c>
      <c r="H1354" s="1" t="s">
        <v>25</v>
      </c>
      <c r="I1354" s="1" t="s">
        <v>1723</v>
      </c>
      <c r="J1354" s="1">
        <v>700</v>
      </c>
      <c r="K1354" s="1">
        <v>525</v>
      </c>
      <c r="L1354" s="3">
        <v>0.25</v>
      </c>
      <c r="N1354" t="s">
        <v>3545</v>
      </c>
      <c r="P1354">
        <v>6</v>
      </c>
      <c r="Q1354">
        <v>27</v>
      </c>
      <c r="R1354">
        <v>2015</v>
      </c>
      <c r="S1354" s="4">
        <f t="shared" si="86"/>
        <v>42182</v>
      </c>
      <c r="T1354" s="4">
        <f t="shared" si="84"/>
        <v>42182</v>
      </c>
      <c r="U1354" s="4">
        <v>42182</v>
      </c>
    </row>
    <row r="1355" spans="1:21" x14ac:dyDescent="0.3">
      <c r="A1355" t="s">
        <v>1923</v>
      </c>
      <c r="B1355" s="1" t="s">
        <v>103</v>
      </c>
      <c r="C1355" s="1" t="s">
        <v>71</v>
      </c>
      <c r="D1355" s="1" t="s">
        <v>35</v>
      </c>
      <c r="E1355" s="2" t="s">
        <v>3546</v>
      </c>
      <c r="F1355" s="2" t="b">
        <f t="shared" si="87"/>
        <v>0</v>
      </c>
      <c r="G1355" s="2">
        <f t="shared" si="85"/>
        <v>42975</v>
      </c>
      <c r="H1355" s="1" t="s">
        <v>104</v>
      </c>
      <c r="I1355" s="1" t="s">
        <v>247</v>
      </c>
      <c r="J1355" s="1">
        <v>70</v>
      </c>
      <c r="K1355" s="1">
        <v>63</v>
      </c>
      <c r="L1355" s="3">
        <v>0.1</v>
      </c>
      <c r="N1355" t="s">
        <v>3546</v>
      </c>
      <c r="P1355">
        <v>8</v>
      </c>
      <c r="Q1355">
        <v>28</v>
      </c>
      <c r="R1355">
        <v>2017</v>
      </c>
      <c r="S1355" s="4">
        <f t="shared" si="86"/>
        <v>42975</v>
      </c>
      <c r="T1355" s="4">
        <f t="shared" si="84"/>
        <v>42975</v>
      </c>
      <c r="U1355" s="4">
        <v>42975</v>
      </c>
    </row>
    <row r="1356" spans="1:21" x14ac:dyDescent="0.3">
      <c r="A1356" t="s">
        <v>1924</v>
      </c>
      <c r="B1356" s="1" t="s">
        <v>131</v>
      </c>
      <c r="C1356" s="1" t="s">
        <v>108</v>
      </c>
      <c r="D1356" s="1" t="s">
        <v>19</v>
      </c>
      <c r="E1356" s="2" t="s">
        <v>3547</v>
      </c>
      <c r="F1356" s="2" t="b">
        <f t="shared" si="87"/>
        <v>0</v>
      </c>
      <c r="G1356" s="2">
        <f t="shared" si="85"/>
        <v>41715</v>
      </c>
      <c r="H1356" s="1" t="s">
        <v>41</v>
      </c>
      <c r="I1356" s="1" t="s">
        <v>1550</v>
      </c>
      <c r="J1356" s="1">
        <v>30</v>
      </c>
      <c r="K1356" s="1">
        <v>26</v>
      </c>
      <c r="L1356" s="3">
        <v>0.1333</v>
      </c>
      <c r="N1356" t="s">
        <v>3547</v>
      </c>
      <c r="P1356">
        <v>3</v>
      </c>
      <c r="Q1356">
        <v>17</v>
      </c>
      <c r="R1356">
        <v>2014</v>
      </c>
      <c r="S1356" s="4">
        <f t="shared" si="86"/>
        <v>41715</v>
      </c>
      <c r="T1356" s="4">
        <f t="shared" si="84"/>
        <v>41715</v>
      </c>
      <c r="U1356" s="4">
        <v>41715</v>
      </c>
    </row>
    <row r="1357" spans="1:21" x14ac:dyDescent="0.3">
      <c r="A1357" t="s">
        <v>1925</v>
      </c>
      <c r="B1357" s="1" t="s">
        <v>289</v>
      </c>
      <c r="C1357" s="1" t="s">
        <v>108</v>
      </c>
      <c r="D1357" s="1" t="s">
        <v>19</v>
      </c>
      <c r="E1357" s="2">
        <v>41825</v>
      </c>
      <c r="F1357" s="2" t="b">
        <f t="shared" si="87"/>
        <v>1</v>
      </c>
      <c r="G1357" s="2">
        <f t="shared" si="85"/>
        <v>41825</v>
      </c>
      <c r="H1357" s="1" t="s">
        <v>46</v>
      </c>
      <c r="I1357" s="1" t="s">
        <v>290</v>
      </c>
      <c r="J1357" s="1">
        <v>500</v>
      </c>
      <c r="K1357" s="1">
        <v>500</v>
      </c>
      <c r="L1357" s="3">
        <v>0</v>
      </c>
      <c r="N1357" t="s">
        <v>3763</v>
      </c>
      <c r="S1357" s="4" t="e">
        <f t="shared" si="86"/>
        <v>#NUM!</v>
      </c>
      <c r="T1357" s="4" t="str">
        <f t="shared" si="84"/>
        <v/>
      </c>
      <c r="U1357" s="4" t="s">
        <v>3763</v>
      </c>
    </row>
    <row r="1358" spans="1:21" x14ac:dyDescent="0.3">
      <c r="A1358" t="s">
        <v>1926</v>
      </c>
      <c r="B1358" s="1" t="s">
        <v>187</v>
      </c>
      <c r="C1358" s="1" t="s">
        <v>188</v>
      </c>
      <c r="D1358" s="1" t="s">
        <v>13</v>
      </c>
      <c r="E1358" s="2">
        <v>43258</v>
      </c>
      <c r="F1358" s="2" t="b">
        <f t="shared" si="87"/>
        <v>1</v>
      </c>
      <c r="G1358" s="2">
        <f t="shared" si="85"/>
        <v>43258</v>
      </c>
      <c r="H1358" s="1" t="s">
        <v>41</v>
      </c>
      <c r="I1358" s="1" t="s">
        <v>1150</v>
      </c>
      <c r="J1358" s="1">
        <v>30</v>
      </c>
      <c r="K1358" s="1">
        <v>29</v>
      </c>
      <c r="L1358" s="3">
        <v>3.3300000000000003E-2</v>
      </c>
      <c r="N1358" t="s">
        <v>3763</v>
      </c>
      <c r="S1358" s="4" t="e">
        <f t="shared" si="86"/>
        <v>#NUM!</v>
      </c>
      <c r="T1358" s="4" t="str">
        <f t="shared" si="84"/>
        <v/>
      </c>
      <c r="U1358" s="4" t="s">
        <v>3763</v>
      </c>
    </row>
    <row r="1359" spans="1:21" x14ac:dyDescent="0.3">
      <c r="A1359" t="s">
        <v>1927</v>
      </c>
      <c r="B1359" s="1" t="s">
        <v>131</v>
      </c>
      <c r="C1359" s="1" t="s">
        <v>108</v>
      </c>
      <c r="D1359" s="1" t="s">
        <v>19</v>
      </c>
      <c r="E1359" s="2">
        <v>41675</v>
      </c>
      <c r="F1359" s="2" t="b">
        <f t="shared" si="87"/>
        <v>1</v>
      </c>
      <c r="G1359" s="2">
        <f t="shared" si="85"/>
        <v>41675</v>
      </c>
      <c r="H1359" s="1" t="s">
        <v>41</v>
      </c>
      <c r="I1359" s="1" t="s">
        <v>212</v>
      </c>
      <c r="J1359" s="1">
        <v>30</v>
      </c>
      <c r="K1359" s="1">
        <v>23</v>
      </c>
      <c r="L1359" s="3">
        <v>0.23330000000000001</v>
      </c>
      <c r="N1359" t="s">
        <v>3763</v>
      </c>
      <c r="S1359" s="4" t="e">
        <f t="shared" si="86"/>
        <v>#NUM!</v>
      </c>
      <c r="T1359" s="4" t="str">
        <f t="shared" si="84"/>
        <v/>
      </c>
      <c r="U1359" s="4" t="s">
        <v>3763</v>
      </c>
    </row>
    <row r="1360" spans="1:21" x14ac:dyDescent="0.3">
      <c r="A1360" t="s">
        <v>1928</v>
      </c>
      <c r="B1360" s="1" t="s">
        <v>270</v>
      </c>
      <c r="C1360" s="1" t="s">
        <v>271</v>
      </c>
      <c r="D1360" s="1" t="s">
        <v>35</v>
      </c>
      <c r="E1360" s="2">
        <v>42714</v>
      </c>
      <c r="F1360" s="2" t="b">
        <f t="shared" si="87"/>
        <v>1</v>
      </c>
      <c r="G1360" s="2">
        <f t="shared" si="85"/>
        <v>42714</v>
      </c>
      <c r="H1360" s="1" t="s">
        <v>72</v>
      </c>
      <c r="I1360" s="1" t="s">
        <v>715</v>
      </c>
      <c r="J1360" s="1">
        <v>500</v>
      </c>
      <c r="K1360" s="1">
        <v>495</v>
      </c>
      <c r="L1360" s="3">
        <v>0.01</v>
      </c>
      <c r="N1360" t="s">
        <v>3763</v>
      </c>
      <c r="S1360" s="4" t="e">
        <f t="shared" si="86"/>
        <v>#NUM!</v>
      </c>
      <c r="T1360" s="4" t="str">
        <f t="shared" si="84"/>
        <v/>
      </c>
      <c r="U1360" s="4" t="s">
        <v>3763</v>
      </c>
    </row>
    <row r="1361" spans="1:21" x14ac:dyDescent="0.3">
      <c r="A1361" t="s">
        <v>1929</v>
      </c>
      <c r="B1361" s="1" t="s">
        <v>91</v>
      </c>
      <c r="C1361" s="1" t="s">
        <v>92</v>
      </c>
      <c r="D1361" s="1" t="s">
        <v>35</v>
      </c>
      <c r="E1361" s="2">
        <v>43049</v>
      </c>
      <c r="F1361" s="2" t="b">
        <f t="shared" si="87"/>
        <v>1</v>
      </c>
      <c r="G1361" s="2">
        <f t="shared" si="85"/>
        <v>43049</v>
      </c>
      <c r="H1361" s="1" t="s">
        <v>46</v>
      </c>
      <c r="I1361" s="1" t="s">
        <v>1155</v>
      </c>
      <c r="J1361" s="1">
        <v>500</v>
      </c>
      <c r="K1361" s="1">
        <v>480</v>
      </c>
      <c r="L1361" s="3">
        <v>0.04</v>
      </c>
      <c r="N1361" t="s">
        <v>3763</v>
      </c>
      <c r="S1361" s="4" t="e">
        <f t="shared" si="86"/>
        <v>#NUM!</v>
      </c>
      <c r="T1361" s="4" t="str">
        <f t="shared" si="84"/>
        <v/>
      </c>
      <c r="U1361" s="4" t="s">
        <v>3763</v>
      </c>
    </row>
    <row r="1362" spans="1:21" x14ac:dyDescent="0.3">
      <c r="A1362" t="s">
        <v>1930</v>
      </c>
      <c r="B1362" s="1" t="s">
        <v>95</v>
      </c>
      <c r="C1362" s="1" t="s">
        <v>96</v>
      </c>
      <c r="D1362" s="1" t="s">
        <v>13</v>
      </c>
      <c r="E1362" s="2" t="s">
        <v>3445</v>
      </c>
      <c r="F1362" s="2" t="b">
        <f t="shared" si="87"/>
        <v>0</v>
      </c>
      <c r="G1362" s="2">
        <f t="shared" si="85"/>
        <v>42083</v>
      </c>
      <c r="H1362" s="1" t="s">
        <v>61</v>
      </c>
      <c r="I1362" s="1" t="s">
        <v>1275</v>
      </c>
      <c r="J1362" s="1">
        <v>1000</v>
      </c>
      <c r="K1362" s="1">
        <v>930</v>
      </c>
      <c r="L1362" s="3">
        <v>7.0000000000000007E-2</v>
      </c>
      <c r="N1362" t="s">
        <v>3445</v>
      </c>
      <c r="P1362">
        <v>3</v>
      </c>
      <c r="Q1362">
        <v>20</v>
      </c>
      <c r="R1362">
        <v>2015</v>
      </c>
      <c r="S1362" s="4">
        <f t="shared" si="86"/>
        <v>42083</v>
      </c>
      <c r="T1362" s="4">
        <f t="shared" si="84"/>
        <v>42083</v>
      </c>
      <c r="U1362" s="4">
        <v>42083</v>
      </c>
    </row>
    <row r="1363" spans="1:21" x14ac:dyDescent="0.3">
      <c r="A1363" t="s">
        <v>1931</v>
      </c>
      <c r="B1363" s="1" t="s">
        <v>85</v>
      </c>
      <c r="C1363" s="1" t="s">
        <v>86</v>
      </c>
      <c r="D1363" s="1" t="s">
        <v>13</v>
      </c>
      <c r="E1363" s="2" t="s">
        <v>3239</v>
      </c>
      <c r="F1363" s="2" t="b">
        <f t="shared" si="87"/>
        <v>0</v>
      </c>
      <c r="G1363" s="2">
        <f t="shared" si="85"/>
        <v>42202</v>
      </c>
      <c r="H1363" s="1" t="s">
        <v>30</v>
      </c>
      <c r="I1363" s="1" t="s">
        <v>166</v>
      </c>
      <c r="J1363" s="1">
        <v>150</v>
      </c>
      <c r="K1363" s="1">
        <v>110</v>
      </c>
      <c r="L1363" s="3">
        <v>0.26669999999999999</v>
      </c>
      <c r="N1363" t="s">
        <v>3239</v>
      </c>
      <c r="P1363">
        <v>7</v>
      </c>
      <c r="Q1363">
        <v>17</v>
      </c>
      <c r="R1363">
        <v>2015</v>
      </c>
      <c r="S1363" s="4">
        <f t="shared" si="86"/>
        <v>42202</v>
      </c>
      <c r="T1363" s="4">
        <f t="shared" si="84"/>
        <v>42202</v>
      </c>
      <c r="U1363" s="4">
        <v>42202</v>
      </c>
    </row>
    <row r="1364" spans="1:21" x14ac:dyDescent="0.3">
      <c r="A1364" t="s">
        <v>1932</v>
      </c>
      <c r="B1364" s="1" t="s">
        <v>182</v>
      </c>
      <c r="C1364" s="1" t="s">
        <v>108</v>
      </c>
      <c r="D1364" s="1" t="s">
        <v>19</v>
      </c>
      <c r="E1364" s="2">
        <v>41764</v>
      </c>
      <c r="F1364" s="2" t="b">
        <f t="shared" si="87"/>
        <v>1</v>
      </c>
      <c r="G1364" s="2">
        <f t="shared" si="85"/>
        <v>41764</v>
      </c>
      <c r="H1364" s="1" t="s">
        <v>61</v>
      </c>
      <c r="I1364" s="1" t="s">
        <v>1258</v>
      </c>
      <c r="J1364" s="1">
        <v>1000</v>
      </c>
      <c r="K1364" s="1">
        <v>910</v>
      </c>
      <c r="L1364" s="3">
        <v>0.09</v>
      </c>
      <c r="N1364" t="s">
        <v>3763</v>
      </c>
      <c r="S1364" s="4" t="e">
        <f t="shared" si="86"/>
        <v>#NUM!</v>
      </c>
      <c r="T1364" s="4" t="str">
        <f t="shared" si="84"/>
        <v/>
      </c>
      <c r="U1364" s="4" t="s">
        <v>3763</v>
      </c>
    </row>
    <row r="1365" spans="1:21" x14ac:dyDescent="0.3">
      <c r="A1365" t="s">
        <v>1933</v>
      </c>
      <c r="B1365" s="1" t="s">
        <v>81</v>
      </c>
      <c r="C1365" s="1" t="s">
        <v>82</v>
      </c>
      <c r="D1365" s="1" t="s">
        <v>13</v>
      </c>
      <c r="E1365" s="2">
        <v>42586</v>
      </c>
      <c r="F1365" s="2" t="b">
        <f t="shared" si="87"/>
        <v>1</v>
      </c>
      <c r="G1365" s="2">
        <f t="shared" si="85"/>
        <v>42586</v>
      </c>
      <c r="H1365" s="1" t="s">
        <v>104</v>
      </c>
      <c r="I1365" s="1" t="s">
        <v>282</v>
      </c>
      <c r="J1365" s="1">
        <v>70</v>
      </c>
      <c r="K1365" s="1">
        <v>69</v>
      </c>
      <c r="L1365" s="3">
        <v>1.43E-2</v>
      </c>
      <c r="N1365" t="s">
        <v>3763</v>
      </c>
      <c r="S1365" s="4" t="e">
        <f t="shared" si="86"/>
        <v>#NUM!</v>
      </c>
      <c r="T1365" s="4" t="str">
        <f t="shared" si="84"/>
        <v/>
      </c>
      <c r="U1365" s="4" t="s">
        <v>3763</v>
      </c>
    </row>
    <row r="1366" spans="1:21" x14ac:dyDescent="0.3">
      <c r="A1366" t="s">
        <v>1934</v>
      </c>
      <c r="B1366" s="1" t="s">
        <v>11</v>
      </c>
      <c r="C1366" s="1" t="s">
        <v>12</v>
      </c>
      <c r="D1366" s="1" t="s">
        <v>13</v>
      </c>
      <c r="E1366" s="2">
        <v>42186</v>
      </c>
      <c r="F1366" s="2" t="b">
        <f t="shared" si="87"/>
        <v>1</v>
      </c>
      <c r="G1366" s="2">
        <f t="shared" si="85"/>
        <v>42186</v>
      </c>
      <c r="H1366" s="1" t="s">
        <v>25</v>
      </c>
      <c r="I1366" s="1" t="s">
        <v>1159</v>
      </c>
      <c r="J1366" s="1">
        <v>700</v>
      </c>
      <c r="K1366" s="1">
        <v>665</v>
      </c>
      <c r="L1366" s="3">
        <v>0.05</v>
      </c>
      <c r="N1366" t="s">
        <v>3763</v>
      </c>
      <c r="S1366" s="4" t="e">
        <f t="shared" si="86"/>
        <v>#NUM!</v>
      </c>
      <c r="T1366" s="4" t="str">
        <f t="shared" si="84"/>
        <v/>
      </c>
      <c r="U1366" s="4" t="s">
        <v>3763</v>
      </c>
    </row>
    <row r="1367" spans="1:21" x14ac:dyDescent="0.3">
      <c r="A1367" t="s">
        <v>1935</v>
      </c>
      <c r="B1367" s="1" t="s">
        <v>59</v>
      </c>
      <c r="C1367" s="1" t="s">
        <v>60</v>
      </c>
      <c r="D1367" s="1" t="s">
        <v>13</v>
      </c>
      <c r="E1367" s="2" t="s">
        <v>3548</v>
      </c>
      <c r="F1367" s="2" t="b">
        <f t="shared" si="87"/>
        <v>0</v>
      </c>
      <c r="G1367" s="2">
        <f t="shared" si="85"/>
        <v>43356</v>
      </c>
      <c r="H1367" s="1" t="s">
        <v>30</v>
      </c>
      <c r="I1367" s="1" t="s">
        <v>1750</v>
      </c>
      <c r="J1367" s="1">
        <v>150</v>
      </c>
      <c r="K1367" s="1">
        <v>143</v>
      </c>
      <c r="L1367" s="3">
        <v>4.6699999999999998E-2</v>
      </c>
      <c r="N1367" t="s">
        <v>3548</v>
      </c>
      <c r="P1367">
        <v>9</v>
      </c>
      <c r="Q1367">
        <v>13</v>
      </c>
      <c r="R1367">
        <v>2018</v>
      </c>
      <c r="S1367" s="4">
        <f t="shared" si="86"/>
        <v>43356</v>
      </c>
      <c r="T1367" s="4">
        <f t="shared" si="84"/>
        <v>43356</v>
      </c>
      <c r="U1367" s="4">
        <v>43356</v>
      </c>
    </row>
    <row r="1368" spans="1:21" x14ac:dyDescent="0.3">
      <c r="A1368" t="s">
        <v>1936</v>
      </c>
      <c r="B1368" s="1" t="s">
        <v>91</v>
      </c>
      <c r="C1368" s="1" t="s">
        <v>92</v>
      </c>
      <c r="D1368" s="1" t="s">
        <v>35</v>
      </c>
      <c r="E1368" s="2" t="s">
        <v>3549</v>
      </c>
      <c r="F1368" s="2" t="b">
        <f t="shared" si="87"/>
        <v>0</v>
      </c>
      <c r="G1368" s="2">
        <f t="shared" si="85"/>
        <v>42454</v>
      </c>
      <c r="H1368" s="1" t="s">
        <v>25</v>
      </c>
      <c r="I1368" s="1" t="s">
        <v>1403</v>
      </c>
      <c r="J1368" s="1">
        <v>700</v>
      </c>
      <c r="K1368" s="1">
        <v>672</v>
      </c>
      <c r="L1368" s="3">
        <v>0.04</v>
      </c>
      <c r="N1368" t="s">
        <v>3549</v>
      </c>
      <c r="P1368">
        <v>3</v>
      </c>
      <c r="Q1368">
        <v>25</v>
      </c>
      <c r="R1368">
        <v>2016</v>
      </c>
      <c r="S1368" s="4">
        <f t="shared" si="86"/>
        <v>42454</v>
      </c>
      <c r="T1368" s="4">
        <f t="shared" si="84"/>
        <v>42454</v>
      </c>
      <c r="U1368" s="4">
        <v>42454</v>
      </c>
    </row>
    <row r="1369" spans="1:21" x14ac:dyDescent="0.3">
      <c r="A1369" t="s">
        <v>1937</v>
      </c>
      <c r="B1369" s="1" t="s">
        <v>131</v>
      </c>
      <c r="C1369" s="1" t="s">
        <v>108</v>
      </c>
      <c r="D1369" s="1" t="s">
        <v>19</v>
      </c>
      <c r="E1369" s="2" t="s">
        <v>3252</v>
      </c>
      <c r="F1369" s="2" t="b">
        <f t="shared" si="87"/>
        <v>0</v>
      </c>
      <c r="G1369" s="2">
        <f t="shared" si="85"/>
        <v>42138</v>
      </c>
      <c r="H1369" s="1" t="s">
        <v>36</v>
      </c>
      <c r="I1369" s="1" t="s">
        <v>1550</v>
      </c>
      <c r="J1369" s="1">
        <v>50</v>
      </c>
      <c r="K1369" s="1">
        <v>45</v>
      </c>
      <c r="L1369" s="3">
        <v>0.1</v>
      </c>
      <c r="N1369" t="s">
        <v>3252</v>
      </c>
      <c r="P1369">
        <v>5</v>
      </c>
      <c r="Q1369">
        <v>14</v>
      </c>
      <c r="R1369">
        <v>2015</v>
      </c>
      <c r="S1369" s="4">
        <f t="shared" si="86"/>
        <v>42138</v>
      </c>
      <c r="T1369" s="4">
        <f t="shared" si="84"/>
        <v>42138</v>
      </c>
      <c r="U1369" s="4">
        <v>42138</v>
      </c>
    </row>
    <row r="1370" spans="1:21" x14ac:dyDescent="0.3">
      <c r="A1370" t="s">
        <v>1938</v>
      </c>
      <c r="B1370" s="1" t="s">
        <v>324</v>
      </c>
      <c r="C1370" s="1" t="s">
        <v>325</v>
      </c>
      <c r="D1370" s="1" t="s">
        <v>13</v>
      </c>
      <c r="E1370" s="2" t="s">
        <v>3266</v>
      </c>
      <c r="F1370" s="2" t="b">
        <f t="shared" si="87"/>
        <v>0</v>
      </c>
      <c r="G1370" s="2">
        <f t="shared" si="85"/>
        <v>42460</v>
      </c>
      <c r="H1370" s="1" t="s">
        <v>104</v>
      </c>
      <c r="I1370" s="1" t="s">
        <v>453</v>
      </c>
      <c r="J1370" s="1">
        <v>70</v>
      </c>
      <c r="K1370" s="1">
        <v>67</v>
      </c>
      <c r="L1370" s="3">
        <v>4.2900000000000001E-2</v>
      </c>
      <c r="N1370" t="s">
        <v>3266</v>
      </c>
      <c r="P1370">
        <v>3</v>
      </c>
      <c r="Q1370">
        <v>31</v>
      </c>
      <c r="R1370">
        <v>2016</v>
      </c>
      <c r="S1370" s="4">
        <f t="shared" si="86"/>
        <v>42460</v>
      </c>
      <c r="T1370" s="4">
        <f t="shared" si="84"/>
        <v>42460</v>
      </c>
      <c r="U1370" s="4">
        <v>42460</v>
      </c>
    </row>
    <row r="1371" spans="1:21" x14ac:dyDescent="0.3">
      <c r="A1371" t="s">
        <v>1939</v>
      </c>
      <c r="B1371" s="1" t="s">
        <v>70</v>
      </c>
      <c r="C1371" s="1" t="s">
        <v>71</v>
      </c>
      <c r="D1371" s="1" t="s">
        <v>35</v>
      </c>
      <c r="E1371" s="2">
        <v>42278</v>
      </c>
      <c r="F1371" s="2" t="b">
        <f t="shared" si="87"/>
        <v>1</v>
      </c>
      <c r="G1371" s="2">
        <f t="shared" si="85"/>
        <v>42278</v>
      </c>
      <c r="H1371" s="1" t="s">
        <v>122</v>
      </c>
      <c r="I1371" s="1" t="s">
        <v>391</v>
      </c>
      <c r="J1371" s="1">
        <v>50</v>
      </c>
      <c r="K1371" s="1">
        <v>38</v>
      </c>
      <c r="L1371" s="3">
        <v>0.24</v>
      </c>
      <c r="N1371" t="s">
        <v>3763</v>
      </c>
      <c r="S1371" s="4" t="e">
        <f t="shared" si="86"/>
        <v>#NUM!</v>
      </c>
      <c r="T1371" s="4" t="str">
        <f t="shared" si="84"/>
        <v/>
      </c>
      <c r="U1371" s="4" t="s">
        <v>3763</v>
      </c>
    </row>
    <row r="1372" spans="1:21" x14ac:dyDescent="0.3">
      <c r="A1372" t="s">
        <v>1940</v>
      </c>
      <c r="B1372" s="1" t="s">
        <v>49</v>
      </c>
      <c r="C1372" s="1" t="s">
        <v>50</v>
      </c>
      <c r="D1372" s="1" t="s">
        <v>24</v>
      </c>
      <c r="E1372" s="2">
        <v>42318</v>
      </c>
      <c r="F1372" s="2" t="b">
        <f t="shared" si="87"/>
        <v>1</v>
      </c>
      <c r="G1372" s="2">
        <f t="shared" si="85"/>
        <v>42318</v>
      </c>
      <c r="H1372" s="1" t="s">
        <v>72</v>
      </c>
      <c r="I1372" s="1" t="s">
        <v>68</v>
      </c>
      <c r="J1372" s="1">
        <v>500</v>
      </c>
      <c r="K1372" s="1">
        <v>495</v>
      </c>
      <c r="L1372" s="3">
        <v>0.01</v>
      </c>
      <c r="N1372" t="s">
        <v>3763</v>
      </c>
      <c r="S1372" s="4" t="e">
        <f t="shared" si="86"/>
        <v>#NUM!</v>
      </c>
      <c r="T1372" s="4" t="str">
        <f t="shared" si="84"/>
        <v/>
      </c>
      <c r="U1372" s="4" t="s">
        <v>3763</v>
      </c>
    </row>
    <row r="1373" spans="1:21" x14ac:dyDescent="0.3">
      <c r="A1373" t="s">
        <v>1941</v>
      </c>
      <c r="B1373" s="1" t="s">
        <v>224</v>
      </c>
      <c r="C1373" s="1" t="s">
        <v>50</v>
      </c>
      <c r="D1373" s="1" t="s">
        <v>24</v>
      </c>
      <c r="E1373" s="2" t="s">
        <v>3550</v>
      </c>
      <c r="F1373" s="2" t="b">
        <f t="shared" si="87"/>
        <v>0</v>
      </c>
      <c r="G1373" s="2">
        <f t="shared" si="85"/>
        <v>43209</v>
      </c>
      <c r="H1373" s="1" t="s">
        <v>122</v>
      </c>
      <c r="I1373" s="1" t="s">
        <v>1942</v>
      </c>
      <c r="J1373" s="1">
        <v>50</v>
      </c>
      <c r="K1373" s="1">
        <v>43</v>
      </c>
      <c r="L1373" s="3">
        <v>0.14000000000000001</v>
      </c>
      <c r="N1373" t="s">
        <v>3550</v>
      </c>
      <c r="P1373">
        <v>4</v>
      </c>
      <c r="Q1373">
        <v>19</v>
      </c>
      <c r="R1373">
        <v>2018</v>
      </c>
      <c r="S1373" s="4">
        <f t="shared" si="86"/>
        <v>43209</v>
      </c>
      <c r="T1373" s="4">
        <f t="shared" si="84"/>
        <v>43209</v>
      </c>
      <c r="U1373" s="4">
        <v>43209</v>
      </c>
    </row>
    <row r="1374" spans="1:21" x14ac:dyDescent="0.3">
      <c r="A1374" t="s">
        <v>1943</v>
      </c>
      <c r="B1374" s="1" t="s">
        <v>99</v>
      </c>
      <c r="C1374" s="1" t="s">
        <v>100</v>
      </c>
      <c r="D1374" s="1" t="s">
        <v>13</v>
      </c>
      <c r="E1374" s="2" t="s">
        <v>3551</v>
      </c>
      <c r="F1374" s="2" t="b">
        <f t="shared" si="87"/>
        <v>0</v>
      </c>
      <c r="G1374" s="2">
        <f t="shared" si="85"/>
        <v>43280</v>
      </c>
      <c r="H1374" s="1" t="s">
        <v>61</v>
      </c>
      <c r="I1374" s="1" t="s">
        <v>911</v>
      </c>
      <c r="J1374" s="1">
        <v>1000</v>
      </c>
      <c r="K1374" s="1">
        <v>930</v>
      </c>
      <c r="L1374" s="3">
        <v>7.0000000000000007E-2</v>
      </c>
      <c r="N1374" t="s">
        <v>3551</v>
      </c>
      <c r="P1374">
        <v>6</v>
      </c>
      <c r="Q1374">
        <v>29</v>
      </c>
      <c r="R1374">
        <v>2018</v>
      </c>
      <c r="S1374" s="4">
        <f t="shared" si="86"/>
        <v>43280</v>
      </c>
      <c r="T1374" s="4">
        <f t="shared" si="84"/>
        <v>43280</v>
      </c>
      <c r="U1374" s="4">
        <v>43280</v>
      </c>
    </row>
    <row r="1375" spans="1:21" x14ac:dyDescent="0.3">
      <c r="A1375" t="s">
        <v>1944</v>
      </c>
      <c r="B1375" s="1" t="s">
        <v>154</v>
      </c>
      <c r="C1375" s="1" t="s">
        <v>108</v>
      </c>
      <c r="D1375" s="1" t="s">
        <v>19</v>
      </c>
      <c r="E1375" s="2" t="s">
        <v>3552</v>
      </c>
      <c r="F1375" s="2" t="b">
        <f t="shared" si="87"/>
        <v>0</v>
      </c>
      <c r="G1375" s="2">
        <f t="shared" si="85"/>
        <v>43176</v>
      </c>
      <c r="H1375" s="1" t="s">
        <v>72</v>
      </c>
      <c r="I1375" s="1" t="s">
        <v>1292</v>
      </c>
      <c r="J1375" s="1">
        <v>500</v>
      </c>
      <c r="K1375" s="1">
        <v>490</v>
      </c>
      <c r="L1375" s="3">
        <v>0.02</v>
      </c>
      <c r="N1375" t="s">
        <v>3552</v>
      </c>
      <c r="P1375">
        <v>3</v>
      </c>
      <c r="Q1375">
        <v>17</v>
      </c>
      <c r="R1375">
        <v>2018</v>
      </c>
      <c r="S1375" s="4">
        <f t="shared" si="86"/>
        <v>43176</v>
      </c>
      <c r="T1375" s="4">
        <f t="shared" si="84"/>
        <v>43176</v>
      </c>
      <c r="U1375" s="4">
        <v>43176</v>
      </c>
    </row>
    <row r="1376" spans="1:21" x14ac:dyDescent="0.3">
      <c r="A1376" t="s">
        <v>1945</v>
      </c>
      <c r="B1376" s="1" t="s">
        <v>124</v>
      </c>
      <c r="C1376" s="1" t="s">
        <v>40</v>
      </c>
      <c r="D1376" s="1" t="s">
        <v>35</v>
      </c>
      <c r="E1376" s="2">
        <v>43101</v>
      </c>
      <c r="F1376" s="2" t="b">
        <f t="shared" si="87"/>
        <v>1</v>
      </c>
      <c r="G1376" s="2">
        <f t="shared" si="85"/>
        <v>43101</v>
      </c>
      <c r="H1376" s="1" t="s">
        <v>25</v>
      </c>
      <c r="I1376" s="1" t="s">
        <v>1017</v>
      </c>
      <c r="J1376" s="1">
        <v>700</v>
      </c>
      <c r="K1376" s="1">
        <v>658</v>
      </c>
      <c r="L1376" s="3">
        <v>0.06</v>
      </c>
      <c r="N1376" t="s">
        <v>3763</v>
      </c>
      <c r="S1376" s="4" t="e">
        <f t="shared" si="86"/>
        <v>#NUM!</v>
      </c>
      <c r="T1376" s="4" t="str">
        <f t="shared" si="84"/>
        <v/>
      </c>
      <c r="U1376" s="4" t="s">
        <v>3763</v>
      </c>
    </row>
    <row r="1377" spans="1:21" x14ac:dyDescent="0.3">
      <c r="A1377" t="s">
        <v>1946</v>
      </c>
      <c r="B1377" s="1" t="s">
        <v>270</v>
      </c>
      <c r="C1377" s="1" t="s">
        <v>271</v>
      </c>
      <c r="D1377" s="1" t="s">
        <v>35</v>
      </c>
      <c r="E1377" s="2" t="s">
        <v>3184</v>
      </c>
      <c r="F1377" s="2" t="b">
        <f t="shared" si="87"/>
        <v>0</v>
      </c>
      <c r="G1377" s="2">
        <f t="shared" si="85"/>
        <v>42845</v>
      </c>
      <c r="H1377" s="1" t="s">
        <v>36</v>
      </c>
      <c r="I1377" s="1" t="s">
        <v>1827</v>
      </c>
      <c r="J1377" s="1">
        <v>50</v>
      </c>
      <c r="K1377" s="1">
        <v>47</v>
      </c>
      <c r="L1377" s="3">
        <v>0.06</v>
      </c>
      <c r="N1377" t="s">
        <v>3184</v>
      </c>
      <c r="P1377">
        <v>4</v>
      </c>
      <c r="Q1377">
        <v>20</v>
      </c>
      <c r="R1377">
        <v>2017</v>
      </c>
      <c r="S1377" s="4">
        <f t="shared" si="86"/>
        <v>42845</v>
      </c>
      <c r="T1377" s="4">
        <f t="shared" si="84"/>
        <v>42845</v>
      </c>
      <c r="U1377" s="4">
        <v>42845</v>
      </c>
    </row>
    <row r="1378" spans="1:21" x14ac:dyDescent="0.3">
      <c r="A1378" t="s">
        <v>1947</v>
      </c>
      <c r="B1378" s="1" t="s">
        <v>44</v>
      </c>
      <c r="C1378" s="1" t="s">
        <v>45</v>
      </c>
      <c r="D1378" s="1" t="s">
        <v>24</v>
      </c>
      <c r="E1378" s="2" t="s">
        <v>3553</v>
      </c>
      <c r="F1378" s="2" t="b">
        <f t="shared" si="87"/>
        <v>0</v>
      </c>
      <c r="G1378" s="2">
        <f t="shared" si="85"/>
        <v>42516</v>
      </c>
      <c r="H1378" s="1" t="s">
        <v>115</v>
      </c>
      <c r="I1378" s="1" t="s">
        <v>321</v>
      </c>
      <c r="J1378" s="1">
        <v>250</v>
      </c>
      <c r="K1378" s="1">
        <v>220</v>
      </c>
      <c r="L1378" s="3">
        <v>0.12</v>
      </c>
      <c r="N1378" t="s">
        <v>3553</v>
      </c>
      <c r="P1378">
        <v>5</v>
      </c>
      <c r="Q1378">
        <v>26</v>
      </c>
      <c r="R1378">
        <v>2016</v>
      </c>
      <c r="S1378" s="4">
        <f t="shared" si="86"/>
        <v>42516</v>
      </c>
      <c r="T1378" s="4">
        <f t="shared" si="84"/>
        <v>42516</v>
      </c>
      <c r="U1378" s="4">
        <v>42516</v>
      </c>
    </row>
    <row r="1379" spans="1:21" x14ac:dyDescent="0.3">
      <c r="A1379" t="s">
        <v>1948</v>
      </c>
      <c r="B1379" s="1" t="s">
        <v>77</v>
      </c>
      <c r="C1379" s="1" t="s">
        <v>78</v>
      </c>
      <c r="D1379" s="1" t="s">
        <v>35</v>
      </c>
      <c r="E1379" s="2">
        <v>43072</v>
      </c>
      <c r="F1379" s="2" t="b">
        <f t="shared" si="87"/>
        <v>1</v>
      </c>
      <c r="G1379" s="2">
        <f t="shared" si="85"/>
        <v>43072</v>
      </c>
      <c r="H1379" s="1" t="s">
        <v>61</v>
      </c>
      <c r="I1379" s="1" t="s">
        <v>79</v>
      </c>
      <c r="J1379" s="1">
        <v>1000</v>
      </c>
      <c r="K1379" s="1">
        <v>520</v>
      </c>
      <c r="L1379" s="3">
        <v>0.48</v>
      </c>
      <c r="N1379" t="s">
        <v>3763</v>
      </c>
      <c r="S1379" s="4" t="e">
        <f t="shared" si="86"/>
        <v>#NUM!</v>
      </c>
      <c r="T1379" s="4" t="str">
        <f t="shared" si="84"/>
        <v/>
      </c>
      <c r="U1379" s="4" t="s">
        <v>3763</v>
      </c>
    </row>
    <row r="1380" spans="1:21" x14ac:dyDescent="0.3">
      <c r="A1380" t="s">
        <v>1949</v>
      </c>
      <c r="B1380" s="1" t="s">
        <v>59</v>
      </c>
      <c r="C1380" s="1" t="s">
        <v>60</v>
      </c>
      <c r="D1380" s="1" t="s">
        <v>13</v>
      </c>
      <c r="E1380" s="2" t="s">
        <v>3499</v>
      </c>
      <c r="F1380" s="2" t="b">
        <f t="shared" si="87"/>
        <v>0</v>
      </c>
      <c r="G1380" s="2">
        <f t="shared" si="85"/>
        <v>41787</v>
      </c>
      <c r="H1380" s="1" t="s">
        <v>61</v>
      </c>
      <c r="I1380" s="1" t="s">
        <v>62</v>
      </c>
      <c r="J1380" s="1">
        <v>1000</v>
      </c>
      <c r="K1380" s="1">
        <v>980</v>
      </c>
      <c r="L1380" s="3">
        <v>0.02</v>
      </c>
      <c r="N1380" t="s">
        <v>3499</v>
      </c>
      <c r="P1380">
        <v>5</v>
      </c>
      <c r="Q1380">
        <v>28</v>
      </c>
      <c r="R1380">
        <v>2014</v>
      </c>
      <c r="S1380" s="4">
        <f t="shared" si="86"/>
        <v>41787</v>
      </c>
      <c r="T1380" s="4">
        <f t="shared" si="84"/>
        <v>41787</v>
      </c>
      <c r="U1380" s="4">
        <v>41787</v>
      </c>
    </row>
    <row r="1381" spans="1:21" x14ac:dyDescent="0.3">
      <c r="A1381" t="s">
        <v>1950</v>
      </c>
      <c r="B1381" s="1" t="s">
        <v>33</v>
      </c>
      <c r="C1381" s="1" t="s">
        <v>34</v>
      </c>
      <c r="D1381" s="1" t="s">
        <v>35</v>
      </c>
      <c r="E1381" s="2">
        <v>43197</v>
      </c>
      <c r="F1381" s="2" t="b">
        <f t="shared" si="87"/>
        <v>1</v>
      </c>
      <c r="G1381" s="2">
        <f t="shared" si="85"/>
        <v>43197</v>
      </c>
      <c r="H1381" s="1" t="s">
        <v>72</v>
      </c>
      <c r="I1381" s="1" t="s">
        <v>75</v>
      </c>
      <c r="J1381" s="1">
        <v>500</v>
      </c>
      <c r="K1381" s="1">
        <v>495</v>
      </c>
      <c r="L1381" s="3">
        <v>0.01</v>
      </c>
      <c r="N1381" t="s">
        <v>3763</v>
      </c>
      <c r="S1381" s="4" t="e">
        <f t="shared" si="86"/>
        <v>#NUM!</v>
      </c>
      <c r="T1381" s="4" t="str">
        <f t="shared" si="84"/>
        <v/>
      </c>
      <c r="U1381" s="4" t="s">
        <v>3763</v>
      </c>
    </row>
    <row r="1382" spans="1:21" x14ac:dyDescent="0.3">
      <c r="A1382" t="s">
        <v>1951</v>
      </c>
      <c r="B1382" s="1" t="s">
        <v>33</v>
      </c>
      <c r="C1382" s="1" t="s">
        <v>34</v>
      </c>
      <c r="D1382" s="1" t="s">
        <v>35</v>
      </c>
      <c r="E1382" s="2" t="s">
        <v>3069</v>
      </c>
      <c r="F1382" s="2" t="b">
        <f t="shared" si="87"/>
        <v>0</v>
      </c>
      <c r="G1382" s="2">
        <f t="shared" si="85"/>
        <v>41806</v>
      </c>
      <c r="H1382" s="1" t="s">
        <v>25</v>
      </c>
      <c r="I1382" s="1" t="s">
        <v>160</v>
      </c>
      <c r="J1382" s="1">
        <v>700</v>
      </c>
      <c r="K1382" s="1">
        <v>546</v>
      </c>
      <c r="L1382" s="3">
        <v>0.22</v>
      </c>
      <c r="N1382" t="s">
        <v>3069</v>
      </c>
      <c r="P1382">
        <v>6</v>
      </c>
      <c r="Q1382">
        <v>16</v>
      </c>
      <c r="R1382">
        <v>2014</v>
      </c>
      <c r="S1382" s="4">
        <f t="shared" si="86"/>
        <v>41806</v>
      </c>
      <c r="T1382" s="4">
        <f t="shared" si="84"/>
        <v>41806</v>
      </c>
      <c r="U1382" s="4">
        <v>41806</v>
      </c>
    </row>
    <row r="1383" spans="1:21" x14ac:dyDescent="0.3">
      <c r="A1383" t="s">
        <v>1952</v>
      </c>
      <c r="B1383" s="1" t="s">
        <v>81</v>
      </c>
      <c r="C1383" s="1" t="s">
        <v>82</v>
      </c>
      <c r="D1383" s="1" t="s">
        <v>13</v>
      </c>
      <c r="E1383" s="2" t="s">
        <v>3536</v>
      </c>
      <c r="F1383" s="2" t="b">
        <f t="shared" si="87"/>
        <v>0</v>
      </c>
      <c r="G1383" s="2">
        <f t="shared" si="85"/>
        <v>43063</v>
      </c>
      <c r="H1383" s="1" t="s">
        <v>25</v>
      </c>
      <c r="I1383" s="1" t="s">
        <v>861</v>
      </c>
      <c r="J1383" s="1">
        <v>700</v>
      </c>
      <c r="K1383" s="1">
        <v>693</v>
      </c>
      <c r="L1383" s="3">
        <v>0.01</v>
      </c>
      <c r="N1383" t="s">
        <v>3536</v>
      </c>
      <c r="P1383">
        <v>11</v>
      </c>
      <c r="Q1383">
        <v>24</v>
      </c>
      <c r="R1383">
        <v>2017</v>
      </c>
      <c r="S1383" s="4">
        <f t="shared" si="86"/>
        <v>43063</v>
      </c>
      <c r="T1383" s="4">
        <f t="shared" si="84"/>
        <v>43063</v>
      </c>
      <c r="U1383" s="4">
        <v>43063</v>
      </c>
    </row>
    <row r="1384" spans="1:21" x14ac:dyDescent="0.3">
      <c r="A1384" t="s">
        <v>1953</v>
      </c>
      <c r="B1384" s="1" t="s">
        <v>134</v>
      </c>
      <c r="C1384" s="1" t="s">
        <v>92</v>
      </c>
      <c r="D1384" s="1" t="s">
        <v>35</v>
      </c>
      <c r="E1384" s="2" t="s">
        <v>3554</v>
      </c>
      <c r="F1384" s="2" t="b">
        <f t="shared" si="87"/>
        <v>0</v>
      </c>
      <c r="G1384" s="2">
        <f t="shared" si="85"/>
        <v>42417</v>
      </c>
      <c r="H1384" s="1" t="s">
        <v>36</v>
      </c>
      <c r="I1384" s="1" t="s">
        <v>678</v>
      </c>
      <c r="J1384" s="1">
        <v>50</v>
      </c>
      <c r="K1384" s="1">
        <v>45</v>
      </c>
      <c r="L1384" s="3">
        <v>0.1</v>
      </c>
      <c r="N1384" t="s">
        <v>3554</v>
      </c>
      <c r="P1384">
        <v>2</v>
      </c>
      <c r="Q1384">
        <v>17</v>
      </c>
      <c r="R1384">
        <v>2016</v>
      </c>
      <c r="S1384" s="4">
        <f t="shared" si="86"/>
        <v>42417</v>
      </c>
      <c r="T1384" s="4">
        <f t="shared" si="84"/>
        <v>42417</v>
      </c>
      <c r="U1384" s="4">
        <v>42417</v>
      </c>
    </row>
    <row r="1385" spans="1:21" x14ac:dyDescent="0.3">
      <c r="A1385" t="s">
        <v>1954</v>
      </c>
      <c r="B1385" s="1" t="s">
        <v>103</v>
      </c>
      <c r="C1385" s="1" t="s">
        <v>71</v>
      </c>
      <c r="D1385" s="1" t="s">
        <v>35</v>
      </c>
      <c r="E1385" s="2">
        <v>42684</v>
      </c>
      <c r="F1385" s="2" t="b">
        <f t="shared" si="87"/>
        <v>1</v>
      </c>
      <c r="G1385" s="2">
        <f t="shared" si="85"/>
        <v>42684</v>
      </c>
      <c r="H1385" s="1" t="s">
        <v>25</v>
      </c>
      <c r="I1385" s="1" t="s">
        <v>592</v>
      </c>
      <c r="J1385" s="1">
        <v>700</v>
      </c>
      <c r="K1385" s="1">
        <v>595</v>
      </c>
      <c r="L1385" s="3">
        <v>0.15</v>
      </c>
      <c r="N1385" t="s">
        <v>3763</v>
      </c>
      <c r="S1385" s="4" t="e">
        <f t="shared" si="86"/>
        <v>#NUM!</v>
      </c>
      <c r="T1385" s="4" t="str">
        <f t="shared" si="84"/>
        <v/>
      </c>
      <c r="U1385" s="4" t="s">
        <v>3763</v>
      </c>
    </row>
    <row r="1386" spans="1:21" x14ac:dyDescent="0.3">
      <c r="A1386" t="s">
        <v>1955</v>
      </c>
      <c r="B1386" s="1" t="s">
        <v>400</v>
      </c>
      <c r="C1386" s="1" t="s">
        <v>401</v>
      </c>
      <c r="D1386" s="1" t="s">
        <v>13</v>
      </c>
      <c r="E1386" s="2" t="s">
        <v>3548</v>
      </c>
      <c r="F1386" s="2" t="b">
        <f t="shared" si="87"/>
        <v>0</v>
      </c>
      <c r="G1386" s="2">
        <f t="shared" si="85"/>
        <v>43356</v>
      </c>
      <c r="H1386" s="1" t="s">
        <v>41</v>
      </c>
      <c r="I1386" s="1" t="s">
        <v>693</v>
      </c>
      <c r="J1386" s="1">
        <v>30</v>
      </c>
      <c r="K1386" s="1">
        <v>29</v>
      </c>
      <c r="L1386" s="3">
        <v>3.3300000000000003E-2</v>
      </c>
      <c r="N1386" t="s">
        <v>3548</v>
      </c>
      <c r="P1386">
        <v>9</v>
      </c>
      <c r="Q1386">
        <v>13</v>
      </c>
      <c r="R1386">
        <v>2018</v>
      </c>
      <c r="S1386" s="4">
        <f t="shared" si="86"/>
        <v>43356</v>
      </c>
      <c r="T1386" s="4">
        <f t="shared" si="84"/>
        <v>43356</v>
      </c>
      <c r="U1386" s="4">
        <v>43356</v>
      </c>
    </row>
    <row r="1387" spans="1:21" x14ac:dyDescent="0.3">
      <c r="A1387" t="s">
        <v>1956</v>
      </c>
      <c r="B1387" s="1" t="s">
        <v>146</v>
      </c>
      <c r="C1387" s="1" t="s">
        <v>147</v>
      </c>
      <c r="D1387" s="1" t="s">
        <v>13</v>
      </c>
      <c r="E1387" s="2" t="s">
        <v>3555</v>
      </c>
      <c r="F1387" s="2" t="b">
        <f t="shared" si="87"/>
        <v>0</v>
      </c>
      <c r="G1387" s="2">
        <f t="shared" si="85"/>
        <v>42420</v>
      </c>
      <c r="H1387" s="1" t="s">
        <v>41</v>
      </c>
      <c r="I1387" s="1" t="s">
        <v>1006</v>
      </c>
      <c r="J1387" s="1">
        <v>30</v>
      </c>
      <c r="K1387" s="1">
        <v>30</v>
      </c>
      <c r="L1387" s="3">
        <v>0</v>
      </c>
      <c r="N1387" t="s">
        <v>3555</v>
      </c>
      <c r="P1387">
        <v>2</v>
      </c>
      <c r="Q1387">
        <v>20</v>
      </c>
      <c r="R1387">
        <v>2016</v>
      </c>
      <c r="S1387" s="4">
        <f t="shared" si="86"/>
        <v>42420</v>
      </c>
      <c r="T1387" s="4">
        <f t="shared" si="84"/>
        <v>42420</v>
      </c>
      <c r="U1387" s="4">
        <v>42420</v>
      </c>
    </row>
    <row r="1388" spans="1:21" x14ac:dyDescent="0.3">
      <c r="A1388" t="s">
        <v>1957</v>
      </c>
      <c r="B1388" s="1" t="s">
        <v>70</v>
      </c>
      <c r="C1388" s="1" t="s">
        <v>71</v>
      </c>
      <c r="D1388" s="1" t="s">
        <v>35</v>
      </c>
      <c r="E1388" s="2" t="s">
        <v>3556</v>
      </c>
      <c r="F1388" s="2" t="b">
        <f t="shared" si="87"/>
        <v>0</v>
      </c>
      <c r="G1388" s="2">
        <f t="shared" si="85"/>
        <v>41660</v>
      </c>
      <c r="H1388" s="1" t="s">
        <v>41</v>
      </c>
      <c r="I1388" s="1" t="s">
        <v>962</v>
      </c>
      <c r="J1388" s="1">
        <v>30</v>
      </c>
      <c r="K1388" s="1">
        <v>23</v>
      </c>
      <c r="L1388" s="3">
        <v>0.23330000000000001</v>
      </c>
      <c r="N1388" t="s">
        <v>3556</v>
      </c>
      <c r="P1388">
        <v>1</v>
      </c>
      <c r="Q1388">
        <v>21</v>
      </c>
      <c r="R1388">
        <v>2014</v>
      </c>
      <c r="S1388" s="4">
        <f t="shared" si="86"/>
        <v>41660</v>
      </c>
      <c r="T1388" s="4">
        <f t="shared" si="84"/>
        <v>41660</v>
      </c>
      <c r="U1388" s="4">
        <v>41660</v>
      </c>
    </row>
    <row r="1389" spans="1:21" x14ac:dyDescent="0.3">
      <c r="A1389" t="s">
        <v>1958</v>
      </c>
      <c r="B1389" s="1" t="s">
        <v>255</v>
      </c>
      <c r="C1389" s="1" t="s">
        <v>256</v>
      </c>
      <c r="D1389" s="1" t="s">
        <v>13</v>
      </c>
      <c r="E1389" s="2" t="s">
        <v>2987</v>
      </c>
      <c r="F1389" s="2" t="b">
        <f t="shared" si="87"/>
        <v>0</v>
      </c>
      <c r="G1389" s="2">
        <f t="shared" si="85"/>
        <v>42943</v>
      </c>
      <c r="H1389" s="1" t="s">
        <v>14</v>
      </c>
      <c r="I1389" s="1" t="s">
        <v>376</v>
      </c>
      <c r="J1389" s="1">
        <v>80</v>
      </c>
      <c r="K1389" s="1">
        <v>73</v>
      </c>
      <c r="L1389" s="3">
        <v>8.7499999999999994E-2</v>
      </c>
      <c r="N1389" t="s">
        <v>2987</v>
      </c>
      <c r="P1389">
        <v>7</v>
      </c>
      <c r="Q1389">
        <v>27</v>
      </c>
      <c r="R1389">
        <v>2017</v>
      </c>
      <c r="S1389" s="4">
        <f t="shared" si="86"/>
        <v>42943</v>
      </c>
      <c r="T1389" s="4">
        <f t="shared" si="84"/>
        <v>42943</v>
      </c>
      <c r="U1389" s="4">
        <v>42943</v>
      </c>
    </row>
    <row r="1390" spans="1:21" x14ac:dyDescent="0.3">
      <c r="A1390" t="s">
        <v>1959</v>
      </c>
      <c r="B1390" s="1" t="s">
        <v>174</v>
      </c>
      <c r="C1390" s="1" t="s">
        <v>175</v>
      </c>
      <c r="D1390" s="1" t="s">
        <v>13</v>
      </c>
      <c r="E1390" s="2">
        <v>42281</v>
      </c>
      <c r="F1390" s="2" t="b">
        <f t="shared" si="87"/>
        <v>1</v>
      </c>
      <c r="G1390" s="2">
        <f t="shared" si="85"/>
        <v>42281</v>
      </c>
      <c r="H1390" s="1" t="s">
        <v>61</v>
      </c>
      <c r="I1390" s="1" t="s">
        <v>1277</v>
      </c>
      <c r="J1390" s="1">
        <v>1000</v>
      </c>
      <c r="K1390" s="1">
        <v>980</v>
      </c>
      <c r="L1390" s="3">
        <v>0.02</v>
      </c>
      <c r="N1390" t="s">
        <v>3763</v>
      </c>
      <c r="S1390" s="4" t="e">
        <f t="shared" si="86"/>
        <v>#NUM!</v>
      </c>
      <c r="T1390" s="4" t="str">
        <f t="shared" si="84"/>
        <v/>
      </c>
      <c r="U1390" s="4" t="s">
        <v>3763</v>
      </c>
    </row>
    <row r="1391" spans="1:21" x14ac:dyDescent="0.3">
      <c r="A1391" t="s">
        <v>1960</v>
      </c>
      <c r="B1391" s="1" t="s">
        <v>114</v>
      </c>
      <c r="C1391" s="1" t="s">
        <v>54</v>
      </c>
      <c r="D1391" s="1" t="s">
        <v>13</v>
      </c>
      <c r="E1391" s="2">
        <v>43071</v>
      </c>
      <c r="F1391" s="2" t="b">
        <f t="shared" si="87"/>
        <v>1</v>
      </c>
      <c r="G1391" s="2">
        <f t="shared" si="85"/>
        <v>43071</v>
      </c>
      <c r="H1391" s="1" t="s">
        <v>30</v>
      </c>
      <c r="I1391" s="1" t="s">
        <v>1961</v>
      </c>
      <c r="J1391" s="1">
        <v>150</v>
      </c>
      <c r="K1391" s="1">
        <v>150</v>
      </c>
      <c r="L1391" s="3">
        <v>0</v>
      </c>
      <c r="N1391" t="s">
        <v>3763</v>
      </c>
      <c r="S1391" s="4" t="e">
        <f t="shared" si="86"/>
        <v>#NUM!</v>
      </c>
      <c r="T1391" s="4" t="str">
        <f t="shared" si="84"/>
        <v/>
      </c>
      <c r="U1391" s="4" t="s">
        <v>3763</v>
      </c>
    </row>
    <row r="1392" spans="1:21" x14ac:dyDescent="0.3">
      <c r="A1392" t="s">
        <v>1962</v>
      </c>
      <c r="B1392" s="1" t="s">
        <v>91</v>
      </c>
      <c r="C1392" s="1" t="s">
        <v>92</v>
      </c>
      <c r="D1392" s="1" t="s">
        <v>35</v>
      </c>
      <c r="E1392" s="2" t="s">
        <v>3079</v>
      </c>
      <c r="F1392" s="2" t="b">
        <f t="shared" si="87"/>
        <v>0</v>
      </c>
      <c r="G1392" s="2">
        <f t="shared" si="85"/>
        <v>42031</v>
      </c>
      <c r="H1392" s="1" t="s">
        <v>104</v>
      </c>
      <c r="I1392" s="1" t="s">
        <v>285</v>
      </c>
      <c r="J1392" s="1">
        <v>70</v>
      </c>
      <c r="K1392" s="1">
        <v>32</v>
      </c>
      <c r="L1392" s="3">
        <v>0.54290000000000005</v>
      </c>
      <c r="N1392" t="s">
        <v>3079</v>
      </c>
      <c r="P1392">
        <v>1</v>
      </c>
      <c r="Q1392">
        <v>27</v>
      </c>
      <c r="R1392">
        <v>2015</v>
      </c>
      <c r="S1392" s="4">
        <f t="shared" si="86"/>
        <v>42031</v>
      </c>
      <c r="T1392" s="4">
        <f t="shared" si="84"/>
        <v>42031</v>
      </c>
      <c r="U1392" s="4">
        <v>42031</v>
      </c>
    </row>
    <row r="1393" spans="1:21" x14ac:dyDescent="0.3">
      <c r="A1393" t="s">
        <v>1963</v>
      </c>
      <c r="B1393" s="1" t="s">
        <v>187</v>
      </c>
      <c r="C1393" s="1" t="s">
        <v>188</v>
      </c>
      <c r="D1393" s="1" t="s">
        <v>13</v>
      </c>
      <c r="E1393" s="2">
        <v>43046</v>
      </c>
      <c r="F1393" s="2" t="b">
        <f t="shared" si="87"/>
        <v>1</v>
      </c>
      <c r="G1393" s="2">
        <f t="shared" si="85"/>
        <v>43046</v>
      </c>
      <c r="H1393" s="1" t="s">
        <v>25</v>
      </c>
      <c r="I1393" s="1" t="s">
        <v>237</v>
      </c>
      <c r="J1393" s="1">
        <v>700</v>
      </c>
      <c r="K1393" s="1">
        <v>700</v>
      </c>
      <c r="L1393" s="3">
        <v>0</v>
      </c>
      <c r="N1393" t="s">
        <v>3763</v>
      </c>
      <c r="S1393" s="4" t="e">
        <f t="shared" si="86"/>
        <v>#NUM!</v>
      </c>
      <c r="T1393" s="4" t="str">
        <f t="shared" si="84"/>
        <v/>
      </c>
      <c r="U1393" s="4" t="s">
        <v>3763</v>
      </c>
    </row>
    <row r="1394" spans="1:21" x14ac:dyDescent="0.3">
      <c r="A1394" t="s">
        <v>1964</v>
      </c>
      <c r="B1394" s="1" t="s">
        <v>99</v>
      </c>
      <c r="C1394" s="1" t="s">
        <v>100</v>
      </c>
      <c r="D1394" s="1" t="s">
        <v>13</v>
      </c>
      <c r="E1394" s="2" t="s">
        <v>3041</v>
      </c>
      <c r="F1394" s="2" t="b">
        <f t="shared" si="87"/>
        <v>0</v>
      </c>
      <c r="G1394" s="2">
        <f t="shared" si="85"/>
        <v>43218</v>
      </c>
      <c r="H1394" s="1" t="s">
        <v>41</v>
      </c>
      <c r="I1394" s="1" t="s">
        <v>1171</v>
      </c>
      <c r="J1394" s="1">
        <v>30</v>
      </c>
      <c r="K1394" s="1">
        <v>26</v>
      </c>
      <c r="L1394" s="3">
        <v>0.1333</v>
      </c>
      <c r="N1394" t="s">
        <v>3041</v>
      </c>
      <c r="P1394">
        <v>4</v>
      </c>
      <c r="Q1394">
        <v>28</v>
      </c>
      <c r="R1394">
        <v>2018</v>
      </c>
      <c r="S1394" s="4">
        <f t="shared" si="86"/>
        <v>43218</v>
      </c>
      <c r="T1394" s="4">
        <f t="shared" si="84"/>
        <v>43218</v>
      </c>
      <c r="U1394" s="4">
        <v>43218</v>
      </c>
    </row>
    <row r="1395" spans="1:21" x14ac:dyDescent="0.3">
      <c r="A1395" t="s">
        <v>1965</v>
      </c>
      <c r="B1395" s="1" t="s">
        <v>33</v>
      </c>
      <c r="C1395" s="1" t="s">
        <v>34</v>
      </c>
      <c r="D1395" s="1" t="s">
        <v>35</v>
      </c>
      <c r="E1395" s="2" t="s">
        <v>3557</v>
      </c>
      <c r="F1395" s="2" t="b">
        <f t="shared" si="87"/>
        <v>0</v>
      </c>
      <c r="G1395" s="2">
        <f t="shared" si="85"/>
        <v>42212</v>
      </c>
      <c r="H1395" s="1" t="s">
        <v>55</v>
      </c>
      <c r="I1395" s="1" t="s">
        <v>197</v>
      </c>
      <c r="J1395" s="1">
        <v>800</v>
      </c>
      <c r="K1395" s="1">
        <v>624</v>
      </c>
      <c r="L1395" s="3">
        <v>0.22</v>
      </c>
      <c r="N1395" t="s">
        <v>3557</v>
      </c>
      <c r="P1395">
        <v>7</v>
      </c>
      <c r="Q1395">
        <v>27</v>
      </c>
      <c r="R1395">
        <v>2015</v>
      </c>
      <c r="S1395" s="4">
        <f t="shared" si="86"/>
        <v>42212</v>
      </c>
      <c r="T1395" s="4">
        <f t="shared" si="84"/>
        <v>42212</v>
      </c>
      <c r="U1395" s="4">
        <v>42212</v>
      </c>
    </row>
    <row r="1396" spans="1:21" x14ac:dyDescent="0.3">
      <c r="A1396" t="s">
        <v>1966</v>
      </c>
      <c r="B1396" s="1" t="s">
        <v>131</v>
      </c>
      <c r="C1396" s="1" t="s">
        <v>108</v>
      </c>
      <c r="D1396" s="1" t="s">
        <v>19</v>
      </c>
      <c r="E1396" s="2" t="s">
        <v>3558</v>
      </c>
      <c r="F1396" s="2" t="b">
        <f t="shared" si="87"/>
        <v>0</v>
      </c>
      <c r="G1396" s="2">
        <f t="shared" si="85"/>
        <v>43216</v>
      </c>
      <c r="H1396" s="1" t="s">
        <v>55</v>
      </c>
      <c r="I1396" s="1" t="s">
        <v>793</v>
      </c>
      <c r="J1396" s="1">
        <v>800</v>
      </c>
      <c r="K1396" s="1">
        <v>560</v>
      </c>
      <c r="L1396" s="3">
        <v>0.3</v>
      </c>
      <c r="N1396" t="s">
        <v>3558</v>
      </c>
      <c r="P1396">
        <v>4</v>
      </c>
      <c r="Q1396">
        <v>26</v>
      </c>
      <c r="R1396">
        <v>2018</v>
      </c>
      <c r="S1396" s="4">
        <f t="shared" si="86"/>
        <v>43216</v>
      </c>
      <c r="T1396" s="4">
        <f t="shared" si="84"/>
        <v>43216</v>
      </c>
      <c r="U1396" s="4">
        <v>43216</v>
      </c>
    </row>
    <row r="1397" spans="1:21" x14ac:dyDescent="0.3">
      <c r="A1397" t="s">
        <v>1967</v>
      </c>
      <c r="B1397" s="1" t="s">
        <v>170</v>
      </c>
      <c r="C1397" s="1" t="s">
        <v>171</v>
      </c>
      <c r="D1397" s="1" t="s">
        <v>13</v>
      </c>
      <c r="E1397" s="2" t="s">
        <v>3381</v>
      </c>
      <c r="F1397" s="2" t="b">
        <f t="shared" si="87"/>
        <v>0</v>
      </c>
      <c r="G1397" s="2">
        <f t="shared" si="85"/>
        <v>43115</v>
      </c>
      <c r="H1397" s="1" t="s">
        <v>61</v>
      </c>
      <c r="I1397" s="1" t="s">
        <v>411</v>
      </c>
      <c r="J1397" s="1">
        <v>1000</v>
      </c>
      <c r="K1397" s="1">
        <v>970</v>
      </c>
      <c r="L1397" s="3">
        <v>0.03</v>
      </c>
      <c r="N1397" t="s">
        <v>3381</v>
      </c>
      <c r="P1397">
        <v>1</v>
      </c>
      <c r="Q1397">
        <v>15</v>
      </c>
      <c r="R1397">
        <v>2018</v>
      </c>
      <c r="S1397" s="4">
        <f t="shared" si="86"/>
        <v>43115</v>
      </c>
      <c r="T1397" s="4">
        <f t="shared" si="84"/>
        <v>43115</v>
      </c>
      <c r="U1397" s="4">
        <v>43115</v>
      </c>
    </row>
    <row r="1398" spans="1:21" x14ac:dyDescent="0.3">
      <c r="A1398" t="s">
        <v>1968</v>
      </c>
      <c r="B1398" s="1" t="s">
        <v>22</v>
      </c>
      <c r="C1398" s="1" t="s">
        <v>23</v>
      </c>
      <c r="D1398" s="1" t="s">
        <v>24</v>
      </c>
      <c r="E1398" s="2">
        <v>42036</v>
      </c>
      <c r="F1398" s="2" t="b">
        <f t="shared" si="87"/>
        <v>1</v>
      </c>
      <c r="G1398" s="2">
        <f t="shared" si="85"/>
        <v>42036</v>
      </c>
      <c r="H1398" s="1" t="s">
        <v>14</v>
      </c>
      <c r="I1398" s="1" t="s">
        <v>624</v>
      </c>
      <c r="J1398" s="1">
        <v>80</v>
      </c>
      <c r="K1398" s="1">
        <v>70</v>
      </c>
      <c r="L1398" s="3">
        <v>0.125</v>
      </c>
      <c r="N1398" t="s">
        <v>3763</v>
      </c>
      <c r="S1398" s="4" t="e">
        <f t="shared" si="86"/>
        <v>#NUM!</v>
      </c>
      <c r="T1398" s="4" t="str">
        <f t="shared" si="84"/>
        <v/>
      </c>
      <c r="U1398" s="4" t="s">
        <v>3763</v>
      </c>
    </row>
    <row r="1399" spans="1:21" x14ac:dyDescent="0.3">
      <c r="A1399" t="s">
        <v>1969</v>
      </c>
      <c r="B1399" s="1" t="s">
        <v>70</v>
      </c>
      <c r="C1399" s="1" t="s">
        <v>71</v>
      </c>
      <c r="D1399" s="1" t="s">
        <v>35</v>
      </c>
      <c r="E1399" s="2" t="s">
        <v>3559</v>
      </c>
      <c r="F1399" s="2" t="b">
        <f t="shared" si="87"/>
        <v>0</v>
      </c>
      <c r="G1399" s="2">
        <f t="shared" si="85"/>
        <v>43145</v>
      </c>
      <c r="H1399" s="1" t="s">
        <v>55</v>
      </c>
      <c r="I1399" s="1" t="s">
        <v>73</v>
      </c>
      <c r="J1399" s="1">
        <v>800</v>
      </c>
      <c r="K1399" s="1">
        <v>480</v>
      </c>
      <c r="L1399" s="3">
        <v>0.4</v>
      </c>
      <c r="N1399" t="s">
        <v>3559</v>
      </c>
      <c r="P1399">
        <v>2</v>
      </c>
      <c r="Q1399">
        <v>14</v>
      </c>
      <c r="R1399">
        <v>2018</v>
      </c>
      <c r="S1399" s="4">
        <f t="shared" si="86"/>
        <v>43145</v>
      </c>
      <c r="T1399" s="4">
        <f t="shared" si="84"/>
        <v>43145</v>
      </c>
      <c r="U1399" s="4">
        <v>43145</v>
      </c>
    </row>
    <row r="1400" spans="1:21" x14ac:dyDescent="0.3">
      <c r="A1400" t="s">
        <v>1970</v>
      </c>
      <c r="B1400" s="1" t="s">
        <v>114</v>
      </c>
      <c r="C1400" s="1" t="s">
        <v>54</v>
      </c>
      <c r="D1400" s="1" t="s">
        <v>13</v>
      </c>
      <c r="E1400" s="2" t="s">
        <v>3560</v>
      </c>
      <c r="F1400" s="2" t="b">
        <f t="shared" si="87"/>
        <v>0</v>
      </c>
      <c r="G1400" s="2">
        <f t="shared" si="85"/>
        <v>43205</v>
      </c>
      <c r="H1400" s="1" t="s">
        <v>46</v>
      </c>
      <c r="I1400" s="1" t="s">
        <v>168</v>
      </c>
      <c r="J1400" s="1">
        <v>500</v>
      </c>
      <c r="K1400" s="1">
        <v>455</v>
      </c>
      <c r="L1400" s="3">
        <v>0.09</v>
      </c>
      <c r="N1400" t="s">
        <v>3560</v>
      </c>
      <c r="P1400">
        <v>4</v>
      </c>
      <c r="Q1400">
        <v>15</v>
      </c>
      <c r="R1400">
        <v>2018</v>
      </c>
      <c r="S1400" s="4">
        <f t="shared" si="86"/>
        <v>43205</v>
      </c>
      <c r="T1400" s="4">
        <f t="shared" si="84"/>
        <v>43205</v>
      </c>
      <c r="U1400" s="4">
        <v>43205</v>
      </c>
    </row>
    <row r="1401" spans="1:21" x14ac:dyDescent="0.3">
      <c r="A1401" t="s">
        <v>1971</v>
      </c>
      <c r="B1401" s="1" t="s">
        <v>134</v>
      </c>
      <c r="C1401" s="1" t="s">
        <v>92</v>
      </c>
      <c r="D1401" s="1" t="s">
        <v>35</v>
      </c>
      <c r="E1401" s="2">
        <v>43020</v>
      </c>
      <c r="F1401" s="2" t="b">
        <f t="shared" si="87"/>
        <v>1</v>
      </c>
      <c r="G1401" s="2">
        <f t="shared" si="85"/>
        <v>43020</v>
      </c>
      <c r="H1401" s="1" t="s">
        <v>104</v>
      </c>
      <c r="I1401" s="1" t="s">
        <v>807</v>
      </c>
      <c r="J1401" s="1">
        <v>70</v>
      </c>
      <c r="K1401" s="1">
        <v>69</v>
      </c>
      <c r="L1401" s="3">
        <v>1.43E-2</v>
      </c>
      <c r="N1401" t="s">
        <v>3763</v>
      </c>
      <c r="S1401" s="4" t="e">
        <f t="shared" si="86"/>
        <v>#NUM!</v>
      </c>
      <c r="T1401" s="4" t="str">
        <f t="shared" si="84"/>
        <v/>
      </c>
      <c r="U1401" s="4" t="s">
        <v>3763</v>
      </c>
    </row>
    <row r="1402" spans="1:21" x14ac:dyDescent="0.3">
      <c r="A1402" t="s">
        <v>1972</v>
      </c>
      <c r="B1402" s="1" t="s">
        <v>33</v>
      </c>
      <c r="C1402" s="1" t="s">
        <v>34</v>
      </c>
      <c r="D1402" s="1" t="s">
        <v>35</v>
      </c>
      <c r="E1402" s="2">
        <v>42834</v>
      </c>
      <c r="F1402" s="2" t="b">
        <f t="shared" si="87"/>
        <v>1</v>
      </c>
      <c r="G1402" s="2">
        <f t="shared" si="85"/>
        <v>42834</v>
      </c>
      <c r="H1402" s="1" t="s">
        <v>104</v>
      </c>
      <c r="I1402" s="1" t="s">
        <v>197</v>
      </c>
      <c r="J1402" s="1">
        <v>70</v>
      </c>
      <c r="K1402" s="1">
        <v>63</v>
      </c>
      <c r="L1402" s="3">
        <v>0.1</v>
      </c>
      <c r="N1402" t="s">
        <v>3763</v>
      </c>
      <c r="S1402" s="4" t="e">
        <f t="shared" si="86"/>
        <v>#NUM!</v>
      </c>
      <c r="T1402" s="4" t="str">
        <f t="shared" si="84"/>
        <v/>
      </c>
      <c r="U1402" s="4" t="s">
        <v>3763</v>
      </c>
    </row>
    <row r="1403" spans="1:21" x14ac:dyDescent="0.3">
      <c r="A1403" t="s">
        <v>1973</v>
      </c>
      <c r="B1403" s="1" t="s">
        <v>187</v>
      </c>
      <c r="C1403" s="1" t="s">
        <v>188</v>
      </c>
      <c r="D1403" s="1" t="s">
        <v>13</v>
      </c>
      <c r="E1403" s="2" t="s">
        <v>3388</v>
      </c>
      <c r="F1403" s="2" t="b">
        <f t="shared" si="87"/>
        <v>0</v>
      </c>
      <c r="G1403" s="2">
        <f t="shared" si="85"/>
        <v>41658</v>
      </c>
      <c r="H1403" s="1" t="s">
        <v>36</v>
      </c>
      <c r="I1403" s="1" t="s">
        <v>741</v>
      </c>
      <c r="J1403" s="1">
        <v>50</v>
      </c>
      <c r="K1403" s="1">
        <v>38</v>
      </c>
      <c r="L1403" s="3">
        <v>0.24</v>
      </c>
      <c r="N1403" t="s">
        <v>3388</v>
      </c>
      <c r="P1403">
        <v>1</v>
      </c>
      <c r="Q1403">
        <v>19</v>
      </c>
      <c r="R1403">
        <v>2014</v>
      </c>
      <c r="S1403" s="4">
        <f t="shared" si="86"/>
        <v>41658</v>
      </c>
      <c r="T1403" s="4">
        <f t="shared" si="84"/>
        <v>41658</v>
      </c>
      <c r="U1403" s="4">
        <v>41658</v>
      </c>
    </row>
    <row r="1404" spans="1:21" x14ac:dyDescent="0.3">
      <c r="A1404" t="s">
        <v>1974</v>
      </c>
      <c r="B1404" s="1" t="s">
        <v>146</v>
      </c>
      <c r="C1404" s="1" t="s">
        <v>147</v>
      </c>
      <c r="D1404" s="1" t="s">
        <v>13</v>
      </c>
      <c r="E1404" s="2">
        <v>42224</v>
      </c>
      <c r="F1404" s="2" t="b">
        <f t="shared" si="87"/>
        <v>1</v>
      </c>
      <c r="G1404" s="2">
        <f t="shared" si="85"/>
        <v>42224</v>
      </c>
      <c r="H1404" s="1" t="s">
        <v>115</v>
      </c>
      <c r="I1404" s="1" t="s">
        <v>830</v>
      </c>
      <c r="J1404" s="1">
        <v>250</v>
      </c>
      <c r="K1404" s="1">
        <v>200</v>
      </c>
      <c r="L1404" s="3">
        <v>0.2</v>
      </c>
      <c r="N1404" t="s">
        <v>3763</v>
      </c>
      <c r="S1404" s="4" t="e">
        <f t="shared" si="86"/>
        <v>#NUM!</v>
      </c>
      <c r="T1404" s="4" t="str">
        <f t="shared" si="84"/>
        <v/>
      </c>
      <c r="U1404" s="4" t="s">
        <v>3763</v>
      </c>
    </row>
    <row r="1405" spans="1:21" x14ac:dyDescent="0.3">
      <c r="A1405" t="s">
        <v>1975</v>
      </c>
      <c r="B1405" s="1" t="s">
        <v>91</v>
      </c>
      <c r="C1405" s="1" t="s">
        <v>92</v>
      </c>
      <c r="D1405" s="1" t="s">
        <v>35</v>
      </c>
      <c r="E1405" s="2" t="s">
        <v>3561</v>
      </c>
      <c r="F1405" s="2" t="b">
        <f t="shared" si="87"/>
        <v>0</v>
      </c>
      <c r="G1405" s="2">
        <f t="shared" si="85"/>
        <v>43215</v>
      </c>
      <c r="H1405" s="1" t="s">
        <v>104</v>
      </c>
      <c r="I1405" s="1" t="s">
        <v>1155</v>
      </c>
      <c r="J1405" s="1">
        <v>70</v>
      </c>
      <c r="K1405" s="1">
        <v>69</v>
      </c>
      <c r="L1405" s="3">
        <v>1.43E-2</v>
      </c>
      <c r="N1405" t="s">
        <v>3561</v>
      </c>
      <c r="P1405">
        <v>4</v>
      </c>
      <c r="Q1405">
        <v>25</v>
      </c>
      <c r="R1405">
        <v>2018</v>
      </c>
      <c r="S1405" s="4">
        <f t="shared" si="86"/>
        <v>43215</v>
      </c>
      <c r="T1405" s="4">
        <f t="shared" si="84"/>
        <v>43215</v>
      </c>
      <c r="U1405" s="4">
        <v>43215</v>
      </c>
    </row>
    <row r="1406" spans="1:21" x14ac:dyDescent="0.3">
      <c r="A1406" t="s">
        <v>1976</v>
      </c>
      <c r="B1406" s="1" t="s">
        <v>49</v>
      </c>
      <c r="C1406" s="1" t="s">
        <v>50</v>
      </c>
      <c r="D1406" s="1" t="s">
        <v>24</v>
      </c>
      <c r="E1406" s="2" t="s">
        <v>3080</v>
      </c>
      <c r="F1406" s="2" t="b">
        <f t="shared" si="87"/>
        <v>0</v>
      </c>
      <c r="G1406" s="2">
        <f t="shared" si="85"/>
        <v>43434</v>
      </c>
      <c r="H1406" s="1" t="s">
        <v>41</v>
      </c>
      <c r="I1406" s="1" t="s">
        <v>658</v>
      </c>
      <c r="J1406" s="1">
        <v>30</v>
      </c>
      <c r="K1406" s="1">
        <v>26</v>
      </c>
      <c r="L1406" s="3">
        <v>0.1333</v>
      </c>
      <c r="N1406" t="s">
        <v>3080</v>
      </c>
      <c r="P1406">
        <v>11</v>
      </c>
      <c r="Q1406">
        <v>30</v>
      </c>
      <c r="R1406">
        <v>2018</v>
      </c>
      <c r="S1406" s="4">
        <f t="shared" si="86"/>
        <v>43434</v>
      </c>
      <c r="T1406" s="4">
        <f t="shared" si="84"/>
        <v>43434</v>
      </c>
      <c r="U1406" s="4">
        <v>43434</v>
      </c>
    </row>
    <row r="1407" spans="1:21" x14ac:dyDescent="0.3">
      <c r="A1407" t="s">
        <v>1977</v>
      </c>
      <c r="B1407" s="1" t="s">
        <v>11</v>
      </c>
      <c r="C1407" s="1" t="s">
        <v>12</v>
      </c>
      <c r="D1407" s="1" t="s">
        <v>13</v>
      </c>
      <c r="E1407" s="2">
        <v>42282</v>
      </c>
      <c r="F1407" s="2" t="b">
        <f t="shared" si="87"/>
        <v>1</v>
      </c>
      <c r="G1407" s="2">
        <f t="shared" si="85"/>
        <v>42282</v>
      </c>
      <c r="H1407" s="1" t="s">
        <v>41</v>
      </c>
      <c r="I1407" s="1" t="s">
        <v>193</v>
      </c>
      <c r="J1407" s="1">
        <v>30</v>
      </c>
      <c r="K1407" s="1">
        <v>30</v>
      </c>
      <c r="L1407" s="3">
        <v>0</v>
      </c>
      <c r="N1407" t="s">
        <v>3763</v>
      </c>
      <c r="S1407" s="4" t="e">
        <f t="shared" si="86"/>
        <v>#NUM!</v>
      </c>
      <c r="T1407" s="4" t="str">
        <f t="shared" si="84"/>
        <v/>
      </c>
      <c r="U1407" s="4" t="s">
        <v>3763</v>
      </c>
    </row>
    <row r="1408" spans="1:21" x14ac:dyDescent="0.3">
      <c r="A1408" t="s">
        <v>1978</v>
      </c>
      <c r="B1408" s="1" t="s">
        <v>95</v>
      </c>
      <c r="C1408" s="1" t="s">
        <v>96</v>
      </c>
      <c r="D1408" s="1" t="s">
        <v>13</v>
      </c>
      <c r="E1408" s="2" t="s">
        <v>3448</v>
      </c>
      <c r="F1408" s="2" t="b">
        <f t="shared" si="87"/>
        <v>0</v>
      </c>
      <c r="G1408" s="2">
        <f t="shared" si="85"/>
        <v>42323</v>
      </c>
      <c r="H1408" s="1" t="s">
        <v>122</v>
      </c>
      <c r="I1408" s="1" t="s">
        <v>333</v>
      </c>
      <c r="J1408" s="1">
        <v>50</v>
      </c>
      <c r="K1408" s="1">
        <v>46</v>
      </c>
      <c r="L1408" s="3">
        <v>0.08</v>
      </c>
      <c r="N1408" t="s">
        <v>3448</v>
      </c>
      <c r="P1408">
        <v>11</v>
      </c>
      <c r="Q1408">
        <v>15</v>
      </c>
      <c r="R1408">
        <v>2015</v>
      </c>
      <c r="S1408" s="4">
        <f t="shared" si="86"/>
        <v>42323</v>
      </c>
      <c r="T1408" s="4">
        <f t="shared" si="84"/>
        <v>42323</v>
      </c>
      <c r="U1408" s="4">
        <v>42323</v>
      </c>
    </row>
    <row r="1409" spans="1:21" x14ac:dyDescent="0.3">
      <c r="A1409" t="s">
        <v>1979</v>
      </c>
      <c r="B1409" s="1" t="s">
        <v>187</v>
      </c>
      <c r="C1409" s="1" t="s">
        <v>188</v>
      </c>
      <c r="D1409" s="1" t="s">
        <v>13</v>
      </c>
      <c r="E1409" s="2">
        <v>42407</v>
      </c>
      <c r="F1409" s="2" t="b">
        <f t="shared" si="87"/>
        <v>1</v>
      </c>
      <c r="G1409" s="2">
        <f t="shared" si="85"/>
        <v>42407</v>
      </c>
      <c r="H1409" s="1" t="s">
        <v>72</v>
      </c>
      <c r="I1409" s="1" t="s">
        <v>237</v>
      </c>
      <c r="J1409" s="1">
        <v>500</v>
      </c>
      <c r="K1409" s="1">
        <v>500</v>
      </c>
      <c r="L1409" s="3">
        <v>0</v>
      </c>
      <c r="N1409" t="s">
        <v>3763</v>
      </c>
      <c r="S1409" s="4" t="e">
        <f t="shared" si="86"/>
        <v>#NUM!</v>
      </c>
      <c r="T1409" s="4" t="str">
        <f t="shared" si="84"/>
        <v/>
      </c>
      <c r="U1409" s="4" t="s">
        <v>3763</v>
      </c>
    </row>
    <row r="1410" spans="1:21" x14ac:dyDescent="0.3">
      <c r="A1410" t="s">
        <v>1980</v>
      </c>
      <c r="B1410" s="1" t="s">
        <v>174</v>
      </c>
      <c r="C1410" s="1" t="s">
        <v>175</v>
      </c>
      <c r="D1410" s="1" t="s">
        <v>13</v>
      </c>
      <c r="E1410" s="2">
        <v>42522</v>
      </c>
      <c r="F1410" s="2" t="b">
        <f t="shared" si="87"/>
        <v>1</v>
      </c>
      <c r="G1410" s="2">
        <f t="shared" si="85"/>
        <v>42522</v>
      </c>
      <c r="H1410" s="1" t="s">
        <v>25</v>
      </c>
      <c r="I1410" s="1" t="s">
        <v>1558</v>
      </c>
      <c r="J1410" s="1">
        <v>700</v>
      </c>
      <c r="K1410" s="1">
        <v>679</v>
      </c>
      <c r="L1410" s="3">
        <v>0.03</v>
      </c>
      <c r="N1410" t="s">
        <v>3763</v>
      </c>
      <c r="S1410" s="4" t="e">
        <f t="shared" si="86"/>
        <v>#NUM!</v>
      </c>
      <c r="T1410" s="4" t="str">
        <f t="shared" si="84"/>
        <v/>
      </c>
      <c r="U1410" s="4" t="s">
        <v>3763</v>
      </c>
    </row>
    <row r="1411" spans="1:21" x14ac:dyDescent="0.3">
      <c r="A1411" t="s">
        <v>1981</v>
      </c>
      <c r="B1411" s="1" t="s">
        <v>99</v>
      </c>
      <c r="C1411" s="1" t="s">
        <v>100</v>
      </c>
      <c r="D1411" s="1" t="s">
        <v>13</v>
      </c>
      <c r="E1411" s="2" t="s">
        <v>3470</v>
      </c>
      <c r="F1411" s="2" t="b">
        <f t="shared" si="87"/>
        <v>0</v>
      </c>
      <c r="G1411" s="2">
        <f t="shared" si="85"/>
        <v>42578</v>
      </c>
      <c r="H1411" s="1" t="s">
        <v>25</v>
      </c>
      <c r="I1411" s="1" t="s">
        <v>1171</v>
      </c>
      <c r="J1411" s="1">
        <v>700</v>
      </c>
      <c r="K1411" s="1">
        <v>630</v>
      </c>
      <c r="L1411" s="3">
        <v>0.1</v>
      </c>
      <c r="N1411" t="s">
        <v>3470</v>
      </c>
      <c r="P1411">
        <v>7</v>
      </c>
      <c r="Q1411">
        <v>27</v>
      </c>
      <c r="R1411">
        <v>2016</v>
      </c>
      <c r="S1411" s="4">
        <f t="shared" si="86"/>
        <v>42578</v>
      </c>
      <c r="T1411" s="4">
        <f t="shared" ref="T1411:T1474" si="88">IF(AND(P1411&lt;&gt;"",Q1411&lt;&gt;"",R1411&lt;&gt;""),IFERROR(DATE(R1411,P1411,Q1411),""),"")</f>
        <v>42578</v>
      </c>
      <c r="U1411" s="4">
        <v>42578</v>
      </c>
    </row>
    <row r="1412" spans="1:21" x14ac:dyDescent="0.3">
      <c r="A1412" t="s">
        <v>1982</v>
      </c>
      <c r="B1412" s="1" t="s">
        <v>17</v>
      </c>
      <c r="C1412" s="1" t="s">
        <v>18</v>
      </c>
      <c r="D1412" s="1" t="s">
        <v>19</v>
      </c>
      <c r="E1412" s="2" t="s">
        <v>3146</v>
      </c>
      <c r="F1412" s="2" t="b">
        <f t="shared" si="87"/>
        <v>0</v>
      </c>
      <c r="G1412" s="2">
        <f t="shared" ref="G1412:G1475" si="89">IF(F1412=TRUE,E1412,U1412)</f>
        <v>42793</v>
      </c>
      <c r="H1412" s="1" t="s">
        <v>104</v>
      </c>
      <c r="I1412" s="1" t="s">
        <v>493</v>
      </c>
      <c r="J1412" s="1">
        <v>70</v>
      </c>
      <c r="K1412" s="1">
        <v>65</v>
      </c>
      <c r="L1412" s="3">
        <v>7.1400000000000005E-2</v>
      </c>
      <c r="N1412" t="s">
        <v>3146</v>
      </c>
      <c r="P1412">
        <v>2</v>
      </c>
      <c r="Q1412">
        <v>27</v>
      </c>
      <c r="R1412">
        <v>2017</v>
      </c>
      <c r="S1412" s="4">
        <f t="shared" ref="S1412:S1475" si="90">DATE(R1412,P1412,Q1412)</f>
        <v>42793</v>
      </c>
      <c r="T1412" s="4">
        <f t="shared" si="88"/>
        <v>42793</v>
      </c>
      <c r="U1412" s="4">
        <v>42793</v>
      </c>
    </row>
    <row r="1413" spans="1:21" x14ac:dyDescent="0.3">
      <c r="A1413" t="s">
        <v>1983</v>
      </c>
      <c r="B1413" s="1" t="s">
        <v>70</v>
      </c>
      <c r="C1413" s="1" t="s">
        <v>71</v>
      </c>
      <c r="D1413" s="1" t="s">
        <v>35</v>
      </c>
      <c r="E1413" s="2">
        <v>41985</v>
      </c>
      <c r="F1413" s="2" t="b">
        <f t="shared" ref="F1413:F1476" si="91">ISNUMBER(E1413)</f>
        <v>1</v>
      </c>
      <c r="G1413" s="2">
        <f t="shared" si="89"/>
        <v>41985</v>
      </c>
      <c r="H1413" s="1" t="s">
        <v>72</v>
      </c>
      <c r="I1413" s="1" t="s">
        <v>962</v>
      </c>
      <c r="J1413" s="1">
        <v>500</v>
      </c>
      <c r="K1413" s="1">
        <v>500</v>
      </c>
      <c r="L1413" s="3">
        <v>0</v>
      </c>
      <c r="N1413" t="s">
        <v>3763</v>
      </c>
      <c r="S1413" s="4" t="e">
        <f t="shared" si="90"/>
        <v>#NUM!</v>
      </c>
      <c r="T1413" s="4" t="str">
        <f t="shared" si="88"/>
        <v/>
      </c>
      <c r="U1413" s="4" t="s">
        <v>3763</v>
      </c>
    </row>
    <row r="1414" spans="1:21" x14ac:dyDescent="0.3">
      <c r="A1414" t="s">
        <v>1984</v>
      </c>
      <c r="B1414" s="1" t="s">
        <v>400</v>
      </c>
      <c r="C1414" s="1" t="s">
        <v>401</v>
      </c>
      <c r="D1414" s="1" t="s">
        <v>13</v>
      </c>
      <c r="E1414" s="2">
        <v>41953</v>
      </c>
      <c r="F1414" s="2" t="b">
        <f t="shared" si="91"/>
        <v>1</v>
      </c>
      <c r="G1414" s="2">
        <f t="shared" si="89"/>
        <v>41953</v>
      </c>
      <c r="H1414" s="1" t="s">
        <v>115</v>
      </c>
      <c r="I1414" s="1" t="s">
        <v>856</v>
      </c>
      <c r="J1414" s="1">
        <v>250</v>
      </c>
      <c r="K1414" s="1">
        <v>200</v>
      </c>
      <c r="L1414" s="3">
        <v>0.2</v>
      </c>
      <c r="N1414" t="s">
        <v>3763</v>
      </c>
      <c r="S1414" s="4" t="e">
        <f t="shared" si="90"/>
        <v>#NUM!</v>
      </c>
      <c r="T1414" s="4" t="str">
        <f t="shared" si="88"/>
        <v/>
      </c>
      <c r="U1414" s="4" t="s">
        <v>3763</v>
      </c>
    </row>
    <row r="1415" spans="1:21" x14ac:dyDescent="0.3">
      <c r="A1415" t="s">
        <v>1985</v>
      </c>
      <c r="B1415" s="1" t="s">
        <v>127</v>
      </c>
      <c r="C1415" s="1" t="s">
        <v>128</v>
      </c>
      <c r="D1415" s="1" t="s">
        <v>13</v>
      </c>
      <c r="E1415" s="2">
        <v>42255</v>
      </c>
      <c r="F1415" s="2" t="b">
        <f t="shared" si="91"/>
        <v>1</v>
      </c>
      <c r="G1415" s="2">
        <f t="shared" si="89"/>
        <v>42255</v>
      </c>
      <c r="H1415" s="1" t="s">
        <v>72</v>
      </c>
      <c r="I1415" s="1" t="s">
        <v>1261</v>
      </c>
      <c r="J1415" s="1">
        <v>500</v>
      </c>
      <c r="K1415" s="1">
        <v>490</v>
      </c>
      <c r="L1415" s="3">
        <v>0.02</v>
      </c>
      <c r="N1415" t="s">
        <v>3763</v>
      </c>
      <c r="S1415" s="4" t="e">
        <f t="shared" si="90"/>
        <v>#NUM!</v>
      </c>
      <c r="T1415" s="4" t="str">
        <f t="shared" si="88"/>
        <v/>
      </c>
      <c r="U1415" s="4" t="s">
        <v>3763</v>
      </c>
    </row>
    <row r="1416" spans="1:21" x14ac:dyDescent="0.3">
      <c r="A1416" t="s">
        <v>1986</v>
      </c>
      <c r="B1416" s="1" t="s">
        <v>227</v>
      </c>
      <c r="C1416" s="1" t="s">
        <v>228</v>
      </c>
      <c r="D1416" s="1" t="s">
        <v>24</v>
      </c>
      <c r="E1416" s="2" t="s">
        <v>3562</v>
      </c>
      <c r="F1416" s="2" t="b">
        <f t="shared" si="91"/>
        <v>0</v>
      </c>
      <c r="G1416" s="2">
        <f t="shared" si="89"/>
        <v>42453</v>
      </c>
      <c r="H1416" s="1" t="s">
        <v>41</v>
      </c>
      <c r="I1416" s="1" t="s">
        <v>278</v>
      </c>
      <c r="J1416" s="1">
        <v>30</v>
      </c>
      <c r="K1416" s="1">
        <v>30</v>
      </c>
      <c r="L1416" s="3">
        <v>0</v>
      </c>
      <c r="N1416" t="s">
        <v>3562</v>
      </c>
      <c r="P1416">
        <v>3</v>
      </c>
      <c r="Q1416">
        <v>24</v>
      </c>
      <c r="R1416">
        <v>2016</v>
      </c>
      <c r="S1416" s="4">
        <f t="shared" si="90"/>
        <v>42453</v>
      </c>
      <c r="T1416" s="4">
        <f t="shared" si="88"/>
        <v>42453</v>
      </c>
      <c r="U1416" s="4">
        <v>42453</v>
      </c>
    </row>
    <row r="1417" spans="1:21" x14ac:dyDescent="0.3">
      <c r="A1417" t="s">
        <v>1987</v>
      </c>
      <c r="B1417" s="1" t="s">
        <v>107</v>
      </c>
      <c r="C1417" s="1" t="s">
        <v>108</v>
      </c>
      <c r="D1417" s="1" t="s">
        <v>19</v>
      </c>
      <c r="E1417" s="2" t="s">
        <v>3563</v>
      </c>
      <c r="F1417" s="2" t="b">
        <f t="shared" si="91"/>
        <v>0</v>
      </c>
      <c r="G1417" s="2">
        <f t="shared" si="89"/>
        <v>41772</v>
      </c>
      <c r="H1417" s="1" t="s">
        <v>104</v>
      </c>
      <c r="I1417" s="1" t="s">
        <v>1437</v>
      </c>
      <c r="J1417" s="1">
        <v>70</v>
      </c>
      <c r="K1417" s="1">
        <v>55</v>
      </c>
      <c r="L1417" s="3">
        <v>0.21429999999999999</v>
      </c>
      <c r="N1417" t="s">
        <v>3563</v>
      </c>
      <c r="P1417">
        <v>5</v>
      </c>
      <c r="Q1417">
        <v>13</v>
      </c>
      <c r="R1417">
        <v>2014</v>
      </c>
      <c r="S1417" s="4">
        <f t="shared" si="90"/>
        <v>41772</v>
      </c>
      <c r="T1417" s="4">
        <f t="shared" si="88"/>
        <v>41772</v>
      </c>
      <c r="U1417" s="4">
        <v>41772</v>
      </c>
    </row>
    <row r="1418" spans="1:21" x14ac:dyDescent="0.3">
      <c r="A1418" t="s">
        <v>1988</v>
      </c>
      <c r="B1418" s="1" t="s">
        <v>150</v>
      </c>
      <c r="C1418" s="1" t="s">
        <v>151</v>
      </c>
      <c r="D1418" s="1" t="s">
        <v>13</v>
      </c>
      <c r="E1418" s="2" t="s">
        <v>3564</v>
      </c>
      <c r="F1418" s="2" t="b">
        <f t="shared" si="91"/>
        <v>0</v>
      </c>
      <c r="G1418" s="2">
        <f t="shared" si="89"/>
        <v>42215</v>
      </c>
      <c r="H1418" s="1" t="s">
        <v>122</v>
      </c>
      <c r="I1418" s="1" t="s">
        <v>824</v>
      </c>
      <c r="J1418" s="1">
        <v>50</v>
      </c>
      <c r="K1418" s="1">
        <v>42</v>
      </c>
      <c r="L1418" s="3">
        <v>0.16</v>
      </c>
      <c r="N1418" t="s">
        <v>3564</v>
      </c>
      <c r="P1418">
        <v>7</v>
      </c>
      <c r="Q1418">
        <v>30</v>
      </c>
      <c r="R1418">
        <v>2015</v>
      </c>
      <c r="S1418" s="4">
        <f t="shared" si="90"/>
        <v>42215</v>
      </c>
      <c r="T1418" s="4">
        <f t="shared" si="88"/>
        <v>42215</v>
      </c>
      <c r="U1418" s="4">
        <v>42215</v>
      </c>
    </row>
    <row r="1419" spans="1:21" x14ac:dyDescent="0.3">
      <c r="A1419" t="s">
        <v>1989</v>
      </c>
      <c r="B1419" s="1" t="s">
        <v>134</v>
      </c>
      <c r="C1419" s="1" t="s">
        <v>92</v>
      </c>
      <c r="D1419" s="1" t="s">
        <v>35</v>
      </c>
      <c r="E1419" s="2">
        <v>41740</v>
      </c>
      <c r="F1419" s="2" t="b">
        <f t="shared" si="91"/>
        <v>1</v>
      </c>
      <c r="G1419" s="2">
        <f t="shared" si="89"/>
        <v>41740</v>
      </c>
      <c r="H1419" s="1" t="s">
        <v>41</v>
      </c>
      <c r="I1419" s="1" t="s">
        <v>1019</v>
      </c>
      <c r="J1419" s="1">
        <v>30</v>
      </c>
      <c r="K1419" s="1">
        <v>26</v>
      </c>
      <c r="L1419" s="3">
        <v>0.1333</v>
      </c>
      <c r="N1419" t="s">
        <v>3763</v>
      </c>
      <c r="S1419" s="4" t="e">
        <f t="shared" si="90"/>
        <v>#NUM!</v>
      </c>
      <c r="T1419" s="4" t="str">
        <f t="shared" si="88"/>
        <v/>
      </c>
      <c r="U1419" s="4" t="s">
        <v>3763</v>
      </c>
    </row>
    <row r="1420" spans="1:21" x14ac:dyDescent="0.3">
      <c r="A1420" t="s">
        <v>1990</v>
      </c>
      <c r="B1420" s="1" t="s">
        <v>241</v>
      </c>
      <c r="C1420" s="1" t="s">
        <v>242</v>
      </c>
      <c r="D1420" s="1" t="s">
        <v>13</v>
      </c>
      <c r="E1420" s="2">
        <v>41887</v>
      </c>
      <c r="F1420" s="2" t="b">
        <f t="shared" si="91"/>
        <v>1</v>
      </c>
      <c r="G1420" s="2">
        <f t="shared" si="89"/>
        <v>41887</v>
      </c>
      <c r="H1420" s="1" t="s">
        <v>104</v>
      </c>
      <c r="I1420" s="1" t="s">
        <v>331</v>
      </c>
      <c r="J1420" s="1">
        <v>70</v>
      </c>
      <c r="K1420" s="1">
        <v>53</v>
      </c>
      <c r="L1420" s="3">
        <v>0.2429</v>
      </c>
      <c r="N1420" t="s">
        <v>3763</v>
      </c>
      <c r="S1420" s="4" t="e">
        <f t="shared" si="90"/>
        <v>#NUM!</v>
      </c>
      <c r="T1420" s="4" t="str">
        <f t="shared" si="88"/>
        <v/>
      </c>
      <c r="U1420" s="4" t="s">
        <v>3763</v>
      </c>
    </row>
    <row r="1421" spans="1:21" x14ac:dyDescent="0.3">
      <c r="A1421" t="s">
        <v>1991</v>
      </c>
      <c r="B1421" s="1" t="s">
        <v>59</v>
      </c>
      <c r="C1421" s="1" t="s">
        <v>60</v>
      </c>
      <c r="D1421" s="1" t="s">
        <v>13</v>
      </c>
      <c r="E1421" s="2" t="s">
        <v>3565</v>
      </c>
      <c r="F1421" s="2" t="b">
        <f t="shared" si="91"/>
        <v>0</v>
      </c>
      <c r="G1421" s="2">
        <f t="shared" si="89"/>
        <v>41693</v>
      </c>
      <c r="H1421" s="1" t="s">
        <v>72</v>
      </c>
      <c r="I1421" s="1" t="s">
        <v>62</v>
      </c>
      <c r="J1421" s="1">
        <v>500</v>
      </c>
      <c r="K1421" s="1">
        <v>490</v>
      </c>
      <c r="L1421" s="3">
        <v>0.02</v>
      </c>
      <c r="N1421" t="s">
        <v>3565</v>
      </c>
      <c r="P1421">
        <v>2</v>
      </c>
      <c r="Q1421">
        <v>23</v>
      </c>
      <c r="R1421">
        <v>2014</v>
      </c>
      <c r="S1421" s="4">
        <f t="shared" si="90"/>
        <v>41693</v>
      </c>
      <c r="T1421" s="4">
        <f t="shared" si="88"/>
        <v>41693</v>
      </c>
      <c r="U1421" s="4">
        <v>41693</v>
      </c>
    </row>
    <row r="1422" spans="1:21" x14ac:dyDescent="0.3">
      <c r="A1422" t="s">
        <v>1992</v>
      </c>
      <c r="B1422" s="1" t="s">
        <v>170</v>
      </c>
      <c r="C1422" s="1" t="s">
        <v>171</v>
      </c>
      <c r="D1422" s="1" t="s">
        <v>13</v>
      </c>
      <c r="E1422" s="2" t="s">
        <v>3191</v>
      </c>
      <c r="F1422" s="2" t="b">
        <f t="shared" si="91"/>
        <v>0</v>
      </c>
      <c r="G1422" s="2">
        <f t="shared" si="89"/>
        <v>42486</v>
      </c>
      <c r="H1422" s="1" t="s">
        <v>41</v>
      </c>
      <c r="I1422" s="1" t="s">
        <v>172</v>
      </c>
      <c r="J1422" s="1">
        <v>30</v>
      </c>
      <c r="K1422" s="1">
        <v>26</v>
      </c>
      <c r="L1422" s="3">
        <v>0.1333</v>
      </c>
      <c r="N1422" t="s">
        <v>3191</v>
      </c>
      <c r="P1422">
        <v>4</v>
      </c>
      <c r="Q1422">
        <v>26</v>
      </c>
      <c r="R1422">
        <v>2016</v>
      </c>
      <c r="S1422" s="4">
        <f t="shared" si="90"/>
        <v>42486</v>
      </c>
      <c r="T1422" s="4">
        <f t="shared" si="88"/>
        <v>42486</v>
      </c>
      <c r="U1422" s="4">
        <v>42486</v>
      </c>
    </row>
    <row r="1423" spans="1:21" x14ac:dyDescent="0.3">
      <c r="A1423" t="s">
        <v>1993</v>
      </c>
      <c r="B1423" s="1" t="s">
        <v>270</v>
      </c>
      <c r="C1423" s="1" t="s">
        <v>271</v>
      </c>
      <c r="D1423" s="1" t="s">
        <v>35</v>
      </c>
      <c r="E1423" s="2">
        <v>42126</v>
      </c>
      <c r="F1423" s="2" t="b">
        <f t="shared" si="91"/>
        <v>1</v>
      </c>
      <c r="G1423" s="2">
        <f t="shared" si="89"/>
        <v>42126</v>
      </c>
      <c r="H1423" s="1" t="s">
        <v>14</v>
      </c>
      <c r="I1423" s="1" t="s">
        <v>713</v>
      </c>
      <c r="J1423" s="1">
        <v>80</v>
      </c>
      <c r="K1423" s="1">
        <v>53</v>
      </c>
      <c r="L1423" s="3">
        <v>0.33750000000000002</v>
      </c>
      <c r="N1423" t="s">
        <v>3763</v>
      </c>
      <c r="S1423" s="4" t="e">
        <f t="shared" si="90"/>
        <v>#NUM!</v>
      </c>
      <c r="T1423" s="4" t="str">
        <f t="shared" si="88"/>
        <v/>
      </c>
      <c r="U1423" s="4" t="s">
        <v>3763</v>
      </c>
    </row>
    <row r="1424" spans="1:21" x14ac:dyDescent="0.3">
      <c r="A1424" t="s">
        <v>1994</v>
      </c>
      <c r="B1424" s="1" t="s">
        <v>434</v>
      </c>
      <c r="C1424" s="1" t="s">
        <v>435</v>
      </c>
      <c r="D1424" s="1" t="s">
        <v>24</v>
      </c>
      <c r="E1424" s="2" t="s">
        <v>3197</v>
      </c>
      <c r="F1424" s="2" t="b">
        <f t="shared" si="91"/>
        <v>0</v>
      </c>
      <c r="G1424" s="2">
        <f t="shared" si="89"/>
        <v>43372</v>
      </c>
      <c r="H1424" s="1" t="s">
        <v>55</v>
      </c>
      <c r="I1424" s="1" t="s">
        <v>550</v>
      </c>
      <c r="J1424" s="1">
        <v>800</v>
      </c>
      <c r="K1424" s="1">
        <v>616</v>
      </c>
      <c r="L1424" s="3">
        <v>0.23</v>
      </c>
      <c r="N1424" t="s">
        <v>3197</v>
      </c>
      <c r="P1424">
        <v>9</v>
      </c>
      <c r="Q1424">
        <v>29</v>
      </c>
      <c r="R1424">
        <v>2018</v>
      </c>
      <c r="S1424" s="4">
        <f t="shared" si="90"/>
        <v>43372</v>
      </c>
      <c r="T1424" s="4">
        <f t="shared" si="88"/>
        <v>43372</v>
      </c>
      <c r="U1424" s="4">
        <v>43372</v>
      </c>
    </row>
    <row r="1425" spans="1:21" x14ac:dyDescent="0.3">
      <c r="A1425" t="s">
        <v>1995</v>
      </c>
      <c r="B1425" s="1" t="s">
        <v>17</v>
      </c>
      <c r="C1425" s="1" t="s">
        <v>18</v>
      </c>
      <c r="D1425" s="1" t="s">
        <v>19</v>
      </c>
      <c r="E1425" s="2" t="s">
        <v>3175</v>
      </c>
      <c r="F1425" s="2" t="b">
        <f t="shared" si="91"/>
        <v>0</v>
      </c>
      <c r="G1425" s="2">
        <f t="shared" si="89"/>
        <v>42483</v>
      </c>
      <c r="H1425" s="1" t="s">
        <v>115</v>
      </c>
      <c r="I1425" s="1" t="s">
        <v>478</v>
      </c>
      <c r="J1425" s="1">
        <v>250</v>
      </c>
      <c r="K1425" s="1">
        <v>225</v>
      </c>
      <c r="L1425" s="3">
        <v>0.1</v>
      </c>
      <c r="N1425" t="s">
        <v>3175</v>
      </c>
      <c r="P1425">
        <v>4</v>
      </c>
      <c r="Q1425">
        <v>23</v>
      </c>
      <c r="R1425">
        <v>2016</v>
      </c>
      <c r="S1425" s="4">
        <f t="shared" si="90"/>
        <v>42483</v>
      </c>
      <c r="T1425" s="4">
        <f t="shared" si="88"/>
        <v>42483</v>
      </c>
      <c r="U1425" s="4">
        <v>42483</v>
      </c>
    </row>
    <row r="1426" spans="1:21" x14ac:dyDescent="0.3">
      <c r="A1426" t="s">
        <v>1996</v>
      </c>
      <c r="B1426" s="1" t="s">
        <v>434</v>
      </c>
      <c r="C1426" s="1" t="s">
        <v>435</v>
      </c>
      <c r="D1426" s="1" t="s">
        <v>24</v>
      </c>
      <c r="E1426" s="2">
        <v>42006</v>
      </c>
      <c r="F1426" s="2" t="b">
        <f t="shared" si="91"/>
        <v>1</v>
      </c>
      <c r="G1426" s="2">
        <f t="shared" si="89"/>
        <v>42006</v>
      </c>
      <c r="H1426" s="1" t="s">
        <v>115</v>
      </c>
      <c r="I1426" s="1" t="s">
        <v>858</v>
      </c>
      <c r="J1426" s="1">
        <v>250</v>
      </c>
      <c r="K1426" s="1">
        <v>215</v>
      </c>
      <c r="L1426" s="3">
        <v>0.14000000000000001</v>
      </c>
      <c r="N1426" t="s">
        <v>3763</v>
      </c>
      <c r="S1426" s="4" t="e">
        <f t="shared" si="90"/>
        <v>#NUM!</v>
      </c>
      <c r="T1426" s="4" t="str">
        <f t="shared" si="88"/>
        <v/>
      </c>
      <c r="U1426" s="4" t="s">
        <v>3763</v>
      </c>
    </row>
    <row r="1427" spans="1:21" x14ac:dyDescent="0.3">
      <c r="A1427" t="s">
        <v>1997</v>
      </c>
      <c r="B1427" s="1" t="s">
        <v>39</v>
      </c>
      <c r="C1427" s="1" t="s">
        <v>40</v>
      </c>
      <c r="D1427" s="1" t="s">
        <v>35</v>
      </c>
      <c r="E1427" s="2">
        <v>41681</v>
      </c>
      <c r="F1427" s="2" t="b">
        <f t="shared" si="91"/>
        <v>1</v>
      </c>
      <c r="G1427" s="2">
        <f t="shared" si="89"/>
        <v>41681</v>
      </c>
      <c r="H1427" s="1" t="s">
        <v>55</v>
      </c>
      <c r="I1427" s="1" t="s">
        <v>1290</v>
      </c>
      <c r="J1427" s="1">
        <v>800</v>
      </c>
      <c r="K1427" s="1">
        <v>712</v>
      </c>
      <c r="L1427" s="3">
        <v>0.11</v>
      </c>
      <c r="N1427" t="s">
        <v>3763</v>
      </c>
      <c r="S1427" s="4" t="e">
        <f t="shared" si="90"/>
        <v>#NUM!</v>
      </c>
      <c r="T1427" s="4" t="str">
        <f t="shared" si="88"/>
        <v/>
      </c>
      <c r="U1427" s="4" t="s">
        <v>3763</v>
      </c>
    </row>
    <row r="1428" spans="1:21" x14ac:dyDescent="0.3">
      <c r="A1428" t="s">
        <v>1998</v>
      </c>
      <c r="B1428" s="1" t="s">
        <v>131</v>
      </c>
      <c r="C1428" s="1" t="s">
        <v>108</v>
      </c>
      <c r="D1428" s="1" t="s">
        <v>19</v>
      </c>
      <c r="E1428" s="2">
        <v>43349</v>
      </c>
      <c r="F1428" s="2" t="b">
        <f t="shared" si="91"/>
        <v>1</v>
      </c>
      <c r="G1428" s="2">
        <f t="shared" si="89"/>
        <v>43349</v>
      </c>
      <c r="H1428" s="1" t="s">
        <v>36</v>
      </c>
      <c r="I1428" s="1" t="s">
        <v>268</v>
      </c>
      <c r="J1428" s="1">
        <v>50</v>
      </c>
      <c r="K1428" s="1">
        <v>46</v>
      </c>
      <c r="L1428" s="3">
        <v>0.08</v>
      </c>
      <c r="N1428" t="s">
        <v>3763</v>
      </c>
      <c r="S1428" s="4" t="e">
        <f t="shared" si="90"/>
        <v>#NUM!</v>
      </c>
      <c r="T1428" s="4" t="str">
        <f t="shared" si="88"/>
        <v/>
      </c>
      <c r="U1428" s="4" t="s">
        <v>3763</v>
      </c>
    </row>
    <row r="1429" spans="1:21" x14ac:dyDescent="0.3">
      <c r="A1429" t="s">
        <v>1999</v>
      </c>
      <c r="B1429" s="1" t="s">
        <v>205</v>
      </c>
      <c r="C1429" s="1" t="s">
        <v>206</v>
      </c>
      <c r="D1429" s="1" t="s">
        <v>24</v>
      </c>
      <c r="E1429" s="2" t="s">
        <v>3130</v>
      </c>
      <c r="F1429" s="2" t="b">
        <f t="shared" si="91"/>
        <v>0</v>
      </c>
      <c r="G1429" s="2">
        <f t="shared" si="89"/>
        <v>42365</v>
      </c>
      <c r="H1429" s="1" t="s">
        <v>61</v>
      </c>
      <c r="I1429" s="1" t="s">
        <v>722</v>
      </c>
      <c r="J1429" s="1">
        <v>1000</v>
      </c>
      <c r="K1429" s="1">
        <v>960</v>
      </c>
      <c r="L1429" s="3">
        <v>0.04</v>
      </c>
      <c r="N1429" t="s">
        <v>3130</v>
      </c>
      <c r="P1429">
        <v>12</v>
      </c>
      <c r="Q1429">
        <v>27</v>
      </c>
      <c r="R1429">
        <v>2015</v>
      </c>
      <c r="S1429" s="4">
        <f t="shared" si="90"/>
        <v>42365</v>
      </c>
      <c r="T1429" s="4">
        <f t="shared" si="88"/>
        <v>42365</v>
      </c>
      <c r="U1429" s="4">
        <v>42365</v>
      </c>
    </row>
    <row r="1430" spans="1:21" x14ac:dyDescent="0.3">
      <c r="A1430" t="s">
        <v>2000</v>
      </c>
      <c r="B1430" s="1" t="s">
        <v>227</v>
      </c>
      <c r="C1430" s="1" t="s">
        <v>228</v>
      </c>
      <c r="D1430" s="1" t="s">
        <v>24</v>
      </c>
      <c r="E1430" s="2">
        <v>42919</v>
      </c>
      <c r="F1430" s="2" t="b">
        <f t="shared" si="91"/>
        <v>1</v>
      </c>
      <c r="G1430" s="2">
        <f t="shared" si="89"/>
        <v>42919</v>
      </c>
      <c r="H1430" s="1" t="s">
        <v>115</v>
      </c>
      <c r="I1430" s="1" t="s">
        <v>937</v>
      </c>
      <c r="J1430" s="1">
        <v>250</v>
      </c>
      <c r="K1430" s="1">
        <v>243</v>
      </c>
      <c r="L1430" s="3">
        <v>2.8000000000000001E-2</v>
      </c>
      <c r="N1430" t="s">
        <v>3763</v>
      </c>
      <c r="S1430" s="4" t="e">
        <f t="shared" si="90"/>
        <v>#NUM!</v>
      </c>
      <c r="T1430" s="4" t="str">
        <f t="shared" si="88"/>
        <v/>
      </c>
      <c r="U1430" s="4" t="s">
        <v>3763</v>
      </c>
    </row>
    <row r="1431" spans="1:21" x14ac:dyDescent="0.3">
      <c r="A1431" t="s">
        <v>2001</v>
      </c>
      <c r="B1431" s="1" t="s">
        <v>118</v>
      </c>
      <c r="C1431" s="1" t="s">
        <v>119</v>
      </c>
      <c r="D1431" s="1" t="s">
        <v>35</v>
      </c>
      <c r="E1431" s="2" t="s">
        <v>3566</v>
      </c>
      <c r="F1431" s="2" t="b">
        <f t="shared" si="91"/>
        <v>0</v>
      </c>
      <c r="G1431" s="2">
        <f t="shared" si="89"/>
        <v>42261</v>
      </c>
      <c r="H1431" s="1" t="s">
        <v>25</v>
      </c>
      <c r="I1431" s="1" t="s">
        <v>1110</v>
      </c>
      <c r="J1431" s="1">
        <v>700</v>
      </c>
      <c r="K1431" s="1">
        <v>665</v>
      </c>
      <c r="L1431" s="3">
        <v>0.05</v>
      </c>
      <c r="N1431" t="s">
        <v>3566</v>
      </c>
      <c r="P1431">
        <v>9</v>
      </c>
      <c r="Q1431">
        <v>14</v>
      </c>
      <c r="R1431">
        <v>2015</v>
      </c>
      <c r="S1431" s="4">
        <f t="shared" si="90"/>
        <v>42261</v>
      </c>
      <c r="T1431" s="4">
        <f t="shared" si="88"/>
        <v>42261</v>
      </c>
      <c r="U1431" s="4">
        <v>42261</v>
      </c>
    </row>
    <row r="1432" spans="1:21" x14ac:dyDescent="0.3">
      <c r="A1432" t="s">
        <v>2002</v>
      </c>
      <c r="B1432" s="1" t="s">
        <v>64</v>
      </c>
      <c r="C1432" s="1" t="s">
        <v>65</v>
      </c>
      <c r="D1432" s="1" t="s">
        <v>35</v>
      </c>
      <c r="E1432" s="2">
        <v>43317</v>
      </c>
      <c r="F1432" s="2" t="b">
        <f t="shared" si="91"/>
        <v>1</v>
      </c>
      <c r="G1432" s="2">
        <f t="shared" si="89"/>
        <v>43317</v>
      </c>
      <c r="H1432" s="1" t="s">
        <v>41</v>
      </c>
      <c r="I1432" s="1" t="s">
        <v>872</v>
      </c>
      <c r="J1432" s="1">
        <v>30</v>
      </c>
      <c r="K1432" s="1">
        <v>30</v>
      </c>
      <c r="L1432" s="3">
        <v>0</v>
      </c>
      <c r="N1432" t="s">
        <v>3763</v>
      </c>
      <c r="S1432" s="4" t="e">
        <f t="shared" si="90"/>
        <v>#NUM!</v>
      </c>
      <c r="T1432" s="4" t="str">
        <f t="shared" si="88"/>
        <v/>
      </c>
      <c r="U1432" s="4" t="s">
        <v>3763</v>
      </c>
    </row>
    <row r="1433" spans="1:21" x14ac:dyDescent="0.3">
      <c r="A1433" t="s">
        <v>2003</v>
      </c>
      <c r="B1433" s="1" t="s">
        <v>22</v>
      </c>
      <c r="C1433" s="1" t="s">
        <v>23</v>
      </c>
      <c r="D1433" s="1" t="s">
        <v>24</v>
      </c>
      <c r="E1433" s="2" t="s">
        <v>3037</v>
      </c>
      <c r="F1433" s="2" t="b">
        <f t="shared" si="91"/>
        <v>0</v>
      </c>
      <c r="G1433" s="2">
        <f t="shared" si="89"/>
        <v>42266</v>
      </c>
      <c r="H1433" s="1" t="s">
        <v>46</v>
      </c>
      <c r="I1433" s="1" t="s">
        <v>483</v>
      </c>
      <c r="J1433" s="1">
        <v>500</v>
      </c>
      <c r="K1433" s="1">
        <v>350</v>
      </c>
      <c r="L1433" s="3">
        <v>0.3</v>
      </c>
      <c r="N1433" t="s">
        <v>3037</v>
      </c>
      <c r="P1433">
        <v>9</v>
      </c>
      <c r="Q1433">
        <v>19</v>
      </c>
      <c r="R1433">
        <v>2015</v>
      </c>
      <c r="S1433" s="4">
        <f t="shared" si="90"/>
        <v>42266</v>
      </c>
      <c r="T1433" s="4">
        <f t="shared" si="88"/>
        <v>42266</v>
      </c>
      <c r="U1433" s="4">
        <v>42266</v>
      </c>
    </row>
    <row r="1434" spans="1:21" x14ac:dyDescent="0.3">
      <c r="A1434" t="s">
        <v>2004</v>
      </c>
      <c r="B1434" s="1" t="s">
        <v>70</v>
      </c>
      <c r="C1434" s="1" t="s">
        <v>71</v>
      </c>
      <c r="D1434" s="1" t="s">
        <v>35</v>
      </c>
      <c r="E1434" s="2" t="s">
        <v>3567</v>
      </c>
      <c r="F1434" s="2" t="b">
        <f t="shared" si="91"/>
        <v>0</v>
      </c>
      <c r="G1434" s="2">
        <f t="shared" si="89"/>
        <v>42390</v>
      </c>
      <c r="H1434" s="1" t="s">
        <v>41</v>
      </c>
      <c r="I1434" s="1" t="s">
        <v>1414</v>
      </c>
      <c r="J1434" s="1">
        <v>30</v>
      </c>
      <c r="K1434" s="1">
        <v>28</v>
      </c>
      <c r="L1434" s="3">
        <v>6.6699999999999995E-2</v>
      </c>
      <c r="N1434" t="s">
        <v>3567</v>
      </c>
      <c r="P1434">
        <v>1</v>
      </c>
      <c r="Q1434">
        <v>21</v>
      </c>
      <c r="R1434">
        <v>2016</v>
      </c>
      <c r="S1434" s="4">
        <f t="shared" si="90"/>
        <v>42390</v>
      </c>
      <c r="T1434" s="4">
        <f t="shared" si="88"/>
        <v>42390</v>
      </c>
      <c r="U1434" s="4">
        <v>42390</v>
      </c>
    </row>
    <row r="1435" spans="1:21" x14ac:dyDescent="0.3">
      <c r="A1435" t="s">
        <v>2005</v>
      </c>
      <c r="B1435" s="1" t="s">
        <v>289</v>
      </c>
      <c r="C1435" s="1" t="s">
        <v>108</v>
      </c>
      <c r="D1435" s="1" t="s">
        <v>19</v>
      </c>
      <c r="E1435" s="2" t="s">
        <v>2980</v>
      </c>
      <c r="F1435" s="2" t="b">
        <f t="shared" si="91"/>
        <v>0</v>
      </c>
      <c r="G1435" s="2">
        <f t="shared" si="89"/>
        <v>42582</v>
      </c>
      <c r="H1435" s="1" t="s">
        <v>115</v>
      </c>
      <c r="I1435" s="1" t="s">
        <v>903</v>
      </c>
      <c r="J1435" s="1">
        <v>250</v>
      </c>
      <c r="K1435" s="1">
        <v>245</v>
      </c>
      <c r="L1435" s="3">
        <v>0.02</v>
      </c>
      <c r="N1435" t="s">
        <v>2980</v>
      </c>
      <c r="P1435">
        <v>7</v>
      </c>
      <c r="Q1435">
        <v>31</v>
      </c>
      <c r="R1435">
        <v>2016</v>
      </c>
      <c r="S1435" s="4">
        <f t="shared" si="90"/>
        <v>42582</v>
      </c>
      <c r="T1435" s="4">
        <f t="shared" si="88"/>
        <v>42582</v>
      </c>
      <c r="U1435" s="4">
        <v>42582</v>
      </c>
    </row>
    <row r="1436" spans="1:21" x14ac:dyDescent="0.3">
      <c r="A1436" t="s">
        <v>2006</v>
      </c>
      <c r="B1436" s="1" t="s">
        <v>111</v>
      </c>
      <c r="C1436" s="1" t="s">
        <v>82</v>
      </c>
      <c r="D1436" s="1" t="s">
        <v>13</v>
      </c>
      <c r="E1436" s="2" t="s">
        <v>3568</v>
      </c>
      <c r="F1436" s="2" t="b">
        <f t="shared" si="91"/>
        <v>0</v>
      </c>
      <c r="G1436" s="2">
        <f t="shared" si="89"/>
        <v>43095</v>
      </c>
      <c r="H1436" s="1" t="s">
        <v>30</v>
      </c>
      <c r="I1436" s="1" t="s">
        <v>372</v>
      </c>
      <c r="J1436" s="1">
        <v>150</v>
      </c>
      <c r="K1436" s="1">
        <v>143</v>
      </c>
      <c r="L1436" s="3">
        <v>4.6699999999999998E-2</v>
      </c>
      <c r="N1436" t="s">
        <v>3568</v>
      </c>
      <c r="P1436">
        <v>12</v>
      </c>
      <c r="Q1436">
        <v>26</v>
      </c>
      <c r="R1436">
        <v>2017</v>
      </c>
      <c r="S1436" s="4">
        <f t="shared" si="90"/>
        <v>43095</v>
      </c>
      <c r="T1436" s="4">
        <f t="shared" si="88"/>
        <v>43095</v>
      </c>
      <c r="U1436" s="4">
        <v>43095</v>
      </c>
    </row>
    <row r="1437" spans="1:21" x14ac:dyDescent="0.3">
      <c r="A1437" t="s">
        <v>2007</v>
      </c>
      <c r="B1437" s="1" t="s">
        <v>270</v>
      </c>
      <c r="C1437" s="1" t="s">
        <v>271</v>
      </c>
      <c r="D1437" s="1" t="s">
        <v>35</v>
      </c>
      <c r="E1437" s="2" t="s">
        <v>3311</v>
      </c>
      <c r="F1437" s="2" t="b">
        <f t="shared" si="91"/>
        <v>0</v>
      </c>
      <c r="G1437" s="2">
        <f t="shared" si="89"/>
        <v>43329</v>
      </c>
      <c r="H1437" s="1" t="s">
        <v>122</v>
      </c>
      <c r="I1437" s="1" t="s">
        <v>272</v>
      </c>
      <c r="J1437" s="1">
        <v>50</v>
      </c>
      <c r="K1437" s="1">
        <v>49</v>
      </c>
      <c r="L1437" s="3">
        <v>0.02</v>
      </c>
      <c r="N1437" t="s">
        <v>3311</v>
      </c>
      <c r="P1437">
        <v>8</v>
      </c>
      <c r="Q1437">
        <v>17</v>
      </c>
      <c r="R1437">
        <v>2018</v>
      </c>
      <c r="S1437" s="4">
        <f t="shared" si="90"/>
        <v>43329</v>
      </c>
      <c r="T1437" s="4">
        <f t="shared" si="88"/>
        <v>43329</v>
      </c>
      <c r="U1437" s="4">
        <v>43329</v>
      </c>
    </row>
    <row r="1438" spans="1:21" x14ac:dyDescent="0.3">
      <c r="A1438" t="s">
        <v>2008</v>
      </c>
      <c r="B1438" s="1" t="s">
        <v>39</v>
      </c>
      <c r="C1438" s="1" t="s">
        <v>40</v>
      </c>
      <c r="D1438" s="1" t="s">
        <v>35</v>
      </c>
      <c r="E1438" s="2" t="s">
        <v>3569</v>
      </c>
      <c r="F1438" s="2" t="b">
        <f t="shared" si="91"/>
        <v>0</v>
      </c>
      <c r="G1438" s="2">
        <f t="shared" si="89"/>
        <v>42838</v>
      </c>
      <c r="H1438" s="1" t="s">
        <v>36</v>
      </c>
      <c r="I1438" s="1" t="s">
        <v>1304</v>
      </c>
      <c r="J1438" s="1">
        <v>50</v>
      </c>
      <c r="K1438" s="1">
        <v>50</v>
      </c>
      <c r="L1438" s="3">
        <v>0</v>
      </c>
      <c r="N1438" t="s">
        <v>3569</v>
      </c>
      <c r="P1438">
        <v>4</v>
      </c>
      <c r="Q1438">
        <v>13</v>
      </c>
      <c r="R1438">
        <v>2017</v>
      </c>
      <c r="S1438" s="4">
        <f t="shared" si="90"/>
        <v>42838</v>
      </c>
      <c r="T1438" s="4">
        <f t="shared" si="88"/>
        <v>42838</v>
      </c>
      <c r="U1438" s="4">
        <v>42838</v>
      </c>
    </row>
    <row r="1439" spans="1:21" x14ac:dyDescent="0.3">
      <c r="A1439" t="s">
        <v>2009</v>
      </c>
      <c r="B1439" s="1" t="s">
        <v>64</v>
      </c>
      <c r="C1439" s="1" t="s">
        <v>65</v>
      </c>
      <c r="D1439" s="1" t="s">
        <v>35</v>
      </c>
      <c r="E1439" s="2">
        <v>42197</v>
      </c>
      <c r="F1439" s="2" t="b">
        <f t="shared" si="91"/>
        <v>1</v>
      </c>
      <c r="G1439" s="2">
        <f t="shared" si="89"/>
        <v>42197</v>
      </c>
      <c r="H1439" s="1" t="s">
        <v>61</v>
      </c>
      <c r="I1439" s="1" t="s">
        <v>280</v>
      </c>
      <c r="J1439" s="1">
        <v>1000</v>
      </c>
      <c r="K1439" s="1">
        <v>940</v>
      </c>
      <c r="L1439" s="3">
        <v>0.06</v>
      </c>
      <c r="N1439" t="s">
        <v>3763</v>
      </c>
      <c r="S1439" s="4" t="e">
        <f t="shared" si="90"/>
        <v>#NUM!</v>
      </c>
      <c r="T1439" s="4" t="str">
        <f t="shared" si="88"/>
        <v/>
      </c>
      <c r="U1439" s="4" t="s">
        <v>3763</v>
      </c>
    </row>
    <row r="1440" spans="1:21" x14ac:dyDescent="0.3">
      <c r="A1440" t="s">
        <v>2010</v>
      </c>
      <c r="B1440" s="1" t="s">
        <v>127</v>
      </c>
      <c r="C1440" s="1" t="s">
        <v>128</v>
      </c>
      <c r="D1440" s="1" t="s">
        <v>13</v>
      </c>
      <c r="E1440" s="2">
        <v>42461</v>
      </c>
      <c r="F1440" s="2" t="b">
        <f t="shared" si="91"/>
        <v>1</v>
      </c>
      <c r="G1440" s="2">
        <f t="shared" si="89"/>
        <v>42461</v>
      </c>
      <c r="H1440" s="1" t="s">
        <v>55</v>
      </c>
      <c r="I1440" s="1" t="s">
        <v>867</v>
      </c>
      <c r="J1440" s="1">
        <v>800</v>
      </c>
      <c r="K1440" s="1">
        <v>480</v>
      </c>
      <c r="L1440" s="3">
        <v>0.4</v>
      </c>
      <c r="N1440" t="s">
        <v>3763</v>
      </c>
      <c r="S1440" s="4" t="e">
        <f t="shared" si="90"/>
        <v>#NUM!</v>
      </c>
      <c r="T1440" s="4" t="str">
        <f t="shared" si="88"/>
        <v/>
      </c>
      <c r="U1440" s="4" t="s">
        <v>3763</v>
      </c>
    </row>
    <row r="1441" spans="1:21" x14ac:dyDescent="0.3">
      <c r="A1441" t="s">
        <v>2011</v>
      </c>
      <c r="B1441" s="1" t="s">
        <v>241</v>
      </c>
      <c r="C1441" s="1" t="s">
        <v>242</v>
      </c>
      <c r="D1441" s="1" t="s">
        <v>13</v>
      </c>
      <c r="E1441" s="2">
        <v>41735</v>
      </c>
      <c r="F1441" s="2" t="b">
        <f t="shared" si="91"/>
        <v>1</v>
      </c>
      <c r="G1441" s="2">
        <f t="shared" si="89"/>
        <v>41735</v>
      </c>
      <c r="H1441" s="1" t="s">
        <v>115</v>
      </c>
      <c r="I1441" s="1" t="s">
        <v>626</v>
      </c>
      <c r="J1441" s="1">
        <v>250</v>
      </c>
      <c r="K1441" s="1">
        <v>198</v>
      </c>
      <c r="L1441" s="3">
        <v>0.20799999999999999</v>
      </c>
      <c r="N1441" t="s">
        <v>3763</v>
      </c>
      <c r="S1441" s="4" t="e">
        <f t="shared" si="90"/>
        <v>#NUM!</v>
      </c>
      <c r="T1441" s="4" t="str">
        <f t="shared" si="88"/>
        <v/>
      </c>
      <c r="U1441" s="4" t="s">
        <v>3763</v>
      </c>
    </row>
    <row r="1442" spans="1:21" x14ac:dyDescent="0.3">
      <c r="A1442" t="s">
        <v>2012</v>
      </c>
      <c r="B1442" s="1" t="s">
        <v>174</v>
      </c>
      <c r="C1442" s="1" t="s">
        <v>175</v>
      </c>
      <c r="D1442" s="1" t="s">
        <v>13</v>
      </c>
      <c r="E1442" s="2">
        <v>43140</v>
      </c>
      <c r="F1442" s="2" t="b">
        <f t="shared" si="91"/>
        <v>1</v>
      </c>
      <c r="G1442" s="2">
        <f t="shared" si="89"/>
        <v>43140</v>
      </c>
      <c r="H1442" s="1" t="s">
        <v>30</v>
      </c>
      <c r="I1442" s="1" t="s">
        <v>1558</v>
      </c>
      <c r="J1442" s="1">
        <v>150</v>
      </c>
      <c r="K1442" s="1">
        <v>131</v>
      </c>
      <c r="L1442" s="3">
        <v>0.12670000000000001</v>
      </c>
      <c r="N1442" t="s">
        <v>3763</v>
      </c>
      <c r="S1442" s="4" t="e">
        <f t="shared" si="90"/>
        <v>#NUM!</v>
      </c>
      <c r="T1442" s="4" t="str">
        <f t="shared" si="88"/>
        <v/>
      </c>
      <c r="U1442" s="4" t="s">
        <v>3763</v>
      </c>
    </row>
    <row r="1443" spans="1:21" x14ac:dyDescent="0.3">
      <c r="A1443" t="s">
        <v>2013</v>
      </c>
      <c r="B1443" s="1" t="s">
        <v>205</v>
      </c>
      <c r="C1443" s="1" t="s">
        <v>206</v>
      </c>
      <c r="D1443" s="1" t="s">
        <v>24</v>
      </c>
      <c r="E1443" s="2" t="s">
        <v>3020</v>
      </c>
      <c r="F1443" s="2" t="b">
        <f t="shared" si="91"/>
        <v>0</v>
      </c>
      <c r="G1443" s="2">
        <f t="shared" si="89"/>
        <v>42931</v>
      </c>
      <c r="H1443" s="1" t="s">
        <v>61</v>
      </c>
      <c r="I1443" s="1" t="s">
        <v>759</v>
      </c>
      <c r="J1443" s="1">
        <v>1000</v>
      </c>
      <c r="K1443" s="1">
        <v>730</v>
      </c>
      <c r="L1443" s="3">
        <v>0.27</v>
      </c>
      <c r="N1443" t="s">
        <v>3020</v>
      </c>
      <c r="P1443">
        <v>7</v>
      </c>
      <c r="Q1443">
        <v>15</v>
      </c>
      <c r="R1443">
        <v>2017</v>
      </c>
      <c r="S1443" s="4">
        <f t="shared" si="90"/>
        <v>42931</v>
      </c>
      <c r="T1443" s="4">
        <f t="shared" si="88"/>
        <v>42931</v>
      </c>
      <c r="U1443" s="4">
        <v>42931</v>
      </c>
    </row>
    <row r="1444" spans="1:21" x14ac:dyDescent="0.3">
      <c r="A1444" t="s">
        <v>2014</v>
      </c>
      <c r="B1444" s="1" t="s">
        <v>127</v>
      </c>
      <c r="C1444" s="1" t="s">
        <v>128</v>
      </c>
      <c r="D1444" s="1" t="s">
        <v>13</v>
      </c>
      <c r="E1444" s="2">
        <v>42685</v>
      </c>
      <c r="F1444" s="2" t="b">
        <f t="shared" si="91"/>
        <v>1</v>
      </c>
      <c r="G1444" s="2">
        <f t="shared" si="89"/>
        <v>42685</v>
      </c>
      <c r="H1444" s="1" t="s">
        <v>55</v>
      </c>
      <c r="I1444" s="1" t="s">
        <v>920</v>
      </c>
      <c r="J1444" s="1">
        <v>800</v>
      </c>
      <c r="K1444" s="1">
        <v>584</v>
      </c>
      <c r="L1444" s="3">
        <v>0.27</v>
      </c>
      <c r="N1444" t="s">
        <v>3763</v>
      </c>
      <c r="S1444" s="4" t="e">
        <f t="shared" si="90"/>
        <v>#NUM!</v>
      </c>
      <c r="T1444" s="4" t="str">
        <f t="shared" si="88"/>
        <v/>
      </c>
      <c r="U1444" s="4" t="s">
        <v>3763</v>
      </c>
    </row>
    <row r="1445" spans="1:21" x14ac:dyDescent="0.3">
      <c r="A1445" t="s">
        <v>2015</v>
      </c>
      <c r="B1445" s="1" t="s">
        <v>182</v>
      </c>
      <c r="C1445" s="1" t="s">
        <v>108</v>
      </c>
      <c r="D1445" s="1" t="s">
        <v>19</v>
      </c>
      <c r="E1445" s="2" t="s">
        <v>3311</v>
      </c>
      <c r="F1445" s="2" t="b">
        <f t="shared" si="91"/>
        <v>0</v>
      </c>
      <c r="G1445" s="2">
        <f t="shared" si="89"/>
        <v>43329</v>
      </c>
      <c r="H1445" s="1" t="s">
        <v>30</v>
      </c>
      <c r="I1445" s="1" t="s">
        <v>2016</v>
      </c>
      <c r="J1445" s="1">
        <v>150</v>
      </c>
      <c r="K1445" s="1">
        <v>128</v>
      </c>
      <c r="L1445" s="3">
        <v>0.1467</v>
      </c>
      <c r="N1445" t="s">
        <v>3311</v>
      </c>
      <c r="P1445">
        <v>8</v>
      </c>
      <c r="Q1445">
        <v>17</v>
      </c>
      <c r="R1445">
        <v>2018</v>
      </c>
      <c r="S1445" s="4">
        <f t="shared" si="90"/>
        <v>43329</v>
      </c>
      <c r="T1445" s="4">
        <f t="shared" si="88"/>
        <v>43329</v>
      </c>
      <c r="U1445" s="4">
        <v>43329</v>
      </c>
    </row>
    <row r="1446" spans="1:21" x14ac:dyDescent="0.3">
      <c r="A1446" t="s">
        <v>2017</v>
      </c>
      <c r="B1446" s="1" t="s">
        <v>53</v>
      </c>
      <c r="C1446" s="1" t="s">
        <v>54</v>
      </c>
      <c r="D1446" s="1" t="s">
        <v>13</v>
      </c>
      <c r="E1446" s="2" t="s">
        <v>3006</v>
      </c>
      <c r="F1446" s="2" t="b">
        <f t="shared" si="91"/>
        <v>0</v>
      </c>
      <c r="G1446" s="2">
        <f t="shared" si="89"/>
        <v>43056</v>
      </c>
      <c r="H1446" s="1" t="s">
        <v>61</v>
      </c>
      <c r="I1446" s="1" t="s">
        <v>404</v>
      </c>
      <c r="J1446" s="1">
        <v>1000</v>
      </c>
      <c r="K1446" s="1">
        <v>1000</v>
      </c>
      <c r="L1446" s="3">
        <v>0</v>
      </c>
      <c r="N1446" t="s">
        <v>3006</v>
      </c>
      <c r="P1446">
        <v>11</v>
      </c>
      <c r="Q1446">
        <v>17</v>
      </c>
      <c r="R1446">
        <v>2017</v>
      </c>
      <c r="S1446" s="4">
        <f t="shared" si="90"/>
        <v>43056</v>
      </c>
      <c r="T1446" s="4">
        <f t="shared" si="88"/>
        <v>43056</v>
      </c>
      <c r="U1446" s="4">
        <v>43056</v>
      </c>
    </row>
    <row r="1447" spans="1:21" x14ac:dyDescent="0.3">
      <c r="A1447" t="s">
        <v>2018</v>
      </c>
      <c r="B1447" s="1" t="s">
        <v>146</v>
      </c>
      <c r="C1447" s="1" t="s">
        <v>147</v>
      </c>
      <c r="D1447" s="1" t="s">
        <v>13</v>
      </c>
      <c r="E1447" s="2" t="s">
        <v>2984</v>
      </c>
      <c r="F1447" s="2" t="b">
        <f t="shared" si="91"/>
        <v>0</v>
      </c>
      <c r="G1447" s="2">
        <f t="shared" si="89"/>
        <v>42936</v>
      </c>
      <c r="H1447" s="1" t="s">
        <v>36</v>
      </c>
      <c r="I1447" s="1" t="s">
        <v>1033</v>
      </c>
      <c r="J1447" s="1">
        <v>50</v>
      </c>
      <c r="K1447" s="1">
        <v>47</v>
      </c>
      <c r="L1447" s="3">
        <v>0.06</v>
      </c>
      <c r="N1447" t="s">
        <v>2984</v>
      </c>
      <c r="P1447">
        <v>7</v>
      </c>
      <c r="Q1447">
        <v>20</v>
      </c>
      <c r="R1447">
        <v>2017</v>
      </c>
      <c r="S1447" s="4">
        <f t="shared" si="90"/>
        <v>42936</v>
      </c>
      <c r="T1447" s="4">
        <f t="shared" si="88"/>
        <v>42936</v>
      </c>
      <c r="U1447" s="4">
        <v>42936</v>
      </c>
    </row>
    <row r="1448" spans="1:21" x14ac:dyDescent="0.3">
      <c r="A1448" t="s">
        <v>2019</v>
      </c>
      <c r="B1448" s="1" t="s">
        <v>81</v>
      </c>
      <c r="C1448" s="1" t="s">
        <v>82</v>
      </c>
      <c r="D1448" s="1" t="s">
        <v>13</v>
      </c>
      <c r="E1448" s="2" t="s">
        <v>3367</v>
      </c>
      <c r="F1448" s="2" t="b">
        <f t="shared" si="91"/>
        <v>0</v>
      </c>
      <c r="G1448" s="2">
        <f t="shared" si="89"/>
        <v>43456</v>
      </c>
      <c r="H1448" s="1" t="s">
        <v>30</v>
      </c>
      <c r="I1448" s="1" t="s">
        <v>556</v>
      </c>
      <c r="J1448" s="1">
        <v>150</v>
      </c>
      <c r="K1448" s="1">
        <v>144</v>
      </c>
      <c r="L1448" s="3">
        <v>0.04</v>
      </c>
      <c r="N1448" t="s">
        <v>3367</v>
      </c>
      <c r="P1448">
        <v>12</v>
      </c>
      <c r="Q1448">
        <v>22</v>
      </c>
      <c r="R1448">
        <v>2018</v>
      </c>
      <c r="S1448" s="4">
        <f t="shared" si="90"/>
        <v>43456</v>
      </c>
      <c r="T1448" s="4">
        <f t="shared" si="88"/>
        <v>43456</v>
      </c>
      <c r="U1448" s="4">
        <v>43456</v>
      </c>
    </row>
    <row r="1449" spans="1:21" x14ac:dyDescent="0.3">
      <c r="A1449" t="s">
        <v>2020</v>
      </c>
      <c r="B1449" s="1" t="s">
        <v>59</v>
      </c>
      <c r="C1449" s="1" t="s">
        <v>60</v>
      </c>
      <c r="D1449" s="1" t="s">
        <v>13</v>
      </c>
      <c r="E1449" s="2">
        <v>41974</v>
      </c>
      <c r="F1449" s="2" t="b">
        <f t="shared" si="91"/>
        <v>1</v>
      </c>
      <c r="G1449" s="2">
        <f t="shared" si="89"/>
        <v>41974</v>
      </c>
      <c r="H1449" s="1" t="s">
        <v>41</v>
      </c>
      <c r="I1449" s="1" t="s">
        <v>697</v>
      </c>
      <c r="J1449" s="1">
        <v>30</v>
      </c>
      <c r="K1449" s="1">
        <v>29</v>
      </c>
      <c r="L1449" s="3">
        <v>3.3300000000000003E-2</v>
      </c>
      <c r="N1449" t="s">
        <v>3763</v>
      </c>
      <c r="S1449" s="4" t="e">
        <f t="shared" si="90"/>
        <v>#NUM!</v>
      </c>
      <c r="T1449" s="4" t="str">
        <f t="shared" si="88"/>
        <v/>
      </c>
      <c r="U1449" s="4" t="s">
        <v>3763</v>
      </c>
    </row>
    <row r="1450" spans="1:21" x14ac:dyDescent="0.3">
      <c r="A1450" t="s">
        <v>2021</v>
      </c>
      <c r="B1450" s="1" t="s">
        <v>154</v>
      </c>
      <c r="C1450" s="1" t="s">
        <v>108</v>
      </c>
      <c r="D1450" s="1" t="s">
        <v>19</v>
      </c>
      <c r="E1450" s="2">
        <v>42711</v>
      </c>
      <c r="F1450" s="2" t="b">
        <f t="shared" si="91"/>
        <v>1</v>
      </c>
      <c r="G1450" s="2">
        <f t="shared" si="89"/>
        <v>42711</v>
      </c>
      <c r="H1450" s="1" t="s">
        <v>36</v>
      </c>
      <c r="I1450" s="1" t="s">
        <v>155</v>
      </c>
      <c r="J1450" s="1">
        <v>50</v>
      </c>
      <c r="K1450" s="1">
        <v>44</v>
      </c>
      <c r="L1450" s="3">
        <v>0.12</v>
      </c>
      <c r="N1450" t="s">
        <v>3763</v>
      </c>
      <c r="S1450" s="4" t="e">
        <f t="shared" si="90"/>
        <v>#NUM!</v>
      </c>
      <c r="T1450" s="4" t="str">
        <f t="shared" si="88"/>
        <v/>
      </c>
      <c r="U1450" s="4" t="s">
        <v>3763</v>
      </c>
    </row>
    <row r="1451" spans="1:21" x14ac:dyDescent="0.3">
      <c r="A1451" t="s">
        <v>2022</v>
      </c>
      <c r="B1451" s="1" t="s">
        <v>134</v>
      </c>
      <c r="C1451" s="1" t="s">
        <v>92</v>
      </c>
      <c r="D1451" s="1" t="s">
        <v>35</v>
      </c>
      <c r="E1451" s="2" t="s">
        <v>3570</v>
      </c>
      <c r="F1451" s="2" t="b">
        <f t="shared" si="91"/>
        <v>0</v>
      </c>
      <c r="G1451" s="2">
        <f t="shared" si="89"/>
        <v>41663</v>
      </c>
      <c r="H1451" s="1" t="s">
        <v>46</v>
      </c>
      <c r="I1451" s="1" t="s">
        <v>1019</v>
      </c>
      <c r="J1451" s="1">
        <v>500</v>
      </c>
      <c r="K1451" s="1">
        <v>350</v>
      </c>
      <c r="L1451" s="3">
        <v>0.3</v>
      </c>
      <c r="N1451" t="s">
        <v>3570</v>
      </c>
      <c r="P1451">
        <v>1</v>
      </c>
      <c r="Q1451">
        <v>24</v>
      </c>
      <c r="R1451">
        <v>2014</v>
      </c>
      <c r="S1451" s="4">
        <f t="shared" si="90"/>
        <v>41663</v>
      </c>
      <c r="T1451" s="4">
        <f t="shared" si="88"/>
        <v>41663</v>
      </c>
      <c r="U1451" s="4">
        <v>41663</v>
      </c>
    </row>
    <row r="1452" spans="1:21" x14ac:dyDescent="0.3">
      <c r="A1452" t="s">
        <v>2023</v>
      </c>
      <c r="B1452" s="1" t="s">
        <v>95</v>
      </c>
      <c r="C1452" s="1" t="s">
        <v>96</v>
      </c>
      <c r="D1452" s="1" t="s">
        <v>13</v>
      </c>
      <c r="E1452" s="2">
        <v>42317</v>
      </c>
      <c r="F1452" s="2" t="b">
        <f t="shared" si="91"/>
        <v>1</v>
      </c>
      <c r="G1452" s="2">
        <f t="shared" si="89"/>
        <v>42317</v>
      </c>
      <c r="H1452" s="1" t="s">
        <v>122</v>
      </c>
      <c r="I1452" s="1" t="s">
        <v>731</v>
      </c>
      <c r="J1452" s="1">
        <v>50</v>
      </c>
      <c r="K1452" s="1">
        <v>42</v>
      </c>
      <c r="L1452" s="3">
        <v>0.16</v>
      </c>
      <c r="N1452" t="s">
        <v>3763</v>
      </c>
      <c r="S1452" s="4" t="e">
        <f t="shared" si="90"/>
        <v>#NUM!</v>
      </c>
      <c r="T1452" s="4" t="str">
        <f t="shared" si="88"/>
        <v/>
      </c>
      <c r="U1452" s="4" t="s">
        <v>3763</v>
      </c>
    </row>
    <row r="1453" spans="1:21" x14ac:dyDescent="0.3">
      <c r="A1453" t="s">
        <v>2024</v>
      </c>
      <c r="B1453" s="1" t="s">
        <v>270</v>
      </c>
      <c r="C1453" s="1" t="s">
        <v>271</v>
      </c>
      <c r="D1453" s="1" t="s">
        <v>35</v>
      </c>
      <c r="E1453" s="2" t="s">
        <v>3571</v>
      </c>
      <c r="F1453" s="2" t="b">
        <f t="shared" si="91"/>
        <v>0</v>
      </c>
      <c r="G1453" s="2">
        <f t="shared" si="89"/>
        <v>42701</v>
      </c>
      <c r="H1453" s="1" t="s">
        <v>115</v>
      </c>
      <c r="I1453" s="1" t="s">
        <v>715</v>
      </c>
      <c r="J1453" s="1">
        <v>250</v>
      </c>
      <c r="K1453" s="1">
        <v>220</v>
      </c>
      <c r="L1453" s="3">
        <v>0.12</v>
      </c>
      <c r="N1453" t="s">
        <v>3571</v>
      </c>
      <c r="P1453">
        <v>11</v>
      </c>
      <c r="Q1453">
        <v>27</v>
      </c>
      <c r="R1453">
        <v>2016</v>
      </c>
      <c r="S1453" s="4">
        <f t="shared" si="90"/>
        <v>42701</v>
      </c>
      <c r="T1453" s="4">
        <f t="shared" si="88"/>
        <v>42701</v>
      </c>
      <c r="U1453" s="4">
        <v>42701</v>
      </c>
    </row>
    <row r="1454" spans="1:21" x14ac:dyDescent="0.3">
      <c r="A1454" t="s">
        <v>2025</v>
      </c>
      <c r="B1454" s="1" t="s">
        <v>85</v>
      </c>
      <c r="C1454" s="1" t="s">
        <v>86</v>
      </c>
      <c r="D1454" s="1" t="s">
        <v>13</v>
      </c>
      <c r="E1454" s="2" t="s">
        <v>3442</v>
      </c>
      <c r="F1454" s="2" t="b">
        <f t="shared" si="91"/>
        <v>0</v>
      </c>
      <c r="G1454" s="2">
        <f t="shared" si="89"/>
        <v>42630</v>
      </c>
      <c r="H1454" s="1" t="s">
        <v>46</v>
      </c>
      <c r="I1454" s="1" t="s">
        <v>581</v>
      </c>
      <c r="J1454" s="1">
        <v>500</v>
      </c>
      <c r="K1454" s="1">
        <v>485</v>
      </c>
      <c r="L1454" s="3">
        <v>0.03</v>
      </c>
      <c r="N1454" t="s">
        <v>3442</v>
      </c>
      <c r="P1454">
        <v>9</v>
      </c>
      <c r="Q1454">
        <v>17</v>
      </c>
      <c r="R1454">
        <v>2016</v>
      </c>
      <c r="S1454" s="4">
        <f t="shared" si="90"/>
        <v>42630</v>
      </c>
      <c r="T1454" s="4">
        <f t="shared" si="88"/>
        <v>42630</v>
      </c>
      <c r="U1454" s="4">
        <v>42630</v>
      </c>
    </row>
    <row r="1455" spans="1:21" x14ac:dyDescent="0.3">
      <c r="A1455" t="s">
        <v>2026</v>
      </c>
      <c r="B1455" s="1" t="s">
        <v>182</v>
      </c>
      <c r="C1455" s="1" t="s">
        <v>108</v>
      </c>
      <c r="D1455" s="1" t="s">
        <v>19</v>
      </c>
      <c r="E1455" s="2">
        <v>43199</v>
      </c>
      <c r="F1455" s="2" t="b">
        <f t="shared" si="91"/>
        <v>1</v>
      </c>
      <c r="G1455" s="2">
        <f t="shared" si="89"/>
        <v>43199</v>
      </c>
      <c r="H1455" s="1" t="s">
        <v>25</v>
      </c>
      <c r="I1455" s="1" t="s">
        <v>183</v>
      </c>
      <c r="J1455" s="1">
        <v>700</v>
      </c>
      <c r="K1455" s="1">
        <v>672</v>
      </c>
      <c r="L1455" s="3">
        <v>0.04</v>
      </c>
      <c r="N1455" t="s">
        <v>3763</v>
      </c>
      <c r="S1455" s="4" t="e">
        <f t="shared" si="90"/>
        <v>#NUM!</v>
      </c>
      <c r="T1455" s="4" t="str">
        <f t="shared" si="88"/>
        <v/>
      </c>
      <c r="U1455" s="4" t="s">
        <v>3763</v>
      </c>
    </row>
    <row r="1456" spans="1:21" x14ac:dyDescent="0.3">
      <c r="A1456" t="s">
        <v>2027</v>
      </c>
      <c r="B1456" s="1" t="s">
        <v>95</v>
      </c>
      <c r="C1456" s="1" t="s">
        <v>96</v>
      </c>
      <c r="D1456" s="1" t="s">
        <v>13</v>
      </c>
      <c r="E1456" s="2">
        <v>43074</v>
      </c>
      <c r="F1456" s="2" t="b">
        <f t="shared" si="91"/>
        <v>1</v>
      </c>
      <c r="G1456" s="2">
        <f t="shared" si="89"/>
        <v>43074</v>
      </c>
      <c r="H1456" s="1" t="s">
        <v>25</v>
      </c>
      <c r="I1456" s="1" t="s">
        <v>1275</v>
      </c>
      <c r="J1456" s="1">
        <v>700</v>
      </c>
      <c r="K1456" s="1">
        <v>630</v>
      </c>
      <c r="L1456" s="3">
        <v>0.1</v>
      </c>
      <c r="N1456" t="s">
        <v>3763</v>
      </c>
      <c r="S1456" s="4" t="e">
        <f t="shared" si="90"/>
        <v>#NUM!</v>
      </c>
      <c r="T1456" s="4" t="str">
        <f t="shared" si="88"/>
        <v/>
      </c>
      <c r="U1456" s="4" t="s">
        <v>3763</v>
      </c>
    </row>
    <row r="1457" spans="1:21" x14ac:dyDescent="0.3">
      <c r="A1457" t="s">
        <v>2028</v>
      </c>
      <c r="B1457" s="1" t="s">
        <v>33</v>
      </c>
      <c r="C1457" s="1" t="s">
        <v>34</v>
      </c>
      <c r="D1457" s="1" t="s">
        <v>35</v>
      </c>
      <c r="E1457" s="2" t="s">
        <v>3572</v>
      </c>
      <c r="F1457" s="2" t="b">
        <f t="shared" si="91"/>
        <v>0</v>
      </c>
      <c r="G1457" s="2">
        <f t="shared" si="89"/>
        <v>42669</v>
      </c>
      <c r="H1457" s="1" t="s">
        <v>55</v>
      </c>
      <c r="I1457" s="1" t="s">
        <v>75</v>
      </c>
      <c r="J1457" s="1">
        <v>800</v>
      </c>
      <c r="K1457" s="1">
        <v>688</v>
      </c>
      <c r="L1457" s="3">
        <v>0.14000000000000001</v>
      </c>
      <c r="N1457" t="s">
        <v>3572</v>
      </c>
      <c r="P1457">
        <v>10</v>
      </c>
      <c r="Q1457">
        <v>26</v>
      </c>
      <c r="R1457">
        <v>2016</v>
      </c>
      <c r="S1457" s="4">
        <f t="shared" si="90"/>
        <v>42669</v>
      </c>
      <c r="T1457" s="4">
        <f t="shared" si="88"/>
        <v>42669</v>
      </c>
      <c r="U1457" s="4">
        <v>42669</v>
      </c>
    </row>
    <row r="1458" spans="1:21" x14ac:dyDescent="0.3">
      <c r="A1458" t="s">
        <v>2029</v>
      </c>
      <c r="B1458" s="1" t="s">
        <v>221</v>
      </c>
      <c r="C1458" s="1" t="s">
        <v>40</v>
      </c>
      <c r="D1458" s="1" t="s">
        <v>35</v>
      </c>
      <c r="E1458" s="2" t="s">
        <v>3179</v>
      </c>
      <c r="F1458" s="2" t="b">
        <f t="shared" si="91"/>
        <v>0</v>
      </c>
      <c r="G1458" s="2">
        <f t="shared" si="89"/>
        <v>41784</v>
      </c>
      <c r="H1458" s="1" t="s">
        <v>36</v>
      </c>
      <c r="I1458" s="1" t="s">
        <v>262</v>
      </c>
      <c r="J1458" s="1">
        <v>50</v>
      </c>
      <c r="K1458" s="1">
        <v>48</v>
      </c>
      <c r="L1458" s="3">
        <v>0.04</v>
      </c>
      <c r="N1458" t="s">
        <v>3179</v>
      </c>
      <c r="P1458">
        <v>5</v>
      </c>
      <c r="Q1458">
        <v>25</v>
      </c>
      <c r="R1458">
        <v>2014</v>
      </c>
      <c r="S1458" s="4">
        <f t="shared" si="90"/>
        <v>41784</v>
      </c>
      <c r="T1458" s="4">
        <f t="shared" si="88"/>
        <v>41784</v>
      </c>
      <c r="U1458" s="4">
        <v>41784</v>
      </c>
    </row>
    <row r="1459" spans="1:21" x14ac:dyDescent="0.3">
      <c r="A1459" t="s">
        <v>2030</v>
      </c>
      <c r="B1459" s="1" t="s">
        <v>53</v>
      </c>
      <c r="C1459" s="1" t="s">
        <v>54</v>
      </c>
      <c r="D1459" s="1" t="s">
        <v>13</v>
      </c>
      <c r="E1459" s="2" t="s">
        <v>3573</v>
      </c>
      <c r="F1459" s="2" t="b">
        <f t="shared" si="91"/>
        <v>0</v>
      </c>
      <c r="G1459" s="2">
        <f t="shared" si="89"/>
        <v>42879</v>
      </c>
      <c r="H1459" s="1" t="s">
        <v>104</v>
      </c>
      <c r="I1459" s="1" t="s">
        <v>404</v>
      </c>
      <c r="J1459" s="1">
        <v>70</v>
      </c>
      <c r="K1459" s="1">
        <v>67</v>
      </c>
      <c r="L1459" s="3">
        <v>4.2900000000000001E-2</v>
      </c>
      <c r="N1459" t="s">
        <v>3573</v>
      </c>
      <c r="P1459">
        <v>5</v>
      </c>
      <c r="Q1459">
        <v>24</v>
      </c>
      <c r="R1459">
        <v>2017</v>
      </c>
      <c r="S1459" s="4">
        <f t="shared" si="90"/>
        <v>42879</v>
      </c>
      <c r="T1459" s="4">
        <f t="shared" si="88"/>
        <v>42879</v>
      </c>
      <c r="U1459" s="4">
        <v>42879</v>
      </c>
    </row>
    <row r="1460" spans="1:21" x14ac:dyDescent="0.3">
      <c r="A1460" t="s">
        <v>2031</v>
      </c>
      <c r="B1460" s="1" t="s">
        <v>187</v>
      </c>
      <c r="C1460" s="1" t="s">
        <v>188</v>
      </c>
      <c r="D1460" s="1" t="s">
        <v>13</v>
      </c>
      <c r="E1460" s="2">
        <v>42773</v>
      </c>
      <c r="F1460" s="2" t="b">
        <f t="shared" si="91"/>
        <v>1</v>
      </c>
      <c r="G1460" s="2">
        <f t="shared" si="89"/>
        <v>42773</v>
      </c>
      <c r="H1460" s="1" t="s">
        <v>46</v>
      </c>
      <c r="I1460" s="1" t="s">
        <v>791</v>
      </c>
      <c r="J1460" s="1">
        <v>500</v>
      </c>
      <c r="K1460" s="1">
        <v>470</v>
      </c>
      <c r="L1460" s="3">
        <v>0.06</v>
      </c>
      <c r="N1460" t="s">
        <v>3763</v>
      </c>
      <c r="S1460" s="4" t="e">
        <f t="shared" si="90"/>
        <v>#NUM!</v>
      </c>
      <c r="T1460" s="4" t="str">
        <f t="shared" si="88"/>
        <v/>
      </c>
      <c r="U1460" s="4" t="s">
        <v>3763</v>
      </c>
    </row>
    <row r="1461" spans="1:21" x14ac:dyDescent="0.3">
      <c r="A1461" t="s">
        <v>2032</v>
      </c>
      <c r="B1461" s="1" t="s">
        <v>174</v>
      </c>
      <c r="C1461" s="1" t="s">
        <v>175</v>
      </c>
      <c r="D1461" s="1" t="s">
        <v>13</v>
      </c>
      <c r="E1461" s="2" t="s">
        <v>3124</v>
      </c>
      <c r="F1461" s="2" t="b">
        <f t="shared" si="91"/>
        <v>0</v>
      </c>
      <c r="G1461" s="2">
        <f t="shared" si="89"/>
        <v>41901</v>
      </c>
      <c r="H1461" s="1" t="s">
        <v>115</v>
      </c>
      <c r="I1461" s="1" t="s">
        <v>1558</v>
      </c>
      <c r="J1461" s="1">
        <v>250</v>
      </c>
      <c r="K1461" s="1">
        <v>243</v>
      </c>
      <c r="L1461" s="3">
        <v>2.8000000000000001E-2</v>
      </c>
      <c r="N1461" t="s">
        <v>3124</v>
      </c>
      <c r="P1461">
        <v>9</v>
      </c>
      <c r="Q1461">
        <v>19</v>
      </c>
      <c r="R1461">
        <v>2014</v>
      </c>
      <c r="S1461" s="4">
        <f t="shared" si="90"/>
        <v>41901</v>
      </c>
      <c r="T1461" s="4">
        <f t="shared" si="88"/>
        <v>41901</v>
      </c>
      <c r="U1461" s="4">
        <v>41901</v>
      </c>
    </row>
    <row r="1462" spans="1:21" x14ac:dyDescent="0.3">
      <c r="A1462" t="s">
        <v>2033</v>
      </c>
      <c r="B1462" s="1" t="s">
        <v>157</v>
      </c>
      <c r="C1462" s="1" t="s">
        <v>108</v>
      </c>
      <c r="D1462" s="1" t="s">
        <v>19</v>
      </c>
      <c r="E1462" s="2" t="s">
        <v>3132</v>
      </c>
      <c r="F1462" s="2" t="b">
        <f t="shared" si="91"/>
        <v>0</v>
      </c>
      <c r="G1462" s="2">
        <f t="shared" si="89"/>
        <v>43279</v>
      </c>
      <c r="H1462" s="1" t="s">
        <v>55</v>
      </c>
      <c r="I1462" s="1" t="s">
        <v>720</v>
      </c>
      <c r="J1462" s="1">
        <v>800</v>
      </c>
      <c r="K1462" s="1">
        <v>552</v>
      </c>
      <c r="L1462" s="3">
        <v>0.31</v>
      </c>
      <c r="N1462" t="s">
        <v>3132</v>
      </c>
      <c r="P1462">
        <v>6</v>
      </c>
      <c r="Q1462">
        <v>28</v>
      </c>
      <c r="R1462">
        <v>2018</v>
      </c>
      <c r="S1462" s="4">
        <f t="shared" si="90"/>
        <v>43279</v>
      </c>
      <c r="T1462" s="4">
        <f t="shared" si="88"/>
        <v>43279</v>
      </c>
      <c r="U1462" s="4">
        <v>43279</v>
      </c>
    </row>
    <row r="1463" spans="1:21" x14ac:dyDescent="0.3">
      <c r="A1463" t="s">
        <v>2034</v>
      </c>
      <c r="B1463" s="1" t="s">
        <v>174</v>
      </c>
      <c r="C1463" s="1" t="s">
        <v>175</v>
      </c>
      <c r="D1463" s="1" t="s">
        <v>13</v>
      </c>
      <c r="E1463" s="2">
        <v>42684</v>
      </c>
      <c r="F1463" s="2" t="b">
        <f t="shared" si="91"/>
        <v>1</v>
      </c>
      <c r="G1463" s="2">
        <f t="shared" si="89"/>
        <v>42684</v>
      </c>
      <c r="H1463" s="1" t="s">
        <v>72</v>
      </c>
      <c r="I1463" s="1" t="s">
        <v>788</v>
      </c>
      <c r="J1463" s="1">
        <v>500</v>
      </c>
      <c r="K1463" s="1">
        <v>490</v>
      </c>
      <c r="L1463" s="3">
        <v>0.02</v>
      </c>
      <c r="N1463" t="s">
        <v>3763</v>
      </c>
      <c r="S1463" s="4" t="e">
        <f t="shared" si="90"/>
        <v>#NUM!</v>
      </c>
      <c r="T1463" s="4" t="str">
        <f t="shared" si="88"/>
        <v/>
      </c>
      <c r="U1463" s="4" t="s">
        <v>3763</v>
      </c>
    </row>
    <row r="1464" spans="1:21" x14ac:dyDescent="0.3">
      <c r="A1464" t="s">
        <v>2035</v>
      </c>
      <c r="B1464" s="1" t="s">
        <v>44</v>
      </c>
      <c r="C1464" s="1" t="s">
        <v>45</v>
      </c>
      <c r="D1464" s="1" t="s">
        <v>24</v>
      </c>
      <c r="E1464" s="2" t="s">
        <v>3145</v>
      </c>
      <c r="F1464" s="2" t="b">
        <f t="shared" si="91"/>
        <v>0</v>
      </c>
      <c r="G1464" s="2">
        <f t="shared" si="89"/>
        <v>41690</v>
      </c>
      <c r="H1464" s="1" t="s">
        <v>14</v>
      </c>
      <c r="I1464" s="1" t="s">
        <v>1070</v>
      </c>
      <c r="J1464" s="1">
        <v>80</v>
      </c>
      <c r="K1464" s="1">
        <v>65</v>
      </c>
      <c r="L1464" s="3">
        <v>0.1875</v>
      </c>
      <c r="N1464" t="s">
        <v>3145</v>
      </c>
      <c r="P1464">
        <v>2</v>
      </c>
      <c r="Q1464">
        <v>20</v>
      </c>
      <c r="R1464">
        <v>2014</v>
      </c>
      <c r="S1464" s="4">
        <f t="shared" si="90"/>
        <v>41690</v>
      </c>
      <c r="T1464" s="4">
        <f t="shared" si="88"/>
        <v>41690</v>
      </c>
      <c r="U1464" s="4">
        <v>41690</v>
      </c>
    </row>
    <row r="1465" spans="1:21" x14ac:dyDescent="0.3">
      <c r="A1465" t="s">
        <v>2036</v>
      </c>
      <c r="B1465" s="1" t="s">
        <v>255</v>
      </c>
      <c r="C1465" s="1" t="s">
        <v>256</v>
      </c>
      <c r="D1465" s="1" t="s">
        <v>13</v>
      </c>
      <c r="E1465" s="2" t="s">
        <v>3574</v>
      </c>
      <c r="F1465" s="2" t="b">
        <f t="shared" si="91"/>
        <v>0</v>
      </c>
      <c r="G1465" s="2">
        <f t="shared" si="89"/>
        <v>42475</v>
      </c>
      <c r="H1465" s="1" t="s">
        <v>122</v>
      </c>
      <c r="I1465" s="1" t="s">
        <v>1829</v>
      </c>
      <c r="J1465" s="1">
        <v>50</v>
      </c>
      <c r="K1465" s="1">
        <v>43</v>
      </c>
      <c r="L1465" s="3">
        <v>0.14000000000000001</v>
      </c>
      <c r="N1465" t="s">
        <v>3574</v>
      </c>
      <c r="P1465">
        <v>4</v>
      </c>
      <c r="Q1465">
        <v>15</v>
      </c>
      <c r="R1465">
        <v>2016</v>
      </c>
      <c r="S1465" s="4">
        <f t="shared" si="90"/>
        <v>42475</v>
      </c>
      <c r="T1465" s="4">
        <f t="shared" si="88"/>
        <v>42475</v>
      </c>
      <c r="U1465" s="4">
        <v>42475</v>
      </c>
    </row>
    <row r="1466" spans="1:21" x14ac:dyDescent="0.3">
      <c r="A1466" t="s">
        <v>2037</v>
      </c>
      <c r="B1466" s="1" t="s">
        <v>157</v>
      </c>
      <c r="C1466" s="1" t="s">
        <v>108</v>
      </c>
      <c r="D1466" s="1" t="s">
        <v>19</v>
      </c>
      <c r="E1466" s="2" t="s">
        <v>3187</v>
      </c>
      <c r="F1466" s="2" t="b">
        <f t="shared" si="91"/>
        <v>0</v>
      </c>
      <c r="G1466" s="2">
        <f t="shared" si="89"/>
        <v>43190</v>
      </c>
      <c r="H1466" s="1" t="s">
        <v>55</v>
      </c>
      <c r="I1466" s="1" t="s">
        <v>1870</v>
      </c>
      <c r="J1466" s="1">
        <v>800</v>
      </c>
      <c r="K1466" s="1">
        <v>616</v>
      </c>
      <c r="L1466" s="3">
        <v>0.23</v>
      </c>
      <c r="N1466" t="s">
        <v>3187</v>
      </c>
      <c r="P1466">
        <v>3</v>
      </c>
      <c r="Q1466">
        <v>31</v>
      </c>
      <c r="R1466">
        <v>2018</v>
      </c>
      <c r="S1466" s="4">
        <f t="shared" si="90"/>
        <v>43190</v>
      </c>
      <c r="T1466" s="4">
        <f t="shared" si="88"/>
        <v>43190</v>
      </c>
      <c r="U1466" s="4">
        <v>43190</v>
      </c>
    </row>
    <row r="1467" spans="1:21" x14ac:dyDescent="0.3">
      <c r="A1467" t="s">
        <v>2038</v>
      </c>
      <c r="B1467" s="1" t="s">
        <v>227</v>
      </c>
      <c r="C1467" s="1" t="s">
        <v>228</v>
      </c>
      <c r="D1467" s="1" t="s">
        <v>24</v>
      </c>
      <c r="E1467" s="2">
        <v>42403</v>
      </c>
      <c r="F1467" s="2" t="b">
        <f t="shared" si="91"/>
        <v>1</v>
      </c>
      <c r="G1467" s="2">
        <f t="shared" si="89"/>
        <v>42403</v>
      </c>
      <c r="H1467" s="1" t="s">
        <v>72</v>
      </c>
      <c r="I1467" s="1" t="s">
        <v>1024</v>
      </c>
      <c r="J1467" s="1">
        <v>500</v>
      </c>
      <c r="K1467" s="1">
        <v>490</v>
      </c>
      <c r="L1467" s="3">
        <v>0.02</v>
      </c>
      <c r="N1467" t="s">
        <v>3763</v>
      </c>
      <c r="S1467" s="4" t="e">
        <f t="shared" si="90"/>
        <v>#NUM!</v>
      </c>
      <c r="T1467" s="4" t="str">
        <f t="shared" si="88"/>
        <v/>
      </c>
      <c r="U1467" s="4" t="s">
        <v>3763</v>
      </c>
    </row>
    <row r="1468" spans="1:21" x14ac:dyDescent="0.3">
      <c r="A1468" t="s">
        <v>2039</v>
      </c>
      <c r="B1468" s="1" t="s">
        <v>70</v>
      </c>
      <c r="C1468" s="1" t="s">
        <v>71</v>
      </c>
      <c r="D1468" s="1" t="s">
        <v>35</v>
      </c>
      <c r="E1468" s="2" t="s">
        <v>3575</v>
      </c>
      <c r="F1468" s="2" t="b">
        <f t="shared" si="91"/>
        <v>0</v>
      </c>
      <c r="G1468" s="2">
        <f t="shared" si="89"/>
        <v>43242</v>
      </c>
      <c r="H1468" s="1" t="s">
        <v>41</v>
      </c>
      <c r="I1468" s="1" t="s">
        <v>73</v>
      </c>
      <c r="J1468" s="1">
        <v>30</v>
      </c>
      <c r="K1468" s="1">
        <v>26</v>
      </c>
      <c r="L1468" s="3">
        <v>0.1333</v>
      </c>
      <c r="N1468" t="s">
        <v>3575</v>
      </c>
      <c r="P1468">
        <v>5</v>
      </c>
      <c r="Q1468">
        <v>22</v>
      </c>
      <c r="R1468">
        <v>2018</v>
      </c>
      <c r="S1468" s="4">
        <f t="shared" si="90"/>
        <v>43242</v>
      </c>
      <c r="T1468" s="4">
        <f t="shared" si="88"/>
        <v>43242</v>
      </c>
      <c r="U1468" s="4">
        <v>43242</v>
      </c>
    </row>
    <row r="1469" spans="1:21" x14ac:dyDescent="0.3">
      <c r="A1469" t="s">
        <v>2040</v>
      </c>
      <c r="B1469" s="1" t="s">
        <v>146</v>
      </c>
      <c r="C1469" s="1" t="s">
        <v>147</v>
      </c>
      <c r="D1469" s="1" t="s">
        <v>13</v>
      </c>
      <c r="E1469" s="2">
        <v>43353</v>
      </c>
      <c r="F1469" s="2" t="b">
        <f t="shared" si="91"/>
        <v>1</v>
      </c>
      <c r="G1469" s="2">
        <f t="shared" si="89"/>
        <v>43353</v>
      </c>
      <c r="H1469" s="1" t="s">
        <v>122</v>
      </c>
      <c r="I1469" s="1" t="s">
        <v>1647</v>
      </c>
      <c r="J1469" s="1">
        <v>50</v>
      </c>
      <c r="K1469" s="1">
        <v>48</v>
      </c>
      <c r="L1469" s="3">
        <v>0.04</v>
      </c>
      <c r="N1469" t="s">
        <v>3763</v>
      </c>
      <c r="S1469" s="4" t="e">
        <f t="shared" si="90"/>
        <v>#NUM!</v>
      </c>
      <c r="T1469" s="4" t="str">
        <f t="shared" si="88"/>
        <v/>
      </c>
      <c r="U1469" s="4" t="s">
        <v>3763</v>
      </c>
    </row>
    <row r="1470" spans="1:21" x14ac:dyDescent="0.3">
      <c r="A1470" t="s">
        <v>2041</v>
      </c>
      <c r="B1470" s="1" t="s">
        <v>70</v>
      </c>
      <c r="C1470" s="1" t="s">
        <v>71</v>
      </c>
      <c r="D1470" s="1" t="s">
        <v>35</v>
      </c>
      <c r="E1470" s="2" t="s">
        <v>3145</v>
      </c>
      <c r="F1470" s="2" t="b">
        <f t="shared" si="91"/>
        <v>0</v>
      </c>
      <c r="G1470" s="2">
        <f t="shared" si="89"/>
        <v>41690</v>
      </c>
      <c r="H1470" s="1" t="s">
        <v>55</v>
      </c>
      <c r="I1470" s="1" t="s">
        <v>962</v>
      </c>
      <c r="J1470" s="1">
        <v>800</v>
      </c>
      <c r="K1470" s="1">
        <v>608</v>
      </c>
      <c r="L1470" s="3">
        <v>0.24</v>
      </c>
      <c r="N1470" t="s">
        <v>3145</v>
      </c>
      <c r="P1470">
        <v>2</v>
      </c>
      <c r="Q1470">
        <v>20</v>
      </c>
      <c r="R1470">
        <v>2014</v>
      </c>
      <c r="S1470" s="4">
        <f t="shared" si="90"/>
        <v>41690</v>
      </c>
      <c r="T1470" s="4">
        <f t="shared" si="88"/>
        <v>41690</v>
      </c>
      <c r="U1470" s="4">
        <v>41690</v>
      </c>
    </row>
    <row r="1471" spans="1:21" x14ac:dyDescent="0.3">
      <c r="A1471" t="s">
        <v>2042</v>
      </c>
      <c r="B1471" s="1" t="s">
        <v>221</v>
      </c>
      <c r="C1471" s="1" t="s">
        <v>40</v>
      </c>
      <c r="D1471" s="1" t="s">
        <v>35</v>
      </c>
      <c r="E1471" s="2" t="s">
        <v>3157</v>
      </c>
      <c r="F1471" s="2" t="b">
        <f t="shared" si="91"/>
        <v>0</v>
      </c>
      <c r="G1471" s="2">
        <f t="shared" si="89"/>
        <v>42487</v>
      </c>
      <c r="H1471" s="1" t="s">
        <v>61</v>
      </c>
      <c r="I1471" s="1" t="s">
        <v>222</v>
      </c>
      <c r="J1471" s="1">
        <v>1000</v>
      </c>
      <c r="K1471" s="1">
        <v>680</v>
      </c>
      <c r="L1471" s="3">
        <v>0.32</v>
      </c>
      <c r="N1471" t="s">
        <v>3157</v>
      </c>
      <c r="P1471">
        <v>4</v>
      </c>
      <c r="Q1471">
        <v>27</v>
      </c>
      <c r="R1471">
        <v>2016</v>
      </c>
      <c r="S1471" s="4">
        <f t="shared" si="90"/>
        <v>42487</v>
      </c>
      <c r="T1471" s="4">
        <f t="shared" si="88"/>
        <v>42487</v>
      </c>
      <c r="U1471" s="4">
        <v>42487</v>
      </c>
    </row>
    <row r="1472" spans="1:21" x14ac:dyDescent="0.3">
      <c r="A1472" t="s">
        <v>2043</v>
      </c>
      <c r="B1472" s="1" t="s">
        <v>107</v>
      </c>
      <c r="C1472" s="1" t="s">
        <v>108</v>
      </c>
      <c r="D1472" s="1" t="s">
        <v>19</v>
      </c>
      <c r="E1472" s="2" t="s">
        <v>3576</v>
      </c>
      <c r="F1472" s="2" t="b">
        <f t="shared" si="91"/>
        <v>0</v>
      </c>
      <c r="G1472" s="2">
        <f t="shared" si="89"/>
        <v>42185</v>
      </c>
      <c r="H1472" s="1" t="s">
        <v>72</v>
      </c>
      <c r="I1472" s="1" t="s">
        <v>946</v>
      </c>
      <c r="J1472" s="1">
        <v>500</v>
      </c>
      <c r="K1472" s="1">
        <v>500</v>
      </c>
      <c r="L1472" s="3">
        <v>0</v>
      </c>
      <c r="N1472" t="s">
        <v>3576</v>
      </c>
      <c r="P1472">
        <v>6</v>
      </c>
      <c r="Q1472">
        <v>30</v>
      </c>
      <c r="R1472">
        <v>2015</v>
      </c>
      <c r="S1472" s="4">
        <f t="shared" si="90"/>
        <v>42185</v>
      </c>
      <c r="T1472" s="4">
        <f t="shared" si="88"/>
        <v>42185</v>
      </c>
      <c r="U1472" s="4">
        <v>42185</v>
      </c>
    </row>
    <row r="1473" spans="1:21" x14ac:dyDescent="0.3">
      <c r="A1473" t="s">
        <v>2044</v>
      </c>
      <c r="B1473" s="1" t="s">
        <v>59</v>
      </c>
      <c r="C1473" s="1" t="s">
        <v>60</v>
      </c>
      <c r="D1473" s="1" t="s">
        <v>13</v>
      </c>
      <c r="E1473" s="2" t="s">
        <v>3577</v>
      </c>
      <c r="F1473" s="2" t="b">
        <f t="shared" si="91"/>
        <v>0</v>
      </c>
      <c r="G1473" s="2">
        <f t="shared" si="89"/>
        <v>42268</v>
      </c>
      <c r="H1473" s="1" t="s">
        <v>25</v>
      </c>
      <c r="I1473" s="1" t="s">
        <v>1842</v>
      </c>
      <c r="J1473" s="1">
        <v>700</v>
      </c>
      <c r="K1473" s="1">
        <v>462</v>
      </c>
      <c r="L1473" s="3">
        <v>0.34</v>
      </c>
      <c r="N1473" t="s">
        <v>3577</v>
      </c>
      <c r="P1473">
        <v>9</v>
      </c>
      <c r="Q1473">
        <v>21</v>
      </c>
      <c r="R1473">
        <v>2015</v>
      </c>
      <c r="S1473" s="4">
        <f t="shared" si="90"/>
        <v>42268</v>
      </c>
      <c r="T1473" s="4">
        <f t="shared" si="88"/>
        <v>42268</v>
      </c>
      <c r="U1473" s="4">
        <v>42268</v>
      </c>
    </row>
    <row r="1474" spans="1:21" x14ac:dyDescent="0.3">
      <c r="A1474" t="s">
        <v>2045</v>
      </c>
      <c r="B1474" s="1" t="s">
        <v>99</v>
      </c>
      <c r="C1474" s="1" t="s">
        <v>100</v>
      </c>
      <c r="D1474" s="1" t="s">
        <v>13</v>
      </c>
      <c r="E1474" s="2" t="s">
        <v>3287</v>
      </c>
      <c r="F1474" s="2" t="b">
        <f t="shared" si="91"/>
        <v>0</v>
      </c>
      <c r="G1474" s="2">
        <f t="shared" si="89"/>
        <v>42114</v>
      </c>
      <c r="H1474" s="1" t="s">
        <v>14</v>
      </c>
      <c r="I1474" s="1" t="s">
        <v>948</v>
      </c>
      <c r="J1474" s="1">
        <v>80</v>
      </c>
      <c r="K1474" s="1">
        <v>69</v>
      </c>
      <c r="L1474" s="3">
        <v>0.13750000000000001</v>
      </c>
      <c r="N1474" t="s">
        <v>3287</v>
      </c>
      <c r="P1474">
        <v>4</v>
      </c>
      <c r="Q1474">
        <v>20</v>
      </c>
      <c r="R1474">
        <v>2015</v>
      </c>
      <c r="S1474" s="4">
        <f t="shared" si="90"/>
        <v>42114</v>
      </c>
      <c r="T1474" s="4">
        <f t="shared" si="88"/>
        <v>42114</v>
      </c>
      <c r="U1474" s="4">
        <v>42114</v>
      </c>
    </row>
    <row r="1475" spans="1:21" x14ac:dyDescent="0.3">
      <c r="A1475" t="s">
        <v>2046</v>
      </c>
      <c r="B1475" s="1" t="s">
        <v>187</v>
      </c>
      <c r="C1475" s="1" t="s">
        <v>188</v>
      </c>
      <c r="D1475" s="1" t="s">
        <v>13</v>
      </c>
      <c r="E1475" s="2" t="s">
        <v>3578</v>
      </c>
      <c r="F1475" s="2" t="b">
        <f t="shared" si="91"/>
        <v>0</v>
      </c>
      <c r="G1475" s="2">
        <f t="shared" si="89"/>
        <v>42121</v>
      </c>
      <c r="H1475" s="1" t="s">
        <v>104</v>
      </c>
      <c r="I1475" s="1" t="s">
        <v>189</v>
      </c>
      <c r="J1475" s="1">
        <v>70</v>
      </c>
      <c r="K1475" s="1">
        <v>47</v>
      </c>
      <c r="L1475" s="3">
        <v>0.3286</v>
      </c>
      <c r="N1475" t="s">
        <v>3578</v>
      </c>
      <c r="P1475">
        <v>4</v>
      </c>
      <c r="Q1475">
        <v>27</v>
      </c>
      <c r="R1475">
        <v>2015</v>
      </c>
      <c r="S1475" s="4">
        <f t="shared" si="90"/>
        <v>42121</v>
      </c>
      <c r="T1475" s="4">
        <f t="shared" ref="T1475:T1538" si="92">IF(AND(P1475&lt;&gt;"",Q1475&lt;&gt;"",R1475&lt;&gt;""),IFERROR(DATE(R1475,P1475,Q1475),""),"")</f>
        <v>42121</v>
      </c>
      <c r="U1475" s="4">
        <v>42121</v>
      </c>
    </row>
    <row r="1476" spans="1:21" x14ac:dyDescent="0.3">
      <c r="A1476" t="s">
        <v>2047</v>
      </c>
      <c r="B1476" s="1" t="s">
        <v>11</v>
      </c>
      <c r="C1476" s="1" t="s">
        <v>12</v>
      </c>
      <c r="D1476" s="1" t="s">
        <v>13</v>
      </c>
      <c r="E1476" s="2" t="s">
        <v>3579</v>
      </c>
      <c r="F1476" s="2" t="b">
        <f t="shared" si="91"/>
        <v>0</v>
      </c>
      <c r="G1476" s="2">
        <f t="shared" ref="G1476:G1539" si="93">IF(F1476=TRUE,E1476,U1476)</f>
        <v>42512</v>
      </c>
      <c r="H1476" s="1" t="s">
        <v>46</v>
      </c>
      <c r="I1476" s="1" t="s">
        <v>276</v>
      </c>
      <c r="J1476" s="1">
        <v>500</v>
      </c>
      <c r="K1476" s="1">
        <v>490</v>
      </c>
      <c r="L1476" s="3">
        <v>0.02</v>
      </c>
      <c r="N1476" t="s">
        <v>3579</v>
      </c>
      <c r="P1476">
        <v>5</v>
      </c>
      <c r="Q1476">
        <v>22</v>
      </c>
      <c r="R1476">
        <v>2016</v>
      </c>
      <c r="S1476" s="4">
        <f t="shared" ref="S1476:S1539" si="94">DATE(R1476,P1476,Q1476)</f>
        <v>42512</v>
      </c>
      <c r="T1476" s="4">
        <f t="shared" si="92"/>
        <v>42512</v>
      </c>
      <c r="U1476" s="4">
        <v>42512</v>
      </c>
    </row>
    <row r="1477" spans="1:21" x14ac:dyDescent="0.3">
      <c r="A1477" t="s">
        <v>2048</v>
      </c>
      <c r="B1477" s="1" t="s">
        <v>64</v>
      </c>
      <c r="C1477" s="1" t="s">
        <v>65</v>
      </c>
      <c r="D1477" s="1" t="s">
        <v>35</v>
      </c>
      <c r="E1477" s="2" t="s">
        <v>3580</v>
      </c>
      <c r="F1477" s="2" t="b">
        <f t="shared" ref="F1477:F1540" si="95">ISNUMBER(E1477)</f>
        <v>0</v>
      </c>
      <c r="G1477" s="2">
        <f t="shared" si="93"/>
        <v>42914</v>
      </c>
      <c r="H1477" s="1" t="s">
        <v>72</v>
      </c>
      <c r="I1477" s="1" t="s">
        <v>299</v>
      </c>
      <c r="J1477" s="1">
        <v>500</v>
      </c>
      <c r="K1477" s="1">
        <v>490</v>
      </c>
      <c r="L1477" s="3">
        <v>0.02</v>
      </c>
      <c r="N1477" t="s">
        <v>3580</v>
      </c>
      <c r="P1477">
        <v>6</v>
      </c>
      <c r="Q1477">
        <v>28</v>
      </c>
      <c r="R1477">
        <v>2017</v>
      </c>
      <c r="S1477" s="4">
        <f t="shared" si="94"/>
        <v>42914</v>
      </c>
      <c r="T1477" s="4">
        <f t="shared" si="92"/>
        <v>42914</v>
      </c>
      <c r="U1477" s="4">
        <v>42914</v>
      </c>
    </row>
    <row r="1478" spans="1:21" x14ac:dyDescent="0.3">
      <c r="A1478" t="s">
        <v>2049</v>
      </c>
      <c r="B1478" s="1" t="s">
        <v>91</v>
      </c>
      <c r="C1478" s="1" t="s">
        <v>92</v>
      </c>
      <c r="D1478" s="1" t="s">
        <v>35</v>
      </c>
      <c r="E1478" s="2" t="s">
        <v>3469</v>
      </c>
      <c r="F1478" s="2" t="b">
        <f t="shared" si="95"/>
        <v>0</v>
      </c>
      <c r="G1478" s="2">
        <f t="shared" si="93"/>
        <v>43189</v>
      </c>
      <c r="H1478" s="1" t="s">
        <v>14</v>
      </c>
      <c r="I1478" s="1" t="s">
        <v>495</v>
      </c>
      <c r="J1478" s="1">
        <v>80</v>
      </c>
      <c r="K1478" s="1">
        <v>80</v>
      </c>
      <c r="L1478" s="3">
        <v>0</v>
      </c>
      <c r="N1478" t="s">
        <v>3469</v>
      </c>
      <c r="P1478">
        <v>3</v>
      </c>
      <c r="Q1478">
        <v>30</v>
      </c>
      <c r="R1478">
        <v>2018</v>
      </c>
      <c r="S1478" s="4">
        <f t="shared" si="94"/>
        <v>43189</v>
      </c>
      <c r="T1478" s="4">
        <f t="shared" si="92"/>
        <v>43189</v>
      </c>
      <c r="U1478" s="4">
        <v>43189</v>
      </c>
    </row>
    <row r="1479" spans="1:21" x14ac:dyDescent="0.3">
      <c r="A1479" t="s">
        <v>2050</v>
      </c>
      <c r="B1479" s="1" t="s">
        <v>127</v>
      </c>
      <c r="C1479" s="1" t="s">
        <v>128</v>
      </c>
      <c r="D1479" s="1" t="s">
        <v>13</v>
      </c>
      <c r="E1479" s="2" t="s">
        <v>3581</v>
      </c>
      <c r="F1479" s="2" t="b">
        <f t="shared" si="95"/>
        <v>0</v>
      </c>
      <c r="G1479" s="2">
        <f t="shared" si="93"/>
        <v>42849</v>
      </c>
      <c r="H1479" s="1" t="s">
        <v>14</v>
      </c>
      <c r="I1479" s="1" t="s">
        <v>233</v>
      </c>
      <c r="J1479" s="1">
        <v>80</v>
      </c>
      <c r="K1479" s="1">
        <v>76</v>
      </c>
      <c r="L1479" s="3">
        <v>0.05</v>
      </c>
      <c r="N1479" t="s">
        <v>3581</v>
      </c>
      <c r="P1479">
        <v>4</v>
      </c>
      <c r="Q1479">
        <v>24</v>
      </c>
      <c r="R1479">
        <v>2017</v>
      </c>
      <c r="S1479" s="4">
        <f t="shared" si="94"/>
        <v>42849</v>
      </c>
      <c r="T1479" s="4">
        <f t="shared" si="92"/>
        <v>42849</v>
      </c>
      <c r="U1479" s="4">
        <v>42849</v>
      </c>
    </row>
    <row r="1480" spans="1:21" x14ac:dyDescent="0.3">
      <c r="A1480" t="s">
        <v>2051</v>
      </c>
      <c r="B1480" s="1" t="s">
        <v>241</v>
      </c>
      <c r="C1480" s="1" t="s">
        <v>242</v>
      </c>
      <c r="D1480" s="1" t="s">
        <v>13</v>
      </c>
      <c r="E1480" s="2">
        <v>43193</v>
      </c>
      <c r="F1480" s="2" t="b">
        <f t="shared" si="95"/>
        <v>1</v>
      </c>
      <c r="G1480" s="2">
        <f t="shared" si="93"/>
        <v>43193</v>
      </c>
      <c r="H1480" s="1" t="s">
        <v>25</v>
      </c>
      <c r="I1480" s="1" t="s">
        <v>520</v>
      </c>
      <c r="J1480" s="1">
        <v>700</v>
      </c>
      <c r="K1480" s="1">
        <v>686</v>
      </c>
      <c r="L1480" s="3">
        <v>0.02</v>
      </c>
      <c r="N1480" t="s">
        <v>3763</v>
      </c>
      <c r="S1480" s="4" t="e">
        <f t="shared" si="94"/>
        <v>#NUM!</v>
      </c>
      <c r="T1480" s="4" t="str">
        <f t="shared" si="92"/>
        <v/>
      </c>
      <c r="U1480" s="4" t="s">
        <v>3763</v>
      </c>
    </row>
    <row r="1481" spans="1:21" x14ac:dyDescent="0.3">
      <c r="A1481" t="s">
        <v>2052</v>
      </c>
      <c r="B1481" s="1" t="s">
        <v>174</v>
      </c>
      <c r="C1481" s="1" t="s">
        <v>175</v>
      </c>
      <c r="D1481" s="1" t="s">
        <v>13</v>
      </c>
      <c r="E1481" s="2" t="s">
        <v>3582</v>
      </c>
      <c r="F1481" s="2" t="b">
        <f t="shared" si="95"/>
        <v>0</v>
      </c>
      <c r="G1481" s="2">
        <f t="shared" si="93"/>
        <v>41747</v>
      </c>
      <c r="H1481" s="1" t="s">
        <v>115</v>
      </c>
      <c r="I1481" s="1" t="s">
        <v>1277</v>
      </c>
      <c r="J1481" s="1">
        <v>250</v>
      </c>
      <c r="K1481" s="1">
        <v>223</v>
      </c>
      <c r="L1481" s="3">
        <v>0.108</v>
      </c>
      <c r="N1481" t="s">
        <v>3582</v>
      </c>
      <c r="P1481">
        <v>4</v>
      </c>
      <c r="Q1481">
        <v>18</v>
      </c>
      <c r="R1481">
        <v>2014</v>
      </c>
      <c r="S1481" s="4">
        <f t="shared" si="94"/>
        <v>41747</v>
      </c>
      <c r="T1481" s="4">
        <f t="shared" si="92"/>
        <v>41747</v>
      </c>
      <c r="U1481" s="4">
        <v>41747</v>
      </c>
    </row>
    <row r="1482" spans="1:21" x14ac:dyDescent="0.3">
      <c r="A1482" t="s">
        <v>2053</v>
      </c>
      <c r="B1482" s="1" t="s">
        <v>91</v>
      </c>
      <c r="C1482" s="1" t="s">
        <v>92</v>
      </c>
      <c r="D1482" s="1" t="s">
        <v>35</v>
      </c>
      <c r="E1482" s="2">
        <v>42071</v>
      </c>
      <c r="F1482" s="2" t="b">
        <f t="shared" si="95"/>
        <v>1</v>
      </c>
      <c r="G1482" s="2">
        <f t="shared" si="93"/>
        <v>42071</v>
      </c>
      <c r="H1482" s="1" t="s">
        <v>115</v>
      </c>
      <c r="I1482" s="1" t="s">
        <v>199</v>
      </c>
      <c r="J1482" s="1">
        <v>250</v>
      </c>
      <c r="K1482" s="1">
        <v>180</v>
      </c>
      <c r="L1482" s="3">
        <v>0.28000000000000003</v>
      </c>
      <c r="N1482" t="s">
        <v>3763</v>
      </c>
      <c r="S1482" s="4" t="e">
        <f t="shared" si="94"/>
        <v>#NUM!</v>
      </c>
      <c r="T1482" s="4" t="str">
        <f t="shared" si="92"/>
        <v/>
      </c>
      <c r="U1482" s="4" t="s">
        <v>3763</v>
      </c>
    </row>
    <row r="1483" spans="1:21" x14ac:dyDescent="0.3">
      <c r="A1483" t="s">
        <v>2054</v>
      </c>
      <c r="B1483" s="1" t="s">
        <v>205</v>
      </c>
      <c r="C1483" s="1" t="s">
        <v>206</v>
      </c>
      <c r="D1483" s="1" t="s">
        <v>24</v>
      </c>
      <c r="E1483" s="2">
        <v>42682</v>
      </c>
      <c r="F1483" s="2" t="b">
        <f t="shared" si="95"/>
        <v>1</v>
      </c>
      <c r="G1483" s="2">
        <f t="shared" si="93"/>
        <v>42682</v>
      </c>
      <c r="H1483" s="1" t="s">
        <v>30</v>
      </c>
      <c r="I1483" s="1" t="s">
        <v>579</v>
      </c>
      <c r="J1483" s="1">
        <v>150</v>
      </c>
      <c r="K1483" s="1">
        <v>146</v>
      </c>
      <c r="L1483" s="3">
        <v>2.6700000000000002E-2</v>
      </c>
      <c r="N1483" t="s">
        <v>3763</v>
      </c>
      <c r="S1483" s="4" t="e">
        <f t="shared" si="94"/>
        <v>#NUM!</v>
      </c>
      <c r="T1483" s="4" t="str">
        <f t="shared" si="92"/>
        <v/>
      </c>
      <c r="U1483" s="4" t="s">
        <v>3763</v>
      </c>
    </row>
    <row r="1484" spans="1:21" x14ac:dyDescent="0.3">
      <c r="A1484" t="s">
        <v>2055</v>
      </c>
      <c r="B1484" s="1" t="s">
        <v>205</v>
      </c>
      <c r="C1484" s="1" t="s">
        <v>206</v>
      </c>
      <c r="D1484" s="1" t="s">
        <v>24</v>
      </c>
      <c r="E1484" s="2" t="s">
        <v>3488</v>
      </c>
      <c r="F1484" s="2" t="b">
        <f t="shared" si="95"/>
        <v>0</v>
      </c>
      <c r="G1484" s="2">
        <f t="shared" si="93"/>
        <v>42508</v>
      </c>
      <c r="H1484" s="1" t="s">
        <v>115</v>
      </c>
      <c r="I1484" s="1" t="s">
        <v>1772</v>
      </c>
      <c r="J1484" s="1">
        <v>250</v>
      </c>
      <c r="K1484" s="1">
        <v>235</v>
      </c>
      <c r="L1484" s="3">
        <v>0.06</v>
      </c>
      <c r="N1484" t="s">
        <v>3488</v>
      </c>
      <c r="P1484">
        <v>5</v>
      </c>
      <c r="Q1484">
        <v>18</v>
      </c>
      <c r="R1484">
        <v>2016</v>
      </c>
      <c r="S1484" s="4">
        <f t="shared" si="94"/>
        <v>42508</v>
      </c>
      <c r="T1484" s="4">
        <f t="shared" si="92"/>
        <v>42508</v>
      </c>
      <c r="U1484" s="4">
        <v>42508</v>
      </c>
    </row>
    <row r="1485" spans="1:21" x14ac:dyDescent="0.3">
      <c r="A1485" t="s">
        <v>2056</v>
      </c>
      <c r="B1485" s="1" t="s">
        <v>85</v>
      </c>
      <c r="C1485" s="1" t="s">
        <v>86</v>
      </c>
      <c r="D1485" s="1" t="s">
        <v>13</v>
      </c>
      <c r="E1485" s="2">
        <v>43384</v>
      </c>
      <c r="F1485" s="2" t="b">
        <f t="shared" si="95"/>
        <v>1</v>
      </c>
      <c r="G1485" s="2">
        <f t="shared" si="93"/>
        <v>43384</v>
      </c>
      <c r="H1485" s="1" t="s">
        <v>55</v>
      </c>
      <c r="I1485" s="1" t="s">
        <v>573</v>
      </c>
      <c r="J1485" s="1">
        <v>800</v>
      </c>
      <c r="K1485" s="1">
        <v>440</v>
      </c>
      <c r="L1485" s="3">
        <v>0.45</v>
      </c>
      <c r="N1485" t="s">
        <v>3763</v>
      </c>
      <c r="S1485" s="4" t="e">
        <f t="shared" si="94"/>
        <v>#NUM!</v>
      </c>
      <c r="T1485" s="4" t="str">
        <f t="shared" si="92"/>
        <v/>
      </c>
      <c r="U1485" s="4" t="s">
        <v>3763</v>
      </c>
    </row>
    <row r="1486" spans="1:21" x14ac:dyDescent="0.3">
      <c r="A1486" t="s">
        <v>2057</v>
      </c>
      <c r="B1486" s="1" t="s">
        <v>103</v>
      </c>
      <c r="C1486" s="1" t="s">
        <v>71</v>
      </c>
      <c r="D1486" s="1" t="s">
        <v>35</v>
      </c>
      <c r="E1486" s="2" t="s">
        <v>3583</v>
      </c>
      <c r="F1486" s="2" t="b">
        <f t="shared" si="95"/>
        <v>0</v>
      </c>
      <c r="G1486" s="2">
        <f t="shared" si="93"/>
        <v>42334</v>
      </c>
      <c r="H1486" s="1" t="s">
        <v>41</v>
      </c>
      <c r="I1486" s="1" t="s">
        <v>497</v>
      </c>
      <c r="J1486" s="1">
        <v>30</v>
      </c>
      <c r="K1486" s="1">
        <v>28</v>
      </c>
      <c r="L1486" s="3">
        <v>6.6699999999999995E-2</v>
      </c>
      <c r="N1486" t="s">
        <v>3583</v>
      </c>
      <c r="P1486">
        <v>11</v>
      </c>
      <c r="Q1486">
        <v>26</v>
      </c>
      <c r="R1486">
        <v>2015</v>
      </c>
      <c r="S1486" s="4">
        <f t="shared" si="94"/>
        <v>42334</v>
      </c>
      <c r="T1486" s="4">
        <f t="shared" si="92"/>
        <v>42334</v>
      </c>
      <c r="U1486" s="4">
        <v>42334</v>
      </c>
    </row>
    <row r="1487" spans="1:21" x14ac:dyDescent="0.3">
      <c r="A1487" t="s">
        <v>2058</v>
      </c>
      <c r="B1487" s="1" t="s">
        <v>22</v>
      </c>
      <c r="C1487" s="1" t="s">
        <v>23</v>
      </c>
      <c r="D1487" s="1" t="s">
        <v>24</v>
      </c>
      <c r="E1487" s="2">
        <v>42494</v>
      </c>
      <c r="F1487" s="2" t="b">
        <f t="shared" si="95"/>
        <v>1</v>
      </c>
      <c r="G1487" s="2">
        <f t="shared" si="93"/>
        <v>42494</v>
      </c>
      <c r="H1487" s="1" t="s">
        <v>115</v>
      </c>
      <c r="I1487" s="1" t="s">
        <v>26</v>
      </c>
      <c r="J1487" s="1">
        <v>250</v>
      </c>
      <c r="K1487" s="1">
        <v>213</v>
      </c>
      <c r="L1487" s="3">
        <v>0.14799999999999999</v>
      </c>
      <c r="N1487" t="s">
        <v>3763</v>
      </c>
      <c r="S1487" s="4" t="e">
        <f t="shared" si="94"/>
        <v>#NUM!</v>
      </c>
      <c r="T1487" s="4" t="str">
        <f t="shared" si="92"/>
        <v/>
      </c>
      <c r="U1487" s="4" t="s">
        <v>3763</v>
      </c>
    </row>
    <row r="1488" spans="1:21" x14ac:dyDescent="0.3">
      <c r="A1488" t="s">
        <v>2059</v>
      </c>
      <c r="B1488" s="1" t="s">
        <v>107</v>
      </c>
      <c r="C1488" s="1" t="s">
        <v>108</v>
      </c>
      <c r="D1488" s="1" t="s">
        <v>19</v>
      </c>
      <c r="E1488" s="2" t="s">
        <v>3520</v>
      </c>
      <c r="F1488" s="2" t="b">
        <f t="shared" si="95"/>
        <v>0</v>
      </c>
      <c r="G1488" s="2">
        <f t="shared" si="93"/>
        <v>42932</v>
      </c>
      <c r="H1488" s="1" t="s">
        <v>25</v>
      </c>
      <c r="I1488" s="1" t="s">
        <v>1029</v>
      </c>
      <c r="J1488" s="1">
        <v>700</v>
      </c>
      <c r="K1488" s="1">
        <v>665</v>
      </c>
      <c r="L1488" s="3">
        <v>0.05</v>
      </c>
      <c r="N1488" t="s">
        <v>3520</v>
      </c>
      <c r="P1488">
        <v>7</v>
      </c>
      <c r="Q1488">
        <v>16</v>
      </c>
      <c r="R1488">
        <v>2017</v>
      </c>
      <c r="S1488" s="4">
        <f t="shared" si="94"/>
        <v>42932</v>
      </c>
      <c r="T1488" s="4">
        <f t="shared" si="92"/>
        <v>42932</v>
      </c>
      <c r="U1488" s="4">
        <v>42932</v>
      </c>
    </row>
    <row r="1489" spans="1:21" x14ac:dyDescent="0.3">
      <c r="A1489" t="s">
        <v>2060</v>
      </c>
      <c r="B1489" s="1" t="s">
        <v>103</v>
      </c>
      <c r="C1489" s="1" t="s">
        <v>71</v>
      </c>
      <c r="D1489" s="1" t="s">
        <v>35</v>
      </c>
      <c r="E1489" s="2" t="s">
        <v>3584</v>
      </c>
      <c r="F1489" s="2" t="b">
        <f t="shared" si="95"/>
        <v>0</v>
      </c>
      <c r="G1489" s="2">
        <f t="shared" si="93"/>
        <v>42846</v>
      </c>
      <c r="H1489" s="1" t="s">
        <v>72</v>
      </c>
      <c r="I1489" s="1" t="s">
        <v>1815</v>
      </c>
      <c r="J1489" s="1">
        <v>500</v>
      </c>
      <c r="K1489" s="1">
        <v>495</v>
      </c>
      <c r="L1489" s="3">
        <v>0.01</v>
      </c>
      <c r="N1489" t="s">
        <v>3584</v>
      </c>
      <c r="P1489">
        <v>4</v>
      </c>
      <c r="Q1489">
        <v>21</v>
      </c>
      <c r="R1489">
        <v>2017</v>
      </c>
      <c r="S1489" s="4">
        <f t="shared" si="94"/>
        <v>42846</v>
      </c>
      <c r="T1489" s="4">
        <f t="shared" si="92"/>
        <v>42846</v>
      </c>
      <c r="U1489" s="4">
        <v>42846</v>
      </c>
    </row>
    <row r="1490" spans="1:21" x14ac:dyDescent="0.3">
      <c r="A1490" t="s">
        <v>2061</v>
      </c>
      <c r="B1490" s="1" t="s">
        <v>99</v>
      </c>
      <c r="C1490" s="1" t="s">
        <v>100</v>
      </c>
      <c r="D1490" s="1" t="s">
        <v>13</v>
      </c>
      <c r="E1490" s="2" t="s">
        <v>3462</v>
      </c>
      <c r="F1490" s="2" t="b">
        <f t="shared" si="95"/>
        <v>0</v>
      </c>
      <c r="G1490" s="2">
        <f t="shared" si="93"/>
        <v>41713</v>
      </c>
      <c r="H1490" s="1" t="s">
        <v>104</v>
      </c>
      <c r="I1490" s="1" t="s">
        <v>101</v>
      </c>
      <c r="J1490" s="1">
        <v>70</v>
      </c>
      <c r="K1490" s="1">
        <v>67</v>
      </c>
      <c r="L1490" s="3">
        <v>4.2900000000000001E-2</v>
      </c>
      <c r="N1490" t="s">
        <v>3462</v>
      </c>
      <c r="P1490">
        <v>3</v>
      </c>
      <c r="Q1490">
        <v>15</v>
      </c>
      <c r="R1490">
        <v>2014</v>
      </c>
      <c r="S1490" s="4">
        <f t="shared" si="94"/>
        <v>41713</v>
      </c>
      <c r="T1490" s="4">
        <f t="shared" si="92"/>
        <v>41713</v>
      </c>
      <c r="U1490" s="4">
        <v>41713</v>
      </c>
    </row>
    <row r="1491" spans="1:21" x14ac:dyDescent="0.3">
      <c r="A1491" t="s">
        <v>2062</v>
      </c>
      <c r="B1491" s="1" t="s">
        <v>255</v>
      </c>
      <c r="C1491" s="1" t="s">
        <v>256</v>
      </c>
      <c r="D1491" s="1" t="s">
        <v>13</v>
      </c>
      <c r="E1491" s="2">
        <v>41920</v>
      </c>
      <c r="F1491" s="2" t="b">
        <f t="shared" si="95"/>
        <v>1</v>
      </c>
      <c r="G1491" s="2">
        <f t="shared" si="93"/>
        <v>41920</v>
      </c>
      <c r="H1491" s="1" t="s">
        <v>72</v>
      </c>
      <c r="I1491" s="1" t="s">
        <v>1266</v>
      </c>
      <c r="J1491" s="1">
        <v>500</v>
      </c>
      <c r="K1491" s="1">
        <v>490</v>
      </c>
      <c r="L1491" s="3">
        <v>0.02</v>
      </c>
      <c r="N1491" t="s">
        <v>3763</v>
      </c>
      <c r="S1491" s="4" t="e">
        <f t="shared" si="94"/>
        <v>#NUM!</v>
      </c>
      <c r="T1491" s="4" t="str">
        <f t="shared" si="92"/>
        <v/>
      </c>
      <c r="U1491" s="4" t="s">
        <v>3763</v>
      </c>
    </row>
    <row r="1492" spans="1:21" x14ac:dyDescent="0.3">
      <c r="A1492" t="s">
        <v>2063</v>
      </c>
      <c r="B1492" s="1" t="s">
        <v>157</v>
      </c>
      <c r="C1492" s="1" t="s">
        <v>108</v>
      </c>
      <c r="D1492" s="1" t="s">
        <v>19</v>
      </c>
      <c r="E1492" s="2" t="s">
        <v>3535</v>
      </c>
      <c r="F1492" s="2" t="b">
        <f t="shared" si="95"/>
        <v>0</v>
      </c>
      <c r="G1492" s="2">
        <f t="shared" si="93"/>
        <v>41847</v>
      </c>
      <c r="H1492" s="1" t="s">
        <v>72</v>
      </c>
      <c r="I1492" s="1" t="s">
        <v>158</v>
      </c>
      <c r="J1492" s="1">
        <v>500</v>
      </c>
      <c r="K1492" s="1">
        <v>495</v>
      </c>
      <c r="L1492" s="3">
        <v>0.01</v>
      </c>
      <c r="N1492" t="s">
        <v>3535</v>
      </c>
      <c r="P1492">
        <v>7</v>
      </c>
      <c r="Q1492">
        <v>27</v>
      </c>
      <c r="R1492">
        <v>2014</v>
      </c>
      <c r="S1492" s="4">
        <f t="shared" si="94"/>
        <v>41847</v>
      </c>
      <c r="T1492" s="4">
        <f t="shared" si="92"/>
        <v>41847</v>
      </c>
      <c r="U1492" s="4">
        <v>41847</v>
      </c>
    </row>
    <row r="1493" spans="1:21" x14ac:dyDescent="0.3">
      <c r="A1493" t="s">
        <v>2064</v>
      </c>
      <c r="B1493" s="1" t="s">
        <v>157</v>
      </c>
      <c r="C1493" s="1" t="s">
        <v>108</v>
      </c>
      <c r="D1493" s="1" t="s">
        <v>19</v>
      </c>
      <c r="E1493" s="2">
        <v>43232</v>
      </c>
      <c r="F1493" s="2" t="b">
        <f t="shared" si="95"/>
        <v>1</v>
      </c>
      <c r="G1493" s="2">
        <f t="shared" si="93"/>
        <v>43232</v>
      </c>
      <c r="H1493" s="1" t="s">
        <v>25</v>
      </c>
      <c r="I1493" s="1" t="s">
        <v>981</v>
      </c>
      <c r="J1493" s="1">
        <v>700</v>
      </c>
      <c r="K1493" s="1">
        <v>700</v>
      </c>
      <c r="L1493" s="3">
        <v>0</v>
      </c>
      <c r="N1493" t="s">
        <v>3763</v>
      </c>
      <c r="S1493" s="4" t="e">
        <f t="shared" si="94"/>
        <v>#NUM!</v>
      </c>
      <c r="T1493" s="4" t="str">
        <f t="shared" si="92"/>
        <v/>
      </c>
      <c r="U1493" s="4" t="s">
        <v>3763</v>
      </c>
    </row>
    <row r="1494" spans="1:21" x14ac:dyDescent="0.3">
      <c r="A1494" t="s">
        <v>2065</v>
      </c>
      <c r="B1494" s="1" t="s">
        <v>59</v>
      </c>
      <c r="C1494" s="1" t="s">
        <v>60</v>
      </c>
      <c r="D1494" s="1" t="s">
        <v>13</v>
      </c>
      <c r="E1494" s="2" t="s">
        <v>3558</v>
      </c>
      <c r="F1494" s="2" t="b">
        <f t="shared" si="95"/>
        <v>0</v>
      </c>
      <c r="G1494" s="2">
        <f t="shared" si="93"/>
        <v>43216</v>
      </c>
      <c r="H1494" s="1" t="s">
        <v>122</v>
      </c>
      <c r="I1494" s="1" t="s">
        <v>781</v>
      </c>
      <c r="J1494" s="1">
        <v>50</v>
      </c>
      <c r="K1494" s="1">
        <v>43</v>
      </c>
      <c r="L1494" s="3">
        <v>0.14000000000000001</v>
      </c>
      <c r="N1494" t="s">
        <v>3558</v>
      </c>
      <c r="P1494">
        <v>4</v>
      </c>
      <c r="Q1494">
        <v>26</v>
      </c>
      <c r="R1494">
        <v>2018</v>
      </c>
      <c r="S1494" s="4">
        <f t="shared" si="94"/>
        <v>43216</v>
      </c>
      <c r="T1494" s="4">
        <f t="shared" si="92"/>
        <v>43216</v>
      </c>
      <c r="U1494" s="4">
        <v>43216</v>
      </c>
    </row>
    <row r="1495" spans="1:21" x14ac:dyDescent="0.3">
      <c r="A1495" t="s">
        <v>2066</v>
      </c>
      <c r="B1495" s="1" t="s">
        <v>17</v>
      </c>
      <c r="C1495" s="1" t="s">
        <v>18</v>
      </c>
      <c r="D1495" s="1" t="s">
        <v>19</v>
      </c>
      <c r="E1495" s="2" t="s">
        <v>3100</v>
      </c>
      <c r="F1495" s="2" t="b">
        <f t="shared" si="95"/>
        <v>0</v>
      </c>
      <c r="G1495" s="2">
        <f t="shared" si="93"/>
        <v>42211</v>
      </c>
      <c r="H1495" s="1" t="s">
        <v>55</v>
      </c>
      <c r="I1495" s="1" t="s">
        <v>493</v>
      </c>
      <c r="J1495" s="1">
        <v>800</v>
      </c>
      <c r="K1495" s="1">
        <v>616</v>
      </c>
      <c r="L1495" s="3">
        <v>0.23</v>
      </c>
      <c r="N1495" t="s">
        <v>3100</v>
      </c>
      <c r="P1495">
        <v>7</v>
      </c>
      <c r="Q1495">
        <v>26</v>
      </c>
      <c r="R1495">
        <v>2015</v>
      </c>
      <c r="S1495" s="4">
        <f t="shared" si="94"/>
        <v>42211</v>
      </c>
      <c r="T1495" s="4">
        <f t="shared" si="92"/>
        <v>42211</v>
      </c>
      <c r="U1495" s="4">
        <v>42211</v>
      </c>
    </row>
    <row r="1496" spans="1:21" x14ac:dyDescent="0.3">
      <c r="A1496" t="s">
        <v>2067</v>
      </c>
      <c r="B1496" s="1" t="s">
        <v>131</v>
      </c>
      <c r="C1496" s="1" t="s">
        <v>108</v>
      </c>
      <c r="D1496" s="1" t="s">
        <v>19</v>
      </c>
      <c r="E1496" s="2" t="s">
        <v>3585</v>
      </c>
      <c r="F1496" s="2" t="b">
        <f t="shared" si="95"/>
        <v>0</v>
      </c>
      <c r="G1496" s="2">
        <f t="shared" si="93"/>
        <v>43271</v>
      </c>
      <c r="H1496" s="1" t="s">
        <v>115</v>
      </c>
      <c r="I1496" s="1" t="s">
        <v>793</v>
      </c>
      <c r="J1496" s="1">
        <v>250</v>
      </c>
      <c r="K1496" s="1">
        <v>245</v>
      </c>
      <c r="L1496" s="3">
        <v>0.02</v>
      </c>
      <c r="N1496" t="s">
        <v>3585</v>
      </c>
      <c r="P1496">
        <v>6</v>
      </c>
      <c r="Q1496">
        <v>20</v>
      </c>
      <c r="R1496">
        <v>2018</v>
      </c>
      <c r="S1496" s="4">
        <f t="shared" si="94"/>
        <v>43271</v>
      </c>
      <c r="T1496" s="4">
        <f t="shared" si="92"/>
        <v>43271</v>
      </c>
      <c r="U1496" s="4">
        <v>43271</v>
      </c>
    </row>
    <row r="1497" spans="1:21" x14ac:dyDescent="0.3">
      <c r="A1497" t="s">
        <v>2068</v>
      </c>
      <c r="B1497" s="1" t="s">
        <v>81</v>
      </c>
      <c r="C1497" s="1" t="s">
        <v>82</v>
      </c>
      <c r="D1497" s="1" t="s">
        <v>13</v>
      </c>
      <c r="E1497" s="2" t="s">
        <v>3149</v>
      </c>
      <c r="F1497" s="2" t="b">
        <f t="shared" si="95"/>
        <v>0</v>
      </c>
      <c r="G1497" s="2">
        <f t="shared" si="93"/>
        <v>43264</v>
      </c>
      <c r="H1497" s="1" t="s">
        <v>115</v>
      </c>
      <c r="I1497" s="1" t="s">
        <v>195</v>
      </c>
      <c r="J1497" s="1">
        <v>250</v>
      </c>
      <c r="K1497" s="1">
        <v>223</v>
      </c>
      <c r="L1497" s="3">
        <v>0.108</v>
      </c>
      <c r="N1497" t="s">
        <v>3149</v>
      </c>
      <c r="P1497">
        <v>6</v>
      </c>
      <c r="Q1497">
        <v>13</v>
      </c>
      <c r="R1497">
        <v>2018</v>
      </c>
      <c r="S1497" s="4">
        <f t="shared" si="94"/>
        <v>43264</v>
      </c>
      <c r="T1497" s="4">
        <f t="shared" si="92"/>
        <v>43264</v>
      </c>
      <c r="U1497" s="4">
        <v>43264</v>
      </c>
    </row>
    <row r="1498" spans="1:21" x14ac:dyDescent="0.3">
      <c r="A1498" t="s">
        <v>2069</v>
      </c>
      <c r="B1498" s="1" t="s">
        <v>174</v>
      </c>
      <c r="C1498" s="1" t="s">
        <v>175</v>
      </c>
      <c r="D1498" s="1" t="s">
        <v>13</v>
      </c>
      <c r="E1498" s="2" t="s">
        <v>3586</v>
      </c>
      <c r="F1498" s="2" t="b">
        <f t="shared" si="95"/>
        <v>0</v>
      </c>
      <c r="G1498" s="2">
        <f t="shared" si="93"/>
        <v>43295</v>
      </c>
      <c r="H1498" s="1" t="s">
        <v>14</v>
      </c>
      <c r="I1498" s="1" t="s">
        <v>1558</v>
      </c>
      <c r="J1498" s="1">
        <v>80</v>
      </c>
      <c r="K1498" s="1">
        <v>73</v>
      </c>
      <c r="L1498" s="3">
        <v>8.7499999999999994E-2</v>
      </c>
      <c r="N1498" t="s">
        <v>3586</v>
      </c>
      <c r="P1498">
        <v>7</v>
      </c>
      <c r="Q1498">
        <v>14</v>
      </c>
      <c r="R1498">
        <v>2018</v>
      </c>
      <c r="S1498" s="4">
        <f t="shared" si="94"/>
        <v>43295</v>
      </c>
      <c r="T1498" s="4">
        <f t="shared" si="92"/>
        <v>43295</v>
      </c>
      <c r="U1498" s="4">
        <v>43295</v>
      </c>
    </row>
    <row r="1499" spans="1:21" x14ac:dyDescent="0.3">
      <c r="A1499" t="s">
        <v>2070</v>
      </c>
      <c r="B1499" s="1" t="s">
        <v>99</v>
      </c>
      <c r="C1499" s="1" t="s">
        <v>100</v>
      </c>
      <c r="D1499" s="1" t="s">
        <v>13</v>
      </c>
      <c r="E1499" s="2" t="s">
        <v>3282</v>
      </c>
      <c r="F1499" s="2" t="b">
        <f t="shared" si="95"/>
        <v>0</v>
      </c>
      <c r="G1499" s="2">
        <f t="shared" si="93"/>
        <v>41774</v>
      </c>
      <c r="H1499" s="1" t="s">
        <v>104</v>
      </c>
      <c r="I1499" s="1" t="s">
        <v>101</v>
      </c>
      <c r="J1499" s="1">
        <v>70</v>
      </c>
      <c r="K1499" s="1">
        <v>67</v>
      </c>
      <c r="L1499" s="3">
        <v>4.2900000000000001E-2</v>
      </c>
      <c r="N1499" t="s">
        <v>3282</v>
      </c>
      <c r="P1499">
        <v>5</v>
      </c>
      <c r="Q1499">
        <v>15</v>
      </c>
      <c r="R1499">
        <v>2014</v>
      </c>
      <c r="S1499" s="4">
        <f t="shared" si="94"/>
        <v>41774</v>
      </c>
      <c r="T1499" s="4">
        <f t="shared" si="92"/>
        <v>41774</v>
      </c>
      <c r="U1499" s="4">
        <v>41774</v>
      </c>
    </row>
    <row r="1500" spans="1:21" x14ac:dyDescent="0.3">
      <c r="A1500" t="s">
        <v>2071</v>
      </c>
      <c r="B1500" s="1" t="s">
        <v>95</v>
      </c>
      <c r="C1500" s="1" t="s">
        <v>96</v>
      </c>
      <c r="D1500" s="1" t="s">
        <v>13</v>
      </c>
      <c r="E1500" s="2">
        <v>41914</v>
      </c>
      <c r="F1500" s="2" t="b">
        <f t="shared" si="95"/>
        <v>1</v>
      </c>
      <c r="G1500" s="2">
        <f t="shared" si="93"/>
        <v>41914</v>
      </c>
      <c r="H1500" s="1" t="s">
        <v>41</v>
      </c>
      <c r="I1500" s="1" t="s">
        <v>97</v>
      </c>
      <c r="J1500" s="1">
        <v>30</v>
      </c>
      <c r="K1500" s="1">
        <v>30</v>
      </c>
      <c r="L1500" s="3">
        <v>0</v>
      </c>
      <c r="N1500" t="s">
        <v>3763</v>
      </c>
      <c r="S1500" s="4" t="e">
        <f t="shared" si="94"/>
        <v>#NUM!</v>
      </c>
      <c r="T1500" s="4" t="str">
        <f t="shared" si="92"/>
        <v/>
      </c>
      <c r="U1500" s="4" t="s">
        <v>3763</v>
      </c>
    </row>
    <row r="1501" spans="1:21" x14ac:dyDescent="0.3">
      <c r="A1501" t="s">
        <v>2072</v>
      </c>
      <c r="B1501" s="1" t="s">
        <v>131</v>
      </c>
      <c r="C1501" s="1" t="s">
        <v>108</v>
      </c>
      <c r="D1501" s="1" t="s">
        <v>19</v>
      </c>
      <c r="E1501" s="2">
        <v>42430</v>
      </c>
      <c r="F1501" s="2" t="b">
        <f t="shared" si="95"/>
        <v>1</v>
      </c>
      <c r="G1501" s="2">
        <f t="shared" si="93"/>
        <v>42430</v>
      </c>
      <c r="H1501" s="1" t="s">
        <v>122</v>
      </c>
      <c r="I1501" s="1" t="s">
        <v>546</v>
      </c>
      <c r="J1501" s="1">
        <v>50</v>
      </c>
      <c r="K1501" s="1">
        <v>49</v>
      </c>
      <c r="L1501" s="3">
        <v>0.02</v>
      </c>
      <c r="N1501" t="s">
        <v>3763</v>
      </c>
      <c r="S1501" s="4" t="e">
        <f t="shared" si="94"/>
        <v>#NUM!</v>
      </c>
      <c r="T1501" s="4" t="str">
        <f t="shared" si="92"/>
        <v/>
      </c>
      <c r="U1501" s="4" t="s">
        <v>3763</v>
      </c>
    </row>
    <row r="1502" spans="1:21" x14ac:dyDescent="0.3">
      <c r="A1502" t="s">
        <v>2073</v>
      </c>
      <c r="B1502" s="1" t="s">
        <v>264</v>
      </c>
      <c r="C1502" s="1" t="s">
        <v>265</v>
      </c>
      <c r="D1502" s="1" t="s">
        <v>13</v>
      </c>
      <c r="E1502" s="2" t="s">
        <v>3587</v>
      </c>
      <c r="F1502" s="2" t="b">
        <f t="shared" si="95"/>
        <v>0</v>
      </c>
      <c r="G1502" s="2">
        <f t="shared" si="93"/>
        <v>41939</v>
      </c>
      <c r="H1502" s="1" t="s">
        <v>72</v>
      </c>
      <c r="I1502" s="1" t="s">
        <v>369</v>
      </c>
      <c r="J1502" s="1">
        <v>500</v>
      </c>
      <c r="K1502" s="1">
        <v>495</v>
      </c>
      <c r="L1502" s="3">
        <v>0.01</v>
      </c>
      <c r="N1502" t="s">
        <v>3587</v>
      </c>
      <c r="P1502">
        <v>10</v>
      </c>
      <c r="Q1502">
        <v>27</v>
      </c>
      <c r="R1502">
        <v>2014</v>
      </c>
      <c r="S1502" s="4">
        <f t="shared" si="94"/>
        <v>41939</v>
      </c>
      <c r="T1502" s="4">
        <f t="shared" si="92"/>
        <v>41939</v>
      </c>
      <c r="U1502" s="4">
        <v>41939</v>
      </c>
    </row>
    <row r="1503" spans="1:21" x14ac:dyDescent="0.3">
      <c r="A1503" t="s">
        <v>2074</v>
      </c>
      <c r="B1503" s="1" t="s">
        <v>53</v>
      </c>
      <c r="C1503" s="1" t="s">
        <v>54</v>
      </c>
      <c r="D1503" s="1" t="s">
        <v>13</v>
      </c>
      <c r="E1503" s="2" t="s">
        <v>3588</v>
      </c>
      <c r="F1503" s="2" t="b">
        <f t="shared" si="95"/>
        <v>0</v>
      </c>
      <c r="G1503" s="2">
        <f t="shared" si="93"/>
        <v>42992</v>
      </c>
      <c r="H1503" s="1" t="s">
        <v>46</v>
      </c>
      <c r="I1503" s="1" t="s">
        <v>647</v>
      </c>
      <c r="J1503" s="1">
        <v>500</v>
      </c>
      <c r="K1503" s="1">
        <v>485</v>
      </c>
      <c r="L1503" s="3">
        <v>0.03</v>
      </c>
      <c r="N1503" t="s">
        <v>3588</v>
      </c>
      <c r="P1503">
        <v>9</v>
      </c>
      <c r="Q1503">
        <v>14</v>
      </c>
      <c r="R1503">
        <v>2017</v>
      </c>
      <c r="S1503" s="4">
        <f t="shared" si="94"/>
        <v>42992</v>
      </c>
      <c r="T1503" s="4">
        <f t="shared" si="92"/>
        <v>42992</v>
      </c>
      <c r="U1503" s="4">
        <v>42992</v>
      </c>
    </row>
    <row r="1504" spans="1:21" x14ac:dyDescent="0.3">
      <c r="A1504" t="s">
        <v>2075</v>
      </c>
      <c r="B1504" s="1" t="s">
        <v>182</v>
      </c>
      <c r="C1504" s="1" t="s">
        <v>108</v>
      </c>
      <c r="D1504" s="1" t="s">
        <v>19</v>
      </c>
      <c r="E1504" s="2" t="s">
        <v>3242</v>
      </c>
      <c r="F1504" s="2" t="b">
        <f t="shared" si="95"/>
        <v>0</v>
      </c>
      <c r="G1504" s="2">
        <f t="shared" si="93"/>
        <v>42033</v>
      </c>
      <c r="H1504" s="1" t="s">
        <v>30</v>
      </c>
      <c r="I1504" s="1" t="s">
        <v>958</v>
      </c>
      <c r="J1504" s="1">
        <v>150</v>
      </c>
      <c r="K1504" s="1">
        <v>116</v>
      </c>
      <c r="L1504" s="3">
        <v>0.22670000000000001</v>
      </c>
      <c r="N1504" t="s">
        <v>3242</v>
      </c>
      <c r="P1504">
        <v>1</v>
      </c>
      <c r="Q1504">
        <v>29</v>
      </c>
      <c r="R1504">
        <v>2015</v>
      </c>
      <c r="S1504" s="4">
        <f t="shared" si="94"/>
        <v>42033</v>
      </c>
      <c r="T1504" s="4">
        <f t="shared" si="92"/>
        <v>42033</v>
      </c>
      <c r="U1504" s="4">
        <v>42033</v>
      </c>
    </row>
    <row r="1505" spans="1:21" x14ac:dyDescent="0.3">
      <c r="A1505" t="s">
        <v>2076</v>
      </c>
      <c r="B1505" s="1" t="s">
        <v>17</v>
      </c>
      <c r="C1505" s="1" t="s">
        <v>18</v>
      </c>
      <c r="D1505" s="1" t="s">
        <v>19</v>
      </c>
      <c r="E1505" s="2" t="s">
        <v>3317</v>
      </c>
      <c r="F1505" s="2" t="b">
        <f t="shared" si="95"/>
        <v>0</v>
      </c>
      <c r="G1505" s="2">
        <f t="shared" si="93"/>
        <v>42242</v>
      </c>
      <c r="H1505" s="1" t="s">
        <v>25</v>
      </c>
      <c r="I1505" s="1" t="s">
        <v>853</v>
      </c>
      <c r="J1505" s="1">
        <v>700</v>
      </c>
      <c r="K1505" s="1">
        <v>658</v>
      </c>
      <c r="L1505" s="3">
        <v>0.06</v>
      </c>
      <c r="N1505" t="s">
        <v>3317</v>
      </c>
      <c r="P1505">
        <v>8</v>
      </c>
      <c r="Q1505">
        <v>26</v>
      </c>
      <c r="R1505">
        <v>2015</v>
      </c>
      <c r="S1505" s="4">
        <f t="shared" si="94"/>
        <v>42242</v>
      </c>
      <c r="T1505" s="4">
        <f t="shared" si="92"/>
        <v>42242</v>
      </c>
      <c r="U1505" s="4">
        <v>42242</v>
      </c>
    </row>
    <row r="1506" spans="1:21" x14ac:dyDescent="0.3">
      <c r="A1506" t="s">
        <v>2077</v>
      </c>
      <c r="B1506" s="1" t="s">
        <v>59</v>
      </c>
      <c r="C1506" s="1" t="s">
        <v>60</v>
      </c>
      <c r="D1506" s="1" t="s">
        <v>13</v>
      </c>
      <c r="E1506" s="2" t="s">
        <v>3427</v>
      </c>
      <c r="F1506" s="2" t="b">
        <f t="shared" si="95"/>
        <v>0</v>
      </c>
      <c r="G1506" s="2">
        <f t="shared" si="93"/>
        <v>42477</v>
      </c>
      <c r="H1506" s="1" t="s">
        <v>41</v>
      </c>
      <c r="I1506" s="1" t="s">
        <v>1778</v>
      </c>
      <c r="J1506" s="1">
        <v>30</v>
      </c>
      <c r="K1506" s="1">
        <v>27</v>
      </c>
      <c r="L1506" s="3">
        <v>0.1</v>
      </c>
      <c r="N1506" t="s">
        <v>3427</v>
      </c>
      <c r="P1506">
        <v>4</v>
      </c>
      <c r="Q1506">
        <v>17</v>
      </c>
      <c r="R1506">
        <v>2016</v>
      </c>
      <c r="S1506" s="4">
        <f t="shared" si="94"/>
        <v>42477</v>
      </c>
      <c r="T1506" s="4">
        <f t="shared" si="92"/>
        <v>42477</v>
      </c>
      <c r="U1506" s="4">
        <v>42477</v>
      </c>
    </row>
    <row r="1507" spans="1:21" x14ac:dyDescent="0.3">
      <c r="A1507" t="s">
        <v>2078</v>
      </c>
      <c r="B1507" s="1" t="s">
        <v>11</v>
      </c>
      <c r="C1507" s="1" t="s">
        <v>12</v>
      </c>
      <c r="D1507" s="1" t="s">
        <v>13</v>
      </c>
      <c r="E1507" s="2" t="s">
        <v>3589</v>
      </c>
      <c r="F1507" s="2" t="b">
        <f t="shared" si="95"/>
        <v>0</v>
      </c>
      <c r="G1507" s="2">
        <f t="shared" si="93"/>
        <v>41757</v>
      </c>
      <c r="H1507" s="1" t="s">
        <v>55</v>
      </c>
      <c r="I1507" s="1" t="s">
        <v>137</v>
      </c>
      <c r="J1507" s="1">
        <v>800</v>
      </c>
      <c r="K1507" s="1">
        <v>608</v>
      </c>
      <c r="L1507" s="3">
        <v>0.24</v>
      </c>
      <c r="N1507" t="s">
        <v>3589</v>
      </c>
      <c r="P1507">
        <v>4</v>
      </c>
      <c r="Q1507">
        <v>28</v>
      </c>
      <c r="R1507">
        <v>2014</v>
      </c>
      <c r="S1507" s="4">
        <f t="shared" si="94"/>
        <v>41757</v>
      </c>
      <c r="T1507" s="4">
        <f t="shared" si="92"/>
        <v>41757</v>
      </c>
      <c r="U1507" s="4">
        <v>41757</v>
      </c>
    </row>
    <row r="1508" spans="1:21" x14ac:dyDescent="0.3">
      <c r="A1508" t="s">
        <v>2079</v>
      </c>
      <c r="B1508" s="1" t="s">
        <v>124</v>
      </c>
      <c r="C1508" s="1" t="s">
        <v>40</v>
      </c>
      <c r="D1508" s="1" t="s">
        <v>35</v>
      </c>
      <c r="E1508" s="2">
        <v>42494</v>
      </c>
      <c r="F1508" s="2" t="b">
        <f t="shared" si="95"/>
        <v>1</v>
      </c>
      <c r="G1508" s="2">
        <f t="shared" si="93"/>
        <v>42494</v>
      </c>
      <c r="H1508" s="1" t="s">
        <v>36</v>
      </c>
      <c r="I1508" s="1" t="s">
        <v>125</v>
      </c>
      <c r="J1508" s="1">
        <v>50</v>
      </c>
      <c r="K1508" s="1">
        <v>49</v>
      </c>
      <c r="L1508" s="3">
        <v>0.02</v>
      </c>
      <c r="N1508" t="s">
        <v>3763</v>
      </c>
      <c r="S1508" s="4" t="e">
        <f t="shared" si="94"/>
        <v>#NUM!</v>
      </c>
      <c r="T1508" s="4" t="str">
        <f t="shared" si="92"/>
        <v/>
      </c>
      <c r="U1508" s="4" t="s">
        <v>3763</v>
      </c>
    </row>
    <row r="1509" spans="1:21" x14ac:dyDescent="0.3">
      <c r="A1509" t="s">
        <v>2080</v>
      </c>
      <c r="B1509" s="1" t="s">
        <v>205</v>
      </c>
      <c r="C1509" s="1" t="s">
        <v>206</v>
      </c>
      <c r="D1509" s="1" t="s">
        <v>24</v>
      </c>
      <c r="E1509" s="2">
        <v>42623</v>
      </c>
      <c r="F1509" s="2" t="b">
        <f t="shared" si="95"/>
        <v>1</v>
      </c>
      <c r="G1509" s="2">
        <f t="shared" si="93"/>
        <v>42623</v>
      </c>
      <c r="H1509" s="1" t="s">
        <v>14</v>
      </c>
      <c r="I1509" s="1" t="s">
        <v>1872</v>
      </c>
      <c r="J1509" s="1">
        <v>80</v>
      </c>
      <c r="K1509" s="1">
        <v>69</v>
      </c>
      <c r="L1509" s="3">
        <v>0.13750000000000001</v>
      </c>
      <c r="N1509" t="s">
        <v>3763</v>
      </c>
      <c r="S1509" s="4" t="e">
        <f t="shared" si="94"/>
        <v>#NUM!</v>
      </c>
      <c r="T1509" s="4" t="str">
        <f t="shared" si="92"/>
        <v/>
      </c>
      <c r="U1509" s="4" t="s">
        <v>3763</v>
      </c>
    </row>
    <row r="1510" spans="1:21" x14ac:dyDescent="0.3">
      <c r="A1510" t="s">
        <v>2081</v>
      </c>
      <c r="B1510" s="1" t="s">
        <v>270</v>
      </c>
      <c r="C1510" s="1" t="s">
        <v>271</v>
      </c>
      <c r="D1510" s="1" t="s">
        <v>35</v>
      </c>
      <c r="E1510" s="2">
        <v>42095</v>
      </c>
      <c r="F1510" s="2" t="b">
        <f t="shared" si="95"/>
        <v>1</v>
      </c>
      <c r="G1510" s="2">
        <f t="shared" si="93"/>
        <v>42095</v>
      </c>
      <c r="H1510" s="1" t="s">
        <v>104</v>
      </c>
      <c r="I1510" s="1" t="s">
        <v>713</v>
      </c>
      <c r="J1510" s="1">
        <v>70</v>
      </c>
      <c r="K1510" s="1">
        <v>64</v>
      </c>
      <c r="L1510" s="3">
        <v>8.5699999999999998E-2</v>
      </c>
      <c r="N1510" t="s">
        <v>3763</v>
      </c>
      <c r="S1510" s="4" t="e">
        <f t="shared" si="94"/>
        <v>#NUM!</v>
      </c>
      <c r="T1510" s="4" t="str">
        <f t="shared" si="92"/>
        <v/>
      </c>
      <c r="U1510" s="4" t="s">
        <v>3763</v>
      </c>
    </row>
    <row r="1511" spans="1:21" x14ac:dyDescent="0.3">
      <c r="A1511" t="s">
        <v>2082</v>
      </c>
      <c r="B1511" s="1" t="s">
        <v>59</v>
      </c>
      <c r="C1511" s="1" t="s">
        <v>60</v>
      </c>
      <c r="D1511" s="1" t="s">
        <v>13</v>
      </c>
      <c r="E1511" s="2" t="s">
        <v>3504</v>
      </c>
      <c r="F1511" s="2" t="b">
        <f t="shared" si="95"/>
        <v>0</v>
      </c>
      <c r="G1511" s="2">
        <f t="shared" si="93"/>
        <v>43368</v>
      </c>
      <c r="H1511" s="1" t="s">
        <v>41</v>
      </c>
      <c r="I1511" s="1" t="s">
        <v>312</v>
      </c>
      <c r="J1511" s="1">
        <v>30</v>
      </c>
      <c r="K1511" s="1">
        <v>27</v>
      </c>
      <c r="L1511" s="3">
        <v>0.1</v>
      </c>
      <c r="N1511" t="s">
        <v>3504</v>
      </c>
      <c r="P1511">
        <v>9</v>
      </c>
      <c r="Q1511">
        <v>25</v>
      </c>
      <c r="R1511">
        <v>2018</v>
      </c>
      <c r="S1511" s="4">
        <f t="shared" si="94"/>
        <v>43368</v>
      </c>
      <c r="T1511" s="4">
        <f t="shared" si="92"/>
        <v>43368</v>
      </c>
      <c r="U1511" s="4">
        <v>43368</v>
      </c>
    </row>
    <row r="1512" spans="1:21" x14ac:dyDescent="0.3">
      <c r="A1512" t="s">
        <v>2083</v>
      </c>
      <c r="B1512" s="1" t="s">
        <v>95</v>
      </c>
      <c r="C1512" s="1" t="s">
        <v>96</v>
      </c>
      <c r="D1512" s="1" t="s">
        <v>13</v>
      </c>
      <c r="E1512" s="2" t="s">
        <v>3590</v>
      </c>
      <c r="F1512" s="2" t="b">
        <f t="shared" si="95"/>
        <v>0</v>
      </c>
      <c r="G1512" s="2">
        <f t="shared" si="93"/>
        <v>41871</v>
      </c>
      <c r="H1512" s="1" t="s">
        <v>46</v>
      </c>
      <c r="I1512" s="1" t="s">
        <v>333</v>
      </c>
      <c r="J1512" s="1">
        <v>500</v>
      </c>
      <c r="K1512" s="1">
        <v>500</v>
      </c>
      <c r="L1512" s="3">
        <v>0</v>
      </c>
      <c r="N1512" t="s">
        <v>3590</v>
      </c>
      <c r="P1512">
        <v>8</v>
      </c>
      <c r="Q1512">
        <v>20</v>
      </c>
      <c r="R1512">
        <v>2014</v>
      </c>
      <c r="S1512" s="4">
        <f t="shared" si="94"/>
        <v>41871</v>
      </c>
      <c r="T1512" s="4">
        <f t="shared" si="92"/>
        <v>41871</v>
      </c>
      <c r="U1512" s="4">
        <v>41871</v>
      </c>
    </row>
    <row r="1513" spans="1:21" x14ac:dyDescent="0.3">
      <c r="A1513" t="s">
        <v>2084</v>
      </c>
      <c r="B1513" s="1" t="s">
        <v>264</v>
      </c>
      <c r="C1513" s="1" t="s">
        <v>265</v>
      </c>
      <c r="D1513" s="1" t="s">
        <v>13</v>
      </c>
      <c r="E1513" s="2">
        <v>41800</v>
      </c>
      <c r="F1513" s="2" t="b">
        <f t="shared" si="95"/>
        <v>1</v>
      </c>
      <c r="G1513" s="2">
        <f t="shared" si="93"/>
        <v>41800</v>
      </c>
      <c r="H1513" s="1" t="s">
        <v>14</v>
      </c>
      <c r="I1513" s="1" t="s">
        <v>599</v>
      </c>
      <c r="J1513" s="1">
        <v>80</v>
      </c>
      <c r="K1513" s="1">
        <v>60</v>
      </c>
      <c r="L1513" s="3">
        <v>0.25</v>
      </c>
      <c r="N1513" t="s">
        <v>3763</v>
      </c>
      <c r="S1513" s="4" t="e">
        <f t="shared" si="94"/>
        <v>#NUM!</v>
      </c>
      <c r="T1513" s="4" t="str">
        <f t="shared" si="92"/>
        <v/>
      </c>
      <c r="U1513" s="4" t="s">
        <v>3763</v>
      </c>
    </row>
    <row r="1514" spans="1:21" x14ac:dyDescent="0.3">
      <c r="A1514" t="s">
        <v>2085</v>
      </c>
      <c r="B1514" s="1" t="s">
        <v>81</v>
      </c>
      <c r="C1514" s="1" t="s">
        <v>82</v>
      </c>
      <c r="D1514" s="1" t="s">
        <v>13</v>
      </c>
      <c r="E1514" s="2" t="s">
        <v>3415</v>
      </c>
      <c r="F1514" s="2" t="b">
        <f t="shared" si="95"/>
        <v>0</v>
      </c>
      <c r="G1514" s="2">
        <f t="shared" si="93"/>
        <v>43404</v>
      </c>
      <c r="H1514" s="1" t="s">
        <v>25</v>
      </c>
      <c r="I1514" s="1" t="s">
        <v>387</v>
      </c>
      <c r="J1514" s="1">
        <v>700</v>
      </c>
      <c r="K1514" s="1">
        <v>637</v>
      </c>
      <c r="L1514" s="3">
        <v>0.09</v>
      </c>
      <c r="N1514" t="s">
        <v>3415</v>
      </c>
      <c r="P1514">
        <v>10</v>
      </c>
      <c r="Q1514">
        <v>31</v>
      </c>
      <c r="R1514">
        <v>2018</v>
      </c>
      <c r="S1514" s="4">
        <f t="shared" si="94"/>
        <v>43404</v>
      </c>
      <c r="T1514" s="4">
        <f t="shared" si="92"/>
        <v>43404</v>
      </c>
      <c r="U1514" s="4">
        <v>43404</v>
      </c>
    </row>
    <row r="1515" spans="1:21" x14ac:dyDescent="0.3">
      <c r="A1515" t="s">
        <v>2086</v>
      </c>
      <c r="B1515" s="1" t="s">
        <v>134</v>
      </c>
      <c r="C1515" s="1" t="s">
        <v>92</v>
      </c>
      <c r="D1515" s="1" t="s">
        <v>35</v>
      </c>
      <c r="E1515" s="2" t="s">
        <v>3591</v>
      </c>
      <c r="F1515" s="2" t="b">
        <f t="shared" si="95"/>
        <v>0</v>
      </c>
      <c r="G1515" s="2">
        <f t="shared" si="93"/>
        <v>41688</v>
      </c>
      <c r="H1515" s="1" t="s">
        <v>115</v>
      </c>
      <c r="I1515" s="1" t="s">
        <v>807</v>
      </c>
      <c r="J1515" s="1">
        <v>250</v>
      </c>
      <c r="K1515" s="1">
        <v>178</v>
      </c>
      <c r="L1515" s="3">
        <v>0.28799999999999998</v>
      </c>
      <c r="N1515" t="s">
        <v>3591</v>
      </c>
      <c r="P1515">
        <v>2</v>
      </c>
      <c r="Q1515">
        <v>18</v>
      </c>
      <c r="R1515">
        <v>2014</v>
      </c>
      <c r="S1515" s="4">
        <f t="shared" si="94"/>
        <v>41688</v>
      </c>
      <c r="T1515" s="4">
        <f t="shared" si="92"/>
        <v>41688</v>
      </c>
      <c r="U1515" s="4">
        <v>41688</v>
      </c>
    </row>
    <row r="1516" spans="1:21" x14ac:dyDescent="0.3">
      <c r="A1516" t="s">
        <v>2087</v>
      </c>
      <c r="B1516" s="1" t="s">
        <v>170</v>
      </c>
      <c r="C1516" s="1" t="s">
        <v>171</v>
      </c>
      <c r="D1516" s="1" t="s">
        <v>13</v>
      </c>
      <c r="E1516" s="2" t="s">
        <v>3216</v>
      </c>
      <c r="F1516" s="2" t="b">
        <f t="shared" si="95"/>
        <v>0</v>
      </c>
      <c r="G1516" s="2">
        <f t="shared" si="93"/>
        <v>42332</v>
      </c>
      <c r="H1516" s="1" t="s">
        <v>72</v>
      </c>
      <c r="I1516" s="1" t="s">
        <v>172</v>
      </c>
      <c r="J1516" s="1">
        <v>500</v>
      </c>
      <c r="K1516" s="1">
        <v>500</v>
      </c>
      <c r="L1516" s="3">
        <v>0</v>
      </c>
      <c r="N1516" t="s">
        <v>3216</v>
      </c>
      <c r="P1516">
        <v>11</v>
      </c>
      <c r="Q1516">
        <v>24</v>
      </c>
      <c r="R1516">
        <v>2015</v>
      </c>
      <c r="S1516" s="4">
        <f t="shared" si="94"/>
        <v>42332</v>
      </c>
      <c r="T1516" s="4">
        <f t="shared" si="92"/>
        <v>42332</v>
      </c>
      <c r="U1516" s="4">
        <v>42332</v>
      </c>
    </row>
    <row r="1517" spans="1:21" x14ac:dyDescent="0.3">
      <c r="A1517" t="s">
        <v>2088</v>
      </c>
      <c r="B1517" s="1" t="s">
        <v>111</v>
      </c>
      <c r="C1517" s="1" t="s">
        <v>82</v>
      </c>
      <c r="D1517" s="1" t="s">
        <v>13</v>
      </c>
      <c r="E1517" s="2">
        <v>42979</v>
      </c>
      <c r="F1517" s="2" t="b">
        <f t="shared" si="95"/>
        <v>1</v>
      </c>
      <c r="G1517" s="2">
        <f t="shared" si="93"/>
        <v>42979</v>
      </c>
      <c r="H1517" s="1" t="s">
        <v>36</v>
      </c>
      <c r="I1517" s="1" t="s">
        <v>1688</v>
      </c>
      <c r="J1517" s="1">
        <v>50</v>
      </c>
      <c r="K1517" s="1">
        <v>47</v>
      </c>
      <c r="L1517" s="3">
        <v>0.06</v>
      </c>
      <c r="N1517" t="s">
        <v>3763</v>
      </c>
      <c r="S1517" s="4" t="e">
        <f t="shared" si="94"/>
        <v>#NUM!</v>
      </c>
      <c r="T1517" s="4" t="str">
        <f t="shared" si="92"/>
        <v/>
      </c>
      <c r="U1517" s="4" t="s">
        <v>3763</v>
      </c>
    </row>
    <row r="1518" spans="1:21" x14ac:dyDescent="0.3">
      <c r="A1518" t="s">
        <v>2089</v>
      </c>
      <c r="B1518" s="1" t="s">
        <v>99</v>
      </c>
      <c r="C1518" s="1" t="s">
        <v>100</v>
      </c>
      <c r="D1518" s="1" t="s">
        <v>13</v>
      </c>
      <c r="E1518" s="2" t="s">
        <v>3592</v>
      </c>
      <c r="F1518" s="2" t="b">
        <f t="shared" si="95"/>
        <v>0</v>
      </c>
      <c r="G1518" s="2">
        <f t="shared" si="93"/>
        <v>41935</v>
      </c>
      <c r="H1518" s="1" t="s">
        <v>46</v>
      </c>
      <c r="I1518" s="1" t="s">
        <v>752</v>
      </c>
      <c r="J1518" s="1">
        <v>500</v>
      </c>
      <c r="K1518" s="1">
        <v>405</v>
      </c>
      <c r="L1518" s="3">
        <v>0.19</v>
      </c>
      <c r="N1518" t="s">
        <v>3592</v>
      </c>
      <c r="P1518">
        <v>10</v>
      </c>
      <c r="Q1518">
        <v>23</v>
      </c>
      <c r="R1518">
        <v>2014</v>
      </c>
      <c r="S1518" s="4">
        <f t="shared" si="94"/>
        <v>41935</v>
      </c>
      <c r="T1518" s="4">
        <f t="shared" si="92"/>
        <v>41935</v>
      </c>
      <c r="U1518" s="4">
        <v>41935</v>
      </c>
    </row>
    <row r="1519" spans="1:21" x14ac:dyDescent="0.3">
      <c r="A1519" t="s">
        <v>2090</v>
      </c>
      <c r="B1519" s="1" t="s">
        <v>150</v>
      </c>
      <c r="C1519" s="1" t="s">
        <v>151</v>
      </c>
      <c r="D1519" s="1" t="s">
        <v>13</v>
      </c>
      <c r="E1519" s="2">
        <v>42806</v>
      </c>
      <c r="F1519" s="2" t="b">
        <f t="shared" si="95"/>
        <v>1</v>
      </c>
      <c r="G1519" s="2">
        <f t="shared" si="93"/>
        <v>42806</v>
      </c>
      <c r="H1519" s="1" t="s">
        <v>115</v>
      </c>
      <c r="I1519" s="1" t="s">
        <v>771</v>
      </c>
      <c r="J1519" s="1">
        <v>250</v>
      </c>
      <c r="K1519" s="1">
        <v>245</v>
      </c>
      <c r="L1519" s="3">
        <v>0.02</v>
      </c>
      <c r="N1519" t="s">
        <v>3763</v>
      </c>
      <c r="S1519" s="4" t="e">
        <f t="shared" si="94"/>
        <v>#NUM!</v>
      </c>
      <c r="T1519" s="4" t="str">
        <f t="shared" si="92"/>
        <v/>
      </c>
      <c r="U1519" s="4" t="s">
        <v>3763</v>
      </c>
    </row>
    <row r="1520" spans="1:21" x14ac:dyDescent="0.3">
      <c r="A1520" t="s">
        <v>2091</v>
      </c>
      <c r="B1520" s="1" t="s">
        <v>324</v>
      </c>
      <c r="C1520" s="1" t="s">
        <v>325</v>
      </c>
      <c r="D1520" s="1" t="s">
        <v>13</v>
      </c>
      <c r="E1520" s="2" t="s">
        <v>2986</v>
      </c>
      <c r="F1520" s="2" t="b">
        <f t="shared" si="95"/>
        <v>0</v>
      </c>
      <c r="G1520" s="2">
        <f t="shared" si="93"/>
        <v>43184</v>
      </c>
      <c r="H1520" s="1" t="s">
        <v>14</v>
      </c>
      <c r="I1520" s="1" t="s">
        <v>1009</v>
      </c>
      <c r="J1520" s="1">
        <v>80</v>
      </c>
      <c r="K1520" s="1">
        <v>78</v>
      </c>
      <c r="L1520" s="3">
        <v>2.5000000000000001E-2</v>
      </c>
      <c r="N1520" t="s">
        <v>2986</v>
      </c>
      <c r="P1520">
        <v>3</v>
      </c>
      <c r="Q1520">
        <v>25</v>
      </c>
      <c r="R1520">
        <v>2018</v>
      </c>
      <c r="S1520" s="4">
        <f t="shared" si="94"/>
        <v>43184</v>
      </c>
      <c r="T1520" s="4">
        <f t="shared" si="92"/>
        <v>43184</v>
      </c>
      <c r="U1520" s="4">
        <v>43184</v>
      </c>
    </row>
    <row r="1521" spans="1:21" x14ac:dyDescent="0.3">
      <c r="A1521" t="s">
        <v>2092</v>
      </c>
      <c r="B1521" s="1" t="s">
        <v>205</v>
      </c>
      <c r="C1521" s="1" t="s">
        <v>206</v>
      </c>
      <c r="D1521" s="1" t="s">
        <v>24</v>
      </c>
      <c r="E1521" s="2" t="s">
        <v>3593</v>
      </c>
      <c r="F1521" s="2" t="b">
        <f t="shared" si="95"/>
        <v>0</v>
      </c>
      <c r="G1521" s="2">
        <f t="shared" si="93"/>
        <v>42173</v>
      </c>
      <c r="H1521" s="1" t="s">
        <v>46</v>
      </c>
      <c r="I1521" s="1" t="s">
        <v>660</v>
      </c>
      <c r="J1521" s="1">
        <v>500</v>
      </c>
      <c r="K1521" s="1">
        <v>345</v>
      </c>
      <c r="L1521" s="3">
        <v>0.31</v>
      </c>
      <c r="N1521" t="s">
        <v>3593</v>
      </c>
      <c r="P1521">
        <v>6</v>
      </c>
      <c r="Q1521">
        <v>18</v>
      </c>
      <c r="R1521">
        <v>2015</v>
      </c>
      <c r="S1521" s="4">
        <f t="shared" si="94"/>
        <v>42173</v>
      </c>
      <c r="T1521" s="4">
        <f t="shared" si="92"/>
        <v>42173</v>
      </c>
      <c r="U1521" s="4">
        <v>42173</v>
      </c>
    </row>
    <row r="1522" spans="1:21" x14ac:dyDescent="0.3">
      <c r="A1522" t="s">
        <v>2093</v>
      </c>
      <c r="B1522" s="1" t="s">
        <v>205</v>
      </c>
      <c r="C1522" s="1" t="s">
        <v>206</v>
      </c>
      <c r="D1522" s="1" t="s">
        <v>24</v>
      </c>
      <c r="E1522" s="2" t="s">
        <v>3141</v>
      </c>
      <c r="F1522" s="2" t="b">
        <f t="shared" si="95"/>
        <v>0</v>
      </c>
      <c r="G1522" s="2">
        <f t="shared" si="93"/>
        <v>43360</v>
      </c>
      <c r="H1522" s="1" t="s">
        <v>61</v>
      </c>
      <c r="I1522" s="1" t="s">
        <v>635</v>
      </c>
      <c r="J1522" s="1">
        <v>1000</v>
      </c>
      <c r="K1522" s="1">
        <v>590</v>
      </c>
      <c r="L1522" s="3">
        <v>0.41</v>
      </c>
      <c r="N1522" t="s">
        <v>3141</v>
      </c>
      <c r="P1522">
        <v>9</v>
      </c>
      <c r="Q1522">
        <v>17</v>
      </c>
      <c r="R1522">
        <v>2018</v>
      </c>
      <c r="S1522" s="4">
        <f t="shared" si="94"/>
        <v>43360</v>
      </c>
      <c r="T1522" s="4">
        <f t="shared" si="92"/>
        <v>43360</v>
      </c>
      <c r="U1522" s="4">
        <v>43360</v>
      </c>
    </row>
    <row r="1523" spans="1:21" x14ac:dyDescent="0.3">
      <c r="A1523" t="s">
        <v>2094</v>
      </c>
      <c r="B1523" s="1" t="s">
        <v>146</v>
      </c>
      <c r="C1523" s="1" t="s">
        <v>147</v>
      </c>
      <c r="D1523" s="1" t="s">
        <v>13</v>
      </c>
      <c r="E1523" s="2" t="s">
        <v>3154</v>
      </c>
      <c r="F1523" s="2" t="b">
        <f t="shared" si="95"/>
        <v>0</v>
      </c>
      <c r="G1523" s="2">
        <f t="shared" si="93"/>
        <v>42245</v>
      </c>
      <c r="H1523" s="1" t="s">
        <v>115</v>
      </c>
      <c r="I1523" s="1" t="s">
        <v>358</v>
      </c>
      <c r="J1523" s="1">
        <v>250</v>
      </c>
      <c r="K1523" s="1">
        <v>238</v>
      </c>
      <c r="L1523" s="3">
        <v>4.8000000000000001E-2</v>
      </c>
      <c r="N1523" t="s">
        <v>3154</v>
      </c>
      <c r="P1523">
        <v>8</v>
      </c>
      <c r="Q1523">
        <v>29</v>
      </c>
      <c r="R1523">
        <v>2015</v>
      </c>
      <c r="S1523" s="4">
        <f t="shared" si="94"/>
        <v>42245</v>
      </c>
      <c r="T1523" s="4">
        <f t="shared" si="92"/>
        <v>42245</v>
      </c>
      <c r="U1523" s="4">
        <v>42245</v>
      </c>
    </row>
    <row r="1524" spans="1:21" x14ac:dyDescent="0.3">
      <c r="A1524" t="s">
        <v>2095</v>
      </c>
      <c r="B1524" s="1" t="s">
        <v>146</v>
      </c>
      <c r="C1524" s="1" t="s">
        <v>147</v>
      </c>
      <c r="D1524" s="1" t="s">
        <v>13</v>
      </c>
      <c r="E1524" s="2" t="s">
        <v>3353</v>
      </c>
      <c r="F1524" s="2" t="b">
        <f t="shared" si="95"/>
        <v>0</v>
      </c>
      <c r="G1524" s="2">
        <f t="shared" si="93"/>
        <v>43025</v>
      </c>
      <c r="H1524" s="1" t="s">
        <v>25</v>
      </c>
      <c r="I1524" s="1" t="s">
        <v>1334</v>
      </c>
      <c r="J1524" s="1">
        <v>700</v>
      </c>
      <c r="K1524" s="1">
        <v>672</v>
      </c>
      <c r="L1524" s="3">
        <v>0.04</v>
      </c>
      <c r="N1524" t="s">
        <v>3353</v>
      </c>
      <c r="P1524">
        <v>10</v>
      </c>
      <c r="Q1524">
        <v>17</v>
      </c>
      <c r="R1524">
        <v>2017</v>
      </c>
      <c r="S1524" s="4">
        <f t="shared" si="94"/>
        <v>43025</v>
      </c>
      <c r="T1524" s="4">
        <f t="shared" si="92"/>
        <v>43025</v>
      </c>
      <c r="U1524" s="4">
        <v>43025</v>
      </c>
    </row>
    <row r="1525" spans="1:21" x14ac:dyDescent="0.3">
      <c r="A1525" t="s">
        <v>2096</v>
      </c>
      <c r="B1525" s="1" t="s">
        <v>146</v>
      </c>
      <c r="C1525" s="1" t="s">
        <v>147</v>
      </c>
      <c r="D1525" s="1" t="s">
        <v>13</v>
      </c>
      <c r="E1525" s="2" t="s">
        <v>3594</v>
      </c>
      <c r="F1525" s="2" t="b">
        <f t="shared" si="95"/>
        <v>0</v>
      </c>
      <c r="G1525" s="2">
        <f t="shared" si="93"/>
        <v>42962</v>
      </c>
      <c r="H1525" s="1" t="s">
        <v>72</v>
      </c>
      <c r="I1525" s="1" t="s">
        <v>1647</v>
      </c>
      <c r="J1525" s="1">
        <v>500</v>
      </c>
      <c r="K1525" s="1">
        <v>500</v>
      </c>
      <c r="L1525" s="3">
        <v>0</v>
      </c>
      <c r="N1525" t="s">
        <v>3594</v>
      </c>
      <c r="P1525">
        <v>8</v>
      </c>
      <c r="Q1525">
        <v>15</v>
      </c>
      <c r="R1525">
        <v>2017</v>
      </c>
      <c r="S1525" s="4">
        <f t="shared" si="94"/>
        <v>42962</v>
      </c>
      <c r="T1525" s="4">
        <f t="shared" si="92"/>
        <v>42962</v>
      </c>
      <c r="U1525" s="4">
        <v>42962</v>
      </c>
    </row>
    <row r="1526" spans="1:21" x14ac:dyDescent="0.3">
      <c r="A1526" t="s">
        <v>2097</v>
      </c>
      <c r="B1526" s="1" t="s">
        <v>33</v>
      </c>
      <c r="C1526" s="1" t="s">
        <v>34</v>
      </c>
      <c r="D1526" s="1" t="s">
        <v>35</v>
      </c>
      <c r="E1526" s="2" t="s">
        <v>3595</v>
      </c>
      <c r="F1526" s="2" t="b">
        <f t="shared" si="95"/>
        <v>0</v>
      </c>
      <c r="G1526" s="2">
        <f t="shared" si="93"/>
        <v>42388</v>
      </c>
      <c r="H1526" s="1" t="s">
        <v>72</v>
      </c>
      <c r="I1526" s="1" t="s">
        <v>1143</v>
      </c>
      <c r="J1526" s="1">
        <v>500</v>
      </c>
      <c r="K1526" s="1">
        <v>495</v>
      </c>
      <c r="L1526" s="3">
        <v>0.01</v>
      </c>
      <c r="N1526" t="s">
        <v>3595</v>
      </c>
      <c r="P1526">
        <v>1</v>
      </c>
      <c r="Q1526">
        <v>19</v>
      </c>
      <c r="R1526">
        <v>2016</v>
      </c>
      <c r="S1526" s="4">
        <f t="shared" si="94"/>
        <v>42388</v>
      </c>
      <c r="T1526" s="4">
        <f t="shared" si="92"/>
        <v>42388</v>
      </c>
      <c r="U1526" s="4">
        <v>42388</v>
      </c>
    </row>
    <row r="1527" spans="1:21" x14ac:dyDescent="0.3">
      <c r="A1527" t="s">
        <v>2098</v>
      </c>
      <c r="B1527" s="1" t="s">
        <v>118</v>
      </c>
      <c r="C1527" s="1" t="s">
        <v>119</v>
      </c>
      <c r="D1527" s="1" t="s">
        <v>35</v>
      </c>
      <c r="E1527" s="2" t="s">
        <v>3514</v>
      </c>
      <c r="F1527" s="2" t="b">
        <f t="shared" si="95"/>
        <v>0</v>
      </c>
      <c r="G1527" s="2">
        <f t="shared" si="93"/>
        <v>41667</v>
      </c>
      <c r="H1527" s="1" t="s">
        <v>41</v>
      </c>
      <c r="I1527" s="1" t="s">
        <v>120</v>
      </c>
      <c r="J1527" s="1">
        <v>30</v>
      </c>
      <c r="K1527" s="1">
        <v>29</v>
      </c>
      <c r="L1527" s="3">
        <v>3.3300000000000003E-2</v>
      </c>
      <c r="N1527" t="s">
        <v>3514</v>
      </c>
      <c r="P1527">
        <v>1</v>
      </c>
      <c r="Q1527">
        <v>28</v>
      </c>
      <c r="R1527">
        <v>2014</v>
      </c>
      <c r="S1527" s="4">
        <f t="shared" si="94"/>
        <v>41667</v>
      </c>
      <c r="T1527" s="4">
        <f t="shared" si="92"/>
        <v>41667</v>
      </c>
      <c r="U1527" s="4">
        <v>41667</v>
      </c>
    </row>
    <row r="1528" spans="1:21" x14ac:dyDescent="0.3">
      <c r="A1528" t="s">
        <v>2099</v>
      </c>
      <c r="B1528" s="1" t="s">
        <v>33</v>
      </c>
      <c r="C1528" s="1" t="s">
        <v>34</v>
      </c>
      <c r="D1528" s="1" t="s">
        <v>35</v>
      </c>
      <c r="E1528" s="2" t="s">
        <v>3143</v>
      </c>
      <c r="F1528" s="2" t="b">
        <f t="shared" si="95"/>
        <v>0</v>
      </c>
      <c r="G1528" s="2">
        <f t="shared" si="93"/>
        <v>42179</v>
      </c>
      <c r="H1528" s="1" t="s">
        <v>14</v>
      </c>
      <c r="I1528" s="1" t="s">
        <v>197</v>
      </c>
      <c r="J1528" s="1">
        <v>80</v>
      </c>
      <c r="K1528" s="1">
        <v>55</v>
      </c>
      <c r="L1528" s="3">
        <v>0.3125</v>
      </c>
      <c r="N1528" t="s">
        <v>3143</v>
      </c>
      <c r="P1528">
        <v>6</v>
      </c>
      <c r="Q1528">
        <v>24</v>
      </c>
      <c r="R1528">
        <v>2015</v>
      </c>
      <c r="S1528" s="4">
        <f t="shared" si="94"/>
        <v>42179</v>
      </c>
      <c r="T1528" s="4">
        <f t="shared" si="92"/>
        <v>42179</v>
      </c>
      <c r="U1528" s="4">
        <v>42179</v>
      </c>
    </row>
    <row r="1529" spans="1:21" x14ac:dyDescent="0.3">
      <c r="A1529" t="s">
        <v>2100</v>
      </c>
      <c r="B1529" s="1" t="s">
        <v>70</v>
      </c>
      <c r="C1529" s="1" t="s">
        <v>71</v>
      </c>
      <c r="D1529" s="1" t="s">
        <v>35</v>
      </c>
      <c r="E1529" s="2" t="s">
        <v>3296</v>
      </c>
      <c r="F1529" s="2" t="b">
        <f t="shared" si="95"/>
        <v>0</v>
      </c>
      <c r="G1529" s="2">
        <f t="shared" si="93"/>
        <v>42052</v>
      </c>
      <c r="H1529" s="1" t="s">
        <v>55</v>
      </c>
      <c r="I1529" s="1" t="s">
        <v>142</v>
      </c>
      <c r="J1529" s="1">
        <v>800</v>
      </c>
      <c r="K1529" s="1">
        <v>608</v>
      </c>
      <c r="L1529" s="3">
        <v>0.24</v>
      </c>
      <c r="N1529" t="s">
        <v>3296</v>
      </c>
      <c r="P1529">
        <v>2</v>
      </c>
      <c r="Q1529">
        <v>17</v>
      </c>
      <c r="R1529">
        <v>2015</v>
      </c>
      <c r="S1529" s="4">
        <f t="shared" si="94"/>
        <v>42052</v>
      </c>
      <c r="T1529" s="4">
        <f t="shared" si="92"/>
        <v>42052</v>
      </c>
      <c r="U1529" s="4">
        <v>42052</v>
      </c>
    </row>
    <row r="1530" spans="1:21" x14ac:dyDescent="0.3">
      <c r="A1530" t="s">
        <v>2101</v>
      </c>
      <c r="B1530" s="1" t="s">
        <v>131</v>
      </c>
      <c r="C1530" s="1" t="s">
        <v>108</v>
      </c>
      <c r="D1530" s="1" t="s">
        <v>19</v>
      </c>
      <c r="E1530" s="2">
        <v>42282</v>
      </c>
      <c r="F1530" s="2" t="b">
        <f t="shared" si="95"/>
        <v>1</v>
      </c>
      <c r="G1530" s="2">
        <f t="shared" si="93"/>
        <v>42282</v>
      </c>
      <c r="H1530" s="1" t="s">
        <v>41</v>
      </c>
      <c r="I1530" s="1" t="s">
        <v>268</v>
      </c>
      <c r="J1530" s="1">
        <v>30</v>
      </c>
      <c r="K1530" s="1">
        <v>22</v>
      </c>
      <c r="L1530" s="3">
        <v>0.26669999999999999</v>
      </c>
      <c r="N1530" t="s">
        <v>3763</v>
      </c>
      <c r="S1530" s="4" t="e">
        <f t="shared" si="94"/>
        <v>#NUM!</v>
      </c>
      <c r="T1530" s="4" t="str">
        <f t="shared" si="92"/>
        <v/>
      </c>
      <c r="U1530" s="4" t="s">
        <v>3763</v>
      </c>
    </row>
    <row r="1531" spans="1:21" x14ac:dyDescent="0.3">
      <c r="A1531" t="s">
        <v>2102</v>
      </c>
      <c r="B1531" s="1" t="s">
        <v>39</v>
      </c>
      <c r="C1531" s="1" t="s">
        <v>40</v>
      </c>
      <c r="D1531" s="1" t="s">
        <v>35</v>
      </c>
      <c r="E1531" s="2" t="s">
        <v>3451</v>
      </c>
      <c r="F1531" s="2" t="b">
        <f t="shared" si="95"/>
        <v>0</v>
      </c>
      <c r="G1531" s="2">
        <f t="shared" si="93"/>
        <v>41756</v>
      </c>
      <c r="H1531" s="1" t="s">
        <v>14</v>
      </c>
      <c r="I1531" s="1" t="s">
        <v>1526</v>
      </c>
      <c r="J1531" s="1">
        <v>80</v>
      </c>
      <c r="K1531" s="1">
        <v>69</v>
      </c>
      <c r="L1531" s="3">
        <v>0.13750000000000001</v>
      </c>
      <c r="N1531" t="s">
        <v>3451</v>
      </c>
      <c r="P1531">
        <v>4</v>
      </c>
      <c r="Q1531">
        <v>27</v>
      </c>
      <c r="R1531">
        <v>2014</v>
      </c>
      <c r="S1531" s="4">
        <f t="shared" si="94"/>
        <v>41756</v>
      </c>
      <c r="T1531" s="4">
        <f t="shared" si="92"/>
        <v>41756</v>
      </c>
      <c r="U1531" s="4">
        <v>41756</v>
      </c>
    </row>
    <row r="1532" spans="1:21" x14ac:dyDescent="0.3">
      <c r="A1532" t="s">
        <v>2103</v>
      </c>
      <c r="B1532" s="1" t="s">
        <v>103</v>
      </c>
      <c r="C1532" s="1" t="s">
        <v>71</v>
      </c>
      <c r="D1532" s="1" t="s">
        <v>35</v>
      </c>
      <c r="E1532" s="2">
        <v>42705</v>
      </c>
      <c r="F1532" s="2" t="b">
        <f t="shared" si="95"/>
        <v>1</v>
      </c>
      <c r="G1532" s="2">
        <f t="shared" si="93"/>
        <v>42705</v>
      </c>
      <c r="H1532" s="1" t="s">
        <v>25</v>
      </c>
      <c r="I1532" s="1" t="s">
        <v>497</v>
      </c>
      <c r="J1532" s="1">
        <v>700</v>
      </c>
      <c r="K1532" s="1">
        <v>665</v>
      </c>
      <c r="L1532" s="3">
        <v>0.05</v>
      </c>
      <c r="N1532" t="s">
        <v>3763</v>
      </c>
      <c r="S1532" s="4" t="e">
        <f t="shared" si="94"/>
        <v>#NUM!</v>
      </c>
      <c r="T1532" s="4" t="str">
        <f t="shared" si="92"/>
        <v/>
      </c>
      <c r="U1532" s="4" t="s">
        <v>3763</v>
      </c>
    </row>
    <row r="1533" spans="1:21" x14ac:dyDescent="0.3">
      <c r="A1533" t="s">
        <v>2104</v>
      </c>
      <c r="B1533" s="1" t="s">
        <v>28</v>
      </c>
      <c r="C1533" s="1" t="s">
        <v>29</v>
      </c>
      <c r="D1533" s="1" t="s">
        <v>13</v>
      </c>
      <c r="E1533" s="2" t="s">
        <v>3596</v>
      </c>
      <c r="F1533" s="2" t="b">
        <f t="shared" si="95"/>
        <v>0</v>
      </c>
      <c r="G1533" s="2">
        <f t="shared" si="93"/>
        <v>42817</v>
      </c>
      <c r="H1533" s="1" t="s">
        <v>41</v>
      </c>
      <c r="I1533" s="1" t="s">
        <v>1108</v>
      </c>
      <c r="J1533" s="1">
        <v>30</v>
      </c>
      <c r="K1533" s="1">
        <v>28</v>
      </c>
      <c r="L1533" s="3">
        <v>6.6699999999999995E-2</v>
      </c>
      <c r="N1533" t="s">
        <v>3596</v>
      </c>
      <c r="P1533">
        <v>3</v>
      </c>
      <c r="Q1533">
        <v>23</v>
      </c>
      <c r="R1533">
        <v>2017</v>
      </c>
      <c r="S1533" s="4">
        <f t="shared" si="94"/>
        <v>42817</v>
      </c>
      <c r="T1533" s="4">
        <f t="shared" si="92"/>
        <v>42817</v>
      </c>
      <c r="U1533" s="4">
        <v>42817</v>
      </c>
    </row>
    <row r="1534" spans="1:21" x14ac:dyDescent="0.3">
      <c r="A1534" t="s">
        <v>2105</v>
      </c>
      <c r="B1534" s="1" t="s">
        <v>107</v>
      </c>
      <c r="C1534" s="1" t="s">
        <v>108</v>
      </c>
      <c r="D1534" s="1" t="s">
        <v>19</v>
      </c>
      <c r="E1534" s="2" t="s">
        <v>3010</v>
      </c>
      <c r="F1534" s="2" t="b">
        <f t="shared" si="95"/>
        <v>0</v>
      </c>
      <c r="G1534" s="2">
        <f t="shared" si="93"/>
        <v>43173</v>
      </c>
      <c r="H1534" s="1" t="s">
        <v>55</v>
      </c>
      <c r="I1534" s="1" t="s">
        <v>817</v>
      </c>
      <c r="J1534" s="1">
        <v>800</v>
      </c>
      <c r="K1534" s="1">
        <v>464</v>
      </c>
      <c r="L1534" s="3">
        <v>0.42</v>
      </c>
      <c r="N1534" t="s">
        <v>3010</v>
      </c>
      <c r="P1534">
        <v>3</v>
      </c>
      <c r="Q1534">
        <v>14</v>
      </c>
      <c r="R1534">
        <v>2018</v>
      </c>
      <c r="S1534" s="4">
        <f t="shared" si="94"/>
        <v>43173</v>
      </c>
      <c r="T1534" s="4">
        <f t="shared" si="92"/>
        <v>43173</v>
      </c>
      <c r="U1534" s="4">
        <v>43173</v>
      </c>
    </row>
    <row r="1535" spans="1:21" x14ac:dyDescent="0.3">
      <c r="A1535" t="s">
        <v>2106</v>
      </c>
      <c r="B1535" s="1" t="s">
        <v>107</v>
      </c>
      <c r="C1535" s="1" t="s">
        <v>108</v>
      </c>
      <c r="D1535" s="1" t="s">
        <v>19</v>
      </c>
      <c r="E1535" s="2">
        <v>42803</v>
      </c>
      <c r="F1535" s="2" t="b">
        <f t="shared" si="95"/>
        <v>1</v>
      </c>
      <c r="G1535" s="2">
        <f t="shared" si="93"/>
        <v>42803</v>
      </c>
      <c r="H1535" s="1" t="s">
        <v>55</v>
      </c>
      <c r="I1535" s="1" t="s">
        <v>354</v>
      </c>
      <c r="J1535" s="1">
        <v>800</v>
      </c>
      <c r="K1535" s="1">
        <v>584</v>
      </c>
      <c r="L1535" s="3">
        <v>0.27</v>
      </c>
      <c r="N1535" t="s">
        <v>3763</v>
      </c>
      <c r="S1535" s="4" t="e">
        <f t="shared" si="94"/>
        <v>#NUM!</v>
      </c>
      <c r="T1535" s="4" t="str">
        <f t="shared" si="92"/>
        <v/>
      </c>
      <c r="U1535" s="4" t="s">
        <v>3763</v>
      </c>
    </row>
    <row r="1536" spans="1:21" x14ac:dyDescent="0.3">
      <c r="A1536" t="s">
        <v>2107</v>
      </c>
      <c r="B1536" s="1" t="s">
        <v>150</v>
      </c>
      <c r="C1536" s="1" t="s">
        <v>151</v>
      </c>
      <c r="D1536" s="1" t="s">
        <v>13</v>
      </c>
      <c r="E1536" s="2" t="s">
        <v>3023</v>
      </c>
      <c r="F1536" s="2" t="b">
        <f t="shared" si="95"/>
        <v>0</v>
      </c>
      <c r="G1536" s="2">
        <f t="shared" si="93"/>
        <v>42916</v>
      </c>
      <c r="H1536" s="1" t="s">
        <v>25</v>
      </c>
      <c r="I1536" s="1" t="s">
        <v>2108</v>
      </c>
      <c r="J1536" s="1">
        <v>700</v>
      </c>
      <c r="K1536" s="1">
        <v>686</v>
      </c>
      <c r="L1536" s="3">
        <v>0.02</v>
      </c>
      <c r="N1536" t="s">
        <v>3023</v>
      </c>
      <c r="P1536">
        <v>6</v>
      </c>
      <c r="Q1536">
        <v>30</v>
      </c>
      <c r="R1536">
        <v>2017</v>
      </c>
      <c r="S1536" s="4">
        <f t="shared" si="94"/>
        <v>42916</v>
      </c>
      <c r="T1536" s="4">
        <f t="shared" si="92"/>
        <v>42916</v>
      </c>
      <c r="U1536" s="4">
        <v>42916</v>
      </c>
    </row>
    <row r="1537" spans="1:21" x14ac:dyDescent="0.3">
      <c r="A1537" t="s">
        <v>2109</v>
      </c>
      <c r="B1537" s="1" t="s">
        <v>33</v>
      </c>
      <c r="C1537" s="1" t="s">
        <v>34</v>
      </c>
      <c r="D1537" s="1" t="s">
        <v>35</v>
      </c>
      <c r="E1537" s="2">
        <v>43288</v>
      </c>
      <c r="F1537" s="2" t="b">
        <f t="shared" si="95"/>
        <v>1</v>
      </c>
      <c r="G1537" s="2">
        <f t="shared" si="93"/>
        <v>43288</v>
      </c>
      <c r="H1537" s="1" t="s">
        <v>115</v>
      </c>
      <c r="I1537" s="1" t="s">
        <v>1143</v>
      </c>
      <c r="J1537" s="1">
        <v>250</v>
      </c>
      <c r="K1537" s="1">
        <v>213</v>
      </c>
      <c r="L1537" s="3">
        <v>0.14799999999999999</v>
      </c>
      <c r="N1537" t="s">
        <v>3763</v>
      </c>
      <c r="S1537" s="4" t="e">
        <f t="shared" si="94"/>
        <v>#NUM!</v>
      </c>
      <c r="T1537" s="4" t="str">
        <f t="shared" si="92"/>
        <v/>
      </c>
      <c r="U1537" s="4" t="s">
        <v>3763</v>
      </c>
    </row>
    <row r="1538" spans="1:21" x14ac:dyDescent="0.3">
      <c r="A1538" t="s">
        <v>2110</v>
      </c>
      <c r="B1538" s="1" t="s">
        <v>131</v>
      </c>
      <c r="C1538" s="1" t="s">
        <v>108</v>
      </c>
      <c r="D1538" s="1" t="s">
        <v>19</v>
      </c>
      <c r="E1538" s="2">
        <v>42959</v>
      </c>
      <c r="F1538" s="2" t="b">
        <f t="shared" si="95"/>
        <v>1</v>
      </c>
      <c r="G1538" s="2">
        <f t="shared" si="93"/>
        <v>42959</v>
      </c>
      <c r="H1538" s="1" t="s">
        <v>46</v>
      </c>
      <c r="I1538" s="1" t="s">
        <v>212</v>
      </c>
      <c r="J1538" s="1">
        <v>500</v>
      </c>
      <c r="K1538" s="1">
        <v>470</v>
      </c>
      <c r="L1538" s="3">
        <v>0.06</v>
      </c>
      <c r="N1538" t="s">
        <v>3763</v>
      </c>
      <c r="S1538" s="4" t="e">
        <f t="shared" si="94"/>
        <v>#NUM!</v>
      </c>
      <c r="T1538" s="4" t="str">
        <f t="shared" si="92"/>
        <v/>
      </c>
      <c r="U1538" s="4" t="s">
        <v>3763</v>
      </c>
    </row>
    <row r="1539" spans="1:21" x14ac:dyDescent="0.3">
      <c r="A1539" t="s">
        <v>2111</v>
      </c>
      <c r="B1539" s="1" t="s">
        <v>99</v>
      </c>
      <c r="C1539" s="1" t="s">
        <v>100</v>
      </c>
      <c r="D1539" s="1" t="s">
        <v>13</v>
      </c>
      <c r="E1539" s="2">
        <v>41948</v>
      </c>
      <c r="F1539" s="2" t="b">
        <f t="shared" si="95"/>
        <v>1</v>
      </c>
      <c r="G1539" s="2">
        <f t="shared" si="93"/>
        <v>41948</v>
      </c>
      <c r="H1539" s="1" t="s">
        <v>55</v>
      </c>
      <c r="I1539" s="1" t="s">
        <v>911</v>
      </c>
      <c r="J1539" s="1">
        <v>800</v>
      </c>
      <c r="K1539" s="1">
        <v>664</v>
      </c>
      <c r="L1539" s="3">
        <v>0.17</v>
      </c>
      <c r="N1539" t="s">
        <v>3763</v>
      </c>
      <c r="S1539" s="4" t="e">
        <f t="shared" si="94"/>
        <v>#NUM!</v>
      </c>
      <c r="T1539" s="4" t="str">
        <f t="shared" ref="T1539:T1602" si="96">IF(AND(P1539&lt;&gt;"",Q1539&lt;&gt;"",R1539&lt;&gt;""),IFERROR(DATE(R1539,P1539,Q1539),""),"")</f>
        <v/>
      </c>
      <c r="U1539" s="4" t="s">
        <v>3763</v>
      </c>
    </row>
    <row r="1540" spans="1:21" x14ac:dyDescent="0.3">
      <c r="A1540" t="s">
        <v>2112</v>
      </c>
      <c r="B1540" s="1" t="s">
        <v>270</v>
      </c>
      <c r="C1540" s="1" t="s">
        <v>271</v>
      </c>
      <c r="D1540" s="1" t="s">
        <v>35</v>
      </c>
      <c r="E1540" s="2">
        <v>41945</v>
      </c>
      <c r="F1540" s="2" t="b">
        <f t="shared" si="95"/>
        <v>1</v>
      </c>
      <c r="G1540" s="2">
        <f t="shared" ref="G1540:G1603" si="97">IF(F1540=TRUE,E1540,U1540)</f>
        <v>41945</v>
      </c>
      <c r="H1540" s="1" t="s">
        <v>72</v>
      </c>
      <c r="I1540" s="1" t="s">
        <v>713</v>
      </c>
      <c r="J1540" s="1">
        <v>500</v>
      </c>
      <c r="K1540" s="1">
        <v>495</v>
      </c>
      <c r="L1540" s="3">
        <v>0.01</v>
      </c>
      <c r="N1540" t="s">
        <v>3763</v>
      </c>
      <c r="S1540" s="4" t="e">
        <f t="shared" ref="S1540:S1603" si="98">DATE(R1540,P1540,Q1540)</f>
        <v>#NUM!</v>
      </c>
      <c r="T1540" s="4" t="str">
        <f t="shared" si="96"/>
        <v/>
      </c>
      <c r="U1540" s="4" t="s">
        <v>3763</v>
      </c>
    </row>
    <row r="1541" spans="1:21" x14ac:dyDescent="0.3">
      <c r="A1541" t="s">
        <v>2113</v>
      </c>
      <c r="B1541" s="1" t="s">
        <v>39</v>
      </c>
      <c r="C1541" s="1" t="s">
        <v>40</v>
      </c>
      <c r="D1541" s="1" t="s">
        <v>35</v>
      </c>
      <c r="E1541" s="2">
        <v>42438</v>
      </c>
      <c r="F1541" s="2" t="b">
        <f t="shared" ref="F1541:F1604" si="99">ISNUMBER(E1541)</f>
        <v>1</v>
      </c>
      <c r="G1541" s="2">
        <f t="shared" si="97"/>
        <v>42438</v>
      </c>
      <c r="H1541" s="1" t="s">
        <v>14</v>
      </c>
      <c r="I1541" s="1" t="s">
        <v>1881</v>
      </c>
      <c r="J1541" s="1">
        <v>80</v>
      </c>
      <c r="K1541" s="1">
        <v>72</v>
      </c>
      <c r="L1541" s="3">
        <v>0.1</v>
      </c>
      <c r="N1541" t="s">
        <v>3763</v>
      </c>
      <c r="S1541" s="4" t="e">
        <f t="shared" si="98"/>
        <v>#NUM!</v>
      </c>
      <c r="T1541" s="4" t="str">
        <f t="shared" si="96"/>
        <v/>
      </c>
      <c r="U1541" s="4" t="s">
        <v>3763</v>
      </c>
    </row>
    <row r="1542" spans="1:21" x14ac:dyDescent="0.3">
      <c r="A1542" t="s">
        <v>2114</v>
      </c>
      <c r="B1542" s="1" t="s">
        <v>134</v>
      </c>
      <c r="C1542" s="1" t="s">
        <v>92</v>
      </c>
      <c r="D1542" s="1" t="s">
        <v>35</v>
      </c>
      <c r="E1542" s="2">
        <v>43109</v>
      </c>
      <c r="F1542" s="2" t="b">
        <f t="shared" si="99"/>
        <v>1</v>
      </c>
      <c r="G1542" s="2">
        <f t="shared" si="97"/>
        <v>43109</v>
      </c>
      <c r="H1542" s="1" t="s">
        <v>104</v>
      </c>
      <c r="I1542" s="1" t="s">
        <v>1062</v>
      </c>
      <c r="J1542" s="1">
        <v>70</v>
      </c>
      <c r="K1542" s="1">
        <v>65</v>
      </c>
      <c r="L1542" s="3">
        <v>7.1400000000000005E-2</v>
      </c>
      <c r="N1542" t="s">
        <v>3763</v>
      </c>
      <c r="S1542" s="4" t="e">
        <f t="shared" si="98"/>
        <v>#NUM!</v>
      </c>
      <c r="T1542" s="4" t="str">
        <f t="shared" si="96"/>
        <v/>
      </c>
      <c r="U1542" s="4" t="s">
        <v>3763</v>
      </c>
    </row>
    <row r="1543" spans="1:21" x14ac:dyDescent="0.3">
      <c r="A1543" t="s">
        <v>2115</v>
      </c>
      <c r="B1543" s="1" t="s">
        <v>77</v>
      </c>
      <c r="C1543" s="1" t="s">
        <v>78</v>
      </c>
      <c r="D1543" s="1" t="s">
        <v>35</v>
      </c>
      <c r="E1543" s="2" t="s">
        <v>3456</v>
      </c>
      <c r="F1543" s="2" t="b">
        <f t="shared" si="99"/>
        <v>0</v>
      </c>
      <c r="G1543" s="2">
        <f t="shared" si="97"/>
        <v>42137</v>
      </c>
      <c r="H1543" s="1" t="s">
        <v>115</v>
      </c>
      <c r="I1543" s="1" t="s">
        <v>1789</v>
      </c>
      <c r="J1543" s="1">
        <v>250</v>
      </c>
      <c r="K1543" s="1">
        <v>163</v>
      </c>
      <c r="L1543" s="3">
        <v>0.34799999999999998</v>
      </c>
      <c r="N1543" t="s">
        <v>3456</v>
      </c>
      <c r="P1543">
        <v>5</v>
      </c>
      <c r="Q1543">
        <v>13</v>
      </c>
      <c r="R1543">
        <v>2015</v>
      </c>
      <c r="S1543" s="4">
        <f t="shared" si="98"/>
        <v>42137</v>
      </c>
      <c r="T1543" s="4">
        <f t="shared" si="96"/>
        <v>42137</v>
      </c>
      <c r="U1543" s="4">
        <v>42137</v>
      </c>
    </row>
    <row r="1544" spans="1:21" x14ac:dyDescent="0.3">
      <c r="A1544" t="s">
        <v>2116</v>
      </c>
      <c r="B1544" s="1" t="s">
        <v>99</v>
      </c>
      <c r="C1544" s="1" t="s">
        <v>100</v>
      </c>
      <c r="D1544" s="1" t="s">
        <v>13</v>
      </c>
      <c r="E1544" s="2">
        <v>43446</v>
      </c>
      <c r="F1544" s="2" t="b">
        <f t="shared" si="99"/>
        <v>1</v>
      </c>
      <c r="G1544" s="2">
        <f t="shared" si="97"/>
        <v>43446</v>
      </c>
      <c r="H1544" s="1" t="s">
        <v>72</v>
      </c>
      <c r="I1544" s="1" t="s">
        <v>1825</v>
      </c>
      <c r="J1544" s="1">
        <v>500</v>
      </c>
      <c r="K1544" s="1">
        <v>500</v>
      </c>
      <c r="L1544" s="3">
        <v>0</v>
      </c>
      <c r="N1544" t="s">
        <v>3763</v>
      </c>
      <c r="S1544" s="4" t="e">
        <f t="shared" si="98"/>
        <v>#NUM!</v>
      </c>
      <c r="T1544" s="4" t="str">
        <f t="shared" si="96"/>
        <v/>
      </c>
      <c r="U1544" s="4" t="s">
        <v>3763</v>
      </c>
    </row>
    <row r="1545" spans="1:21" x14ac:dyDescent="0.3">
      <c r="A1545" t="s">
        <v>2117</v>
      </c>
      <c r="B1545" s="1" t="s">
        <v>124</v>
      </c>
      <c r="C1545" s="1" t="s">
        <v>40</v>
      </c>
      <c r="D1545" s="1" t="s">
        <v>35</v>
      </c>
      <c r="E1545" s="2">
        <v>42157</v>
      </c>
      <c r="F1545" s="2" t="b">
        <f t="shared" si="99"/>
        <v>1</v>
      </c>
      <c r="G1545" s="2">
        <f t="shared" si="97"/>
        <v>42157</v>
      </c>
      <c r="H1545" s="1" t="s">
        <v>25</v>
      </c>
      <c r="I1545" s="1" t="s">
        <v>863</v>
      </c>
      <c r="J1545" s="1">
        <v>700</v>
      </c>
      <c r="K1545" s="1">
        <v>448</v>
      </c>
      <c r="L1545" s="3">
        <v>0.36</v>
      </c>
      <c r="N1545" t="s">
        <v>3763</v>
      </c>
      <c r="S1545" s="4" t="e">
        <f t="shared" si="98"/>
        <v>#NUM!</v>
      </c>
      <c r="T1545" s="4" t="str">
        <f t="shared" si="96"/>
        <v/>
      </c>
      <c r="U1545" s="4" t="s">
        <v>3763</v>
      </c>
    </row>
    <row r="1546" spans="1:21" x14ac:dyDescent="0.3">
      <c r="A1546" t="s">
        <v>2118</v>
      </c>
      <c r="B1546" s="1" t="s">
        <v>81</v>
      </c>
      <c r="C1546" s="1" t="s">
        <v>82</v>
      </c>
      <c r="D1546" s="1" t="s">
        <v>13</v>
      </c>
      <c r="E1546" s="2" t="s">
        <v>2986</v>
      </c>
      <c r="F1546" s="2" t="b">
        <f t="shared" si="99"/>
        <v>0</v>
      </c>
      <c r="G1546" s="2">
        <f t="shared" si="97"/>
        <v>43184</v>
      </c>
      <c r="H1546" s="1" t="s">
        <v>55</v>
      </c>
      <c r="I1546" s="1" t="s">
        <v>1232</v>
      </c>
      <c r="J1546" s="1">
        <v>800</v>
      </c>
      <c r="K1546" s="1">
        <v>496</v>
      </c>
      <c r="L1546" s="3">
        <v>0.38</v>
      </c>
      <c r="N1546" t="s">
        <v>2986</v>
      </c>
      <c r="P1546">
        <v>3</v>
      </c>
      <c r="Q1546">
        <v>25</v>
      </c>
      <c r="R1546">
        <v>2018</v>
      </c>
      <c r="S1546" s="4">
        <f t="shared" si="98"/>
        <v>43184</v>
      </c>
      <c r="T1546" s="4">
        <f t="shared" si="96"/>
        <v>43184</v>
      </c>
      <c r="U1546" s="4">
        <v>43184</v>
      </c>
    </row>
    <row r="1547" spans="1:21" x14ac:dyDescent="0.3">
      <c r="A1547" t="s">
        <v>2119</v>
      </c>
      <c r="B1547" s="1" t="s">
        <v>111</v>
      </c>
      <c r="C1547" s="1" t="s">
        <v>82</v>
      </c>
      <c r="D1547" s="1" t="s">
        <v>13</v>
      </c>
      <c r="E1547" s="2" t="s">
        <v>3339</v>
      </c>
      <c r="F1547" s="2" t="b">
        <f t="shared" si="99"/>
        <v>0</v>
      </c>
      <c r="G1547" s="2">
        <f t="shared" si="97"/>
        <v>43464</v>
      </c>
      <c r="H1547" s="1" t="s">
        <v>41</v>
      </c>
      <c r="I1547" s="1" t="s">
        <v>1424</v>
      </c>
      <c r="J1547" s="1">
        <v>30</v>
      </c>
      <c r="K1547" s="1">
        <v>30</v>
      </c>
      <c r="L1547" s="3">
        <v>0</v>
      </c>
      <c r="N1547" t="s">
        <v>3339</v>
      </c>
      <c r="P1547">
        <v>12</v>
      </c>
      <c r="Q1547">
        <v>30</v>
      </c>
      <c r="R1547">
        <v>2018</v>
      </c>
      <c r="S1547" s="4">
        <f t="shared" si="98"/>
        <v>43464</v>
      </c>
      <c r="T1547" s="4">
        <f t="shared" si="96"/>
        <v>43464</v>
      </c>
      <c r="U1547" s="4">
        <v>43464</v>
      </c>
    </row>
    <row r="1548" spans="1:21" x14ac:dyDescent="0.3">
      <c r="A1548" t="s">
        <v>2120</v>
      </c>
      <c r="B1548" s="1" t="s">
        <v>289</v>
      </c>
      <c r="C1548" s="1" t="s">
        <v>108</v>
      </c>
      <c r="D1548" s="1" t="s">
        <v>19</v>
      </c>
      <c r="E1548" s="2" t="s">
        <v>3147</v>
      </c>
      <c r="F1548" s="2" t="b">
        <f t="shared" si="99"/>
        <v>0</v>
      </c>
      <c r="G1548" s="2">
        <f t="shared" si="97"/>
        <v>42877</v>
      </c>
      <c r="H1548" s="1" t="s">
        <v>115</v>
      </c>
      <c r="I1548" s="1" t="s">
        <v>903</v>
      </c>
      <c r="J1548" s="1">
        <v>250</v>
      </c>
      <c r="K1548" s="1">
        <v>245</v>
      </c>
      <c r="L1548" s="3">
        <v>0.02</v>
      </c>
      <c r="N1548" t="s">
        <v>3147</v>
      </c>
      <c r="P1548">
        <v>5</v>
      </c>
      <c r="Q1548">
        <v>22</v>
      </c>
      <c r="R1548">
        <v>2017</v>
      </c>
      <c r="S1548" s="4">
        <f t="shared" si="98"/>
        <v>42877</v>
      </c>
      <c r="T1548" s="4">
        <f t="shared" si="96"/>
        <v>42877</v>
      </c>
      <c r="U1548" s="4">
        <v>42877</v>
      </c>
    </row>
    <row r="1549" spans="1:21" x14ac:dyDescent="0.3">
      <c r="A1549" t="s">
        <v>2121</v>
      </c>
      <c r="B1549" s="1" t="s">
        <v>17</v>
      </c>
      <c r="C1549" s="1" t="s">
        <v>18</v>
      </c>
      <c r="D1549" s="1" t="s">
        <v>19</v>
      </c>
      <c r="E1549" s="2">
        <v>42984</v>
      </c>
      <c r="F1549" s="2" t="b">
        <f t="shared" si="99"/>
        <v>1</v>
      </c>
      <c r="G1549" s="2">
        <f t="shared" si="97"/>
        <v>42984</v>
      </c>
      <c r="H1549" s="1" t="s">
        <v>55</v>
      </c>
      <c r="I1549" s="1" t="s">
        <v>776</v>
      </c>
      <c r="J1549" s="1">
        <v>800</v>
      </c>
      <c r="K1549" s="1">
        <v>576</v>
      </c>
      <c r="L1549" s="3">
        <v>0.28000000000000003</v>
      </c>
      <c r="N1549" t="s">
        <v>3763</v>
      </c>
      <c r="S1549" s="4" t="e">
        <f t="shared" si="98"/>
        <v>#NUM!</v>
      </c>
      <c r="T1549" s="4" t="str">
        <f t="shared" si="96"/>
        <v/>
      </c>
      <c r="U1549" s="4" t="s">
        <v>3763</v>
      </c>
    </row>
    <row r="1550" spans="1:21" x14ac:dyDescent="0.3">
      <c r="A1550" t="s">
        <v>2122</v>
      </c>
      <c r="B1550" s="1" t="s">
        <v>434</v>
      </c>
      <c r="C1550" s="1" t="s">
        <v>435</v>
      </c>
      <c r="D1550" s="1" t="s">
        <v>24</v>
      </c>
      <c r="E1550" s="2" t="s">
        <v>3597</v>
      </c>
      <c r="F1550" s="2" t="b">
        <f t="shared" si="99"/>
        <v>0</v>
      </c>
      <c r="G1550" s="2">
        <f t="shared" si="97"/>
        <v>42538</v>
      </c>
      <c r="H1550" s="1" t="s">
        <v>122</v>
      </c>
      <c r="I1550" s="1" t="s">
        <v>828</v>
      </c>
      <c r="J1550" s="1">
        <v>50</v>
      </c>
      <c r="K1550" s="1">
        <v>47</v>
      </c>
      <c r="L1550" s="3">
        <v>0.06</v>
      </c>
      <c r="N1550" t="s">
        <v>3597</v>
      </c>
      <c r="P1550">
        <v>6</v>
      </c>
      <c r="Q1550">
        <v>17</v>
      </c>
      <c r="R1550">
        <v>2016</v>
      </c>
      <c r="S1550" s="4">
        <f t="shared" si="98"/>
        <v>42538</v>
      </c>
      <c r="T1550" s="4">
        <f t="shared" si="96"/>
        <v>42538</v>
      </c>
      <c r="U1550" s="4">
        <v>42538</v>
      </c>
    </row>
    <row r="1551" spans="1:21" x14ac:dyDescent="0.3">
      <c r="A1551" t="s">
        <v>2123</v>
      </c>
      <c r="B1551" s="1" t="s">
        <v>434</v>
      </c>
      <c r="C1551" s="1" t="s">
        <v>435</v>
      </c>
      <c r="D1551" s="1" t="s">
        <v>24</v>
      </c>
      <c r="E1551" s="2" t="s">
        <v>3197</v>
      </c>
      <c r="F1551" s="2" t="b">
        <f t="shared" si="99"/>
        <v>0</v>
      </c>
      <c r="G1551" s="2">
        <f t="shared" si="97"/>
        <v>43372</v>
      </c>
      <c r="H1551" s="1" t="s">
        <v>104</v>
      </c>
      <c r="I1551" s="1" t="s">
        <v>550</v>
      </c>
      <c r="J1551" s="1">
        <v>70</v>
      </c>
      <c r="K1551" s="1">
        <v>66</v>
      </c>
      <c r="L1551" s="3">
        <v>5.7099999999999998E-2</v>
      </c>
      <c r="N1551" t="s">
        <v>3197</v>
      </c>
      <c r="P1551">
        <v>9</v>
      </c>
      <c r="Q1551">
        <v>29</v>
      </c>
      <c r="R1551">
        <v>2018</v>
      </c>
      <c r="S1551" s="4">
        <f t="shared" si="98"/>
        <v>43372</v>
      </c>
      <c r="T1551" s="4">
        <f t="shared" si="96"/>
        <v>43372</v>
      </c>
      <c r="U1551" s="4">
        <v>43372</v>
      </c>
    </row>
    <row r="1552" spans="1:21" x14ac:dyDescent="0.3">
      <c r="A1552" t="s">
        <v>2124</v>
      </c>
      <c r="B1552" s="1" t="s">
        <v>53</v>
      </c>
      <c r="C1552" s="1" t="s">
        <v>54</v>
      </c>
      <c r="D1552" s="1" t="s">
        <v>13</v>
      </c>
      <c r="E1552" s="2">
        <v>42680</v>
      </c>
      <c r="F1552" s="2" t="b">
        <f t="shared" si="99"/>
        <v>1</v>
      </c>
      <c r="G1552" s="2">
        <f t="shared" si="97"/>
        <v>42680</v>
      </c>
      <c r="H1552" s="1" t="s">
        <v>46</v>
      </c>
      <c r="I1552" s="1" t="s">
        <v>822</v>
      </c>
      <c r="J1552" s="1">
        <v>500</v>
      </c>
      <c r="K1552" s="1">
        <v>485</v>
      </c>
      <c r="L1552" s="3">
        <v>0.03</v>
      </c>
      <c r="N1552" t="s">
        <v>3763</v>
      </c>
      <c r="S1552" s="4" t="e">
        <f t="shared" si="98"/>
        <v>#NUM!</v>
      </c>
      <c r="T1552" s="4" t="str">
        <f t="shared" si="96"/>
        <v/>
      </c>
      <c r="U1552" s="4" t="s">
        <v>3763</v>
      </c>
    </row>
    <row r="1553" spans="1:21" x14ac:dyDescent="0.3">
      <c r="A1553" t="s">
        <v>2125</v>
      </c>
      <c r="B1553" s="1" t="s">
        <v>118</v>
      </c>
      <c r="C1553" s="1" t="s">
        <v>119</v>
      </c>
      <c r="D1553" s="1" t="s">
        <v>35</v>
      </c>
      <c r="E1553" s="2">
        <v>42800</v>
      </c>
      <c r="F1553" s="2" t="b">
        <f t="shared" si="99"/>
        <v>1</v>
      </c>
      <c r="G1553" s="2">
        <f t="shared" si="97"/>
        <v>42800</v>
      </c>
      <c r="H1553" s="1" t="s">
        <v>46</v>
      </c>
      <c r="I1553" s="1" t="s">
        <v>540</v>
      </c>
      <c r="J1553" s="1">
        <v>500</v>
      </c>
      <c r="K1553" s="1">
        <v>495</v>
      </c>
      <c r="L1553" s="3">
        <v>0.01</v>
      </c>
      <c r="N1553" t="s">
        <v>3763</v>
      </c>
      <c r="S1553" s="4" t="e">
        <f t="shared" si="98"/>
        <v>#NUM!</v>
      </c>
      <c r="T1553" s="4" t="str">
        <f t="shared" si="96"/>
        <v/>
      </c>
      <c r="U1553" s="4" t="s">
        <v>3763</v>
      </c>
    </row>
    <row r="1554" spans="1:21" x14ac:dyDescent="0.3">
      <c r="A1554" t="s">
        <v>2126</v>
      </c>
      <c r="B1554" s="1" t="s">
        <v>400</v>
      </c>
      <c r="C1554" s="1" t="s">
        <v>401</v>
      </c>
      <c r="D1554" s="1" t="s">
        <v>13</v>
      </c>
      <c r="E1554" s="2" t="s">
        <v>3134</v>
      </c>
      <c r="F1554" s="2" t="b">
        <f t="shared" si="99"/>
        <v>0</v>
      </c>
      <c r="G1554" s="2">
        <f t="shared" si="97"/>
        <v>42994</v>
      </c>
      <c r="H1554" s="1" t="s">
        <v>122</v>
      </c>
      <c r="I1554" s="1" t="s">
        <v>618</v>
      </c>
      <c r="J1554" s="1">
        <v>50</v>
      </c>
      <c r="K1554" s="1">
        <v>49</v>
      </c>
      <c r="L1554" s="3">
        <v>0.02</v>
      </c>
      <c r="N1554" t="s">
        <v>3134</v>
      </c>
      <c r="P1554">
        <v>9</v>
      </c>
      <c r="Q1554">
        <v>16</v>
      </c>
      <c r="R1554">
        <v>2017</v>
      </c>
      <c r="S1554" s="4">
        <f t="shared" si="98"/>
        <v>42994</v>
      </c>
      <c r="T1554" s="4">
        <f t="shared" si="96"/>
        <v>42994</v>
      </c>
      <c r="U1554" s="4">
        <v>42994</v>
      </c>
    </row>
    <row r="1555" spans="1:21" x14ac:dyDescent="0.3">
      <c r="A1555" t="s">
        <v>2127</v>
      </c>
      <c r="B1555" s="1" t="s">
        <v>81</v>
      </c>
      <c r="C1555" s="1" t="s">
        <v>82</v>
      </c>
      <c r="D1555" s="1" t="s">
        <v>13</v>
      </c>
      <c r="E1555" s="2" t="s">
        <v>3337</v>
      </c>
      <c r="F1555" s="2" t="b">
        <f t="shared" si="99"/>
        <v>0</v>
      </c>
      <c r="G1555" s="2">
        <f t="shared" si="97"/>
        <v>43206</v>
      </c>
      <c r="H1555" s="1" t="s">
        <v>115</v>
      </c>
      <c r="I1555" s="1" t="s">
        <v>195</v>
      </c>
      <c r="J1555" s="1">
        <v>250</v>
      </c>
      <c r="K1555" s="1">
        <v>223</v>
      </c>
      <c r="L1555" s="3">
        <v>0.108</v>
      </c>
      <c r="N1555" t="s">
        <v>3337</v>
      </c>
      <c r="P1555">
        <v>4</v>
      </c>
      <c r="Q1555">
        <v>16</v>
      </c>
      <c r="R1555">
        <v>2018</v>
      </c>
      <c r="S1555" s="4">
        <f t="shared" si="98"/>
        <v>43206</v>
      </c>
      <c r="T1555" s="4">
        <f t="shared" si="96"/>
        <v>43206</v>
      </c>
      <c r="U1555" s="4">
        <v>43206</v>
      </c>
    </row>
    <row r="1556" spans="1:21" x14ac:dyDescent="0.3">
      <c r="A1556" t="s">
        <v>2128</v>
      </c>
      <c r="B1556" s="1" t="s">
        <v>49</v>
      </c>
      <c r="C1556" s="1" t="s">
        <v>50</v>
      </c>
      <c r="D1556" s="1" t="s">
        <v>24</v>
      </c>
      <c r="E1556" s="2">
        <v>43111</v>
      </c>
      <c r="F1556" s="2" t="b">
        <f t="shared" si="99"/>
        <v>1</v>
      </c>
      <c r="G1556" s="2">
        <f t="shared" si="97"/>
        <v>43111</v>
      </c>
      <c r="H1556" s="1" t="s">
        <v>36</v>
      </c>
      <c r="I1556" s="1" t="s">
        <v>51</v>
      </c>
      <c r="J1556" s="1">
        <v>50</v>
      </c>
      <c r="K1556" s="1">
        <v>43</v>
      </c>
      <c r="L1556" s="3">
        <v>0.14000000000000001</v>
      </c>
      <c r="N1556" t="s">
        <v>3763</v>
      </c>
      <c r="S1556" s="4" t="e">
        <f t="shared" si="98"/>
        <v>#NUM!</v>
      </c>
      <c r="T1556" s="4" t="str">
        <f t="shared" si="96"/>
        <v/>
      </c>
      <c r="U1556" s="4" t="s">
        <v>3763</v>
      </c>
    </row>
    <row r="1557" spans="1:21" x14ac:dyDescent="0.3">
      <c r="A1557" t="s">
        <v>2129</v>
      </c>
      <c r="B1557" s="1" t="s">
        <v>205</v>
      </c>
      <c r="C1557" s="1" t="s">
        <v>206</v>
      </c>
      <c r="D1557" s="1" t="s">
        <v>24</v>
      </c>
      <c r="E1557" s="2">
        <v>42471</v>
      </c>
      <c r="F1557" s="2" t="b">
        <f t="shared" si="99"/>
        <v>1</v>
      </c>
      <c r="G1557" s="2">
        <f t="shared" si="97"/>
        <v>42471</v>
      </c>
      <c r="H1557" s="1" t="s">
        <v>41</v>
      </c>
      <c r="I1557" s="1" t="s">
        <v>1872</v>
      </c>
      <c r="J1557" s="1">
        <v>30</v>
      </c>
      <c r="K1557" s="1">
        <v>30</v>
      </c>
      <c r="L1557" s="3">
        <v>0</v>
      </c>
      <c r="N1557" t="s">
        <v>3763</v>
      </c>
      <c r="S1557" s="4" t="e">
        <f t="shared" si="98"/>
        <v>#NUM!</v>
      </c>
      <c r="T1557" s="4" t="str">
        <f t="shared" si="96"/>
        <v/>
      </c>
      <c r="U1557" s="4" t="s">
        <v>3763</v>
      </c>
    </row>
    <row r="1558" spans="1:21" x14ac:dyDescent="0.3">
      <c r="A1558" t="s">
        <v>2130</v>
      </c>
      <c r="B1558" s="1" t="s">
        <v>44</v>
      </c>
      <c r="C1558" s="1" t="s">
        <v>45</v>
      </c>
      <c r="D1558" s="1" t="s">
        <v>24</v>
      </c>
      <c r="E1558" s="2">
        <v>42856</v>
      </c>
      <c r="F1558" s="2" t="b">
        <f t="shared" si="99"/>
        <v>1</v>
      </c>
      <c r="G1558" s="2">
        <f t="shared" si="97"/>
        <v>42856</v>
      </c>
      <c r="H1558" s="1" t="s">
        <v>25</v>
      </c>
      <c r="I1558" s="1" t="s">
        <v>1035</v>
      </c>
      <c r="J1558" s="1">
        <v>700</v>
      </c>
      <c r="K1558" s="1">
        <v>686</v>
      </c>
      <c r="L1558" s="3">
        <v>0.02</v>
      </c>
      <c r="N1558" t="s">
        <v>3763</v>
      </c>
      <c r="S1558" s="4" t="e">
        <f t="shared" si="98"/>
        <v>#NUM!</v>
      </c>
      <c r="T1558" s="4" t="str">
        <f t="shared" si="96"/>
        <v/>
      </c>
      <c r="U1558" s="4" t="s">
        <v>3763</v>
      </c>
    </row>
    <row r="1559" spans="1:21" x14ac:dyDescent="0.3">
      <c r="A1559" t="s">
        <v>2131</v>
      </c>
      <c r="B1559" s="1" t="s">
        <v>255</v>
      </c>
      <c r="C1559" s="1" t="s">
        <v>256</v>
      </c>
      <c r="D1559" s="1" t="s">
        <v>13</v>
      </c>
      <c r="E1559" s="2" t="s">
        <v>3001</v>
      </c>
      <c r="F1559" s="2" t="b">
        <f t="shared" si="99"/>
        <v>0</v>
      </c>
      <c r="G1559" s="2">
        <f t="shared" si="97"/>
        <v>41714</v>
      </c>
      <c r="H1559" s="1" t="s">
        <v>41</v>
      </c>
      <c r="I1559" s="1" t="s">
        <v>1097</v>
      </c>
      <c r="J1559" s="1">
        <v>30</v>
      </c>
      <c r="K1559" s="1">
        <v>24</v>
      </c>
      <c r="L1559" s="3">
        <v>0.2</v>
      </c>
      <c r="N1559" t="s">
        <v>3001</v>
      </c>
      <c r="P1559">
        <v>3</v>
      </c>
      <c r="Q1559">
        <v>16</v>
      </c>
      <c r="R1559">
        <v>2014</v>
      </c>
      <c r="S1559" s="4">
        <f t="shared" si="98"/>
        <v>41714</v>
      </c>
      <c r="T1559" s="4">
        <f t="shared" si="96"/>
        <v>41714</v>
      </c>
      <c r="U1559" s="4">
        <v>41714</v>
      </c>
    </row>
    <row r="1560" spans="1:21" x14ac:dyDescent="0.3">
      <c r="A1560" t="s">
        <v>2132</v>
      </c>
      <c r="B1560" s="1" t="s">
        <v>17</v>
      </c>
      <c r="C1560" s="1" t="s">
        <v>18</v>
      </c>
      <c r="D1560" s="1" t="s">
        <v>19</v>
      </c>
      <c r="E1560" s="2" t="s">
        <v>3530</v>
      </c>
      <c r="F1560" s="2" t="b">
        <f t="shared" si="99"/>
        <v>0</v>
      </c>
      <c r="G1560" s="2">
        <f t="shared" si="97"/>
        <v>42915</v>
      </c>
      <c r="H1560" s="1" t="s">
        <v>115</v>
      </c>
      <c r="I1560" s="1" t="s">
        <v>543</v>
      </c>
      <c r="J1560" s="1">
        <v>250</v>
      </c>
      <c r="K1560" s="1">
        <v>243</v>
      </c>
      <c r="L1560" s="3">
        <v>2.8000000000000001E-2</v>
      </c>
      <c r="N1560" t="s">
        <v>3530</v>
      </c>
      <c r="P1560">
        <v>6</v>
      </c>
      <c r="Q1560">
        <v>29</v>
      </c>
      <c r="R1560">
        <v>2017</v>
      </c>
      <c r="S1560" s="4">
        <f t="shared" si="98"/>
        <v>42915</v>
      </c>
      <c r="T1560" s="4">
        <f t="shared" si="96"/>
        <v>42915</v>
      </c>
      <c r="U1560" s="4">
        <v>42915</v>
      </c>
    </row>
    <row r="1561" spans="1:21" x14ac:dyDescent="0.3">
      <c r="A1561" t="s">
        <v>2133</v>
      </c>
      <c r="B1561" s="1" t="s">
        <v>255</v>
      </c>
      <c r="C1561" s="1" t="s">
        <v>256</v>
      </c>
      <c r="D1561" s="1" t="s">
        <v>13</v>
      </c>
      <c r="E1561" s="2" t="s">
        <v>3282</v>
      </c>
      <c r="F1561" s="2" t="b">
        <f t="shared" si="99"/>
        <v>0</v>
      </c>
      <c r="G1561" s="2">
        <f t="shared" si="97"/>
        <v>41774</v>
      </c>
      <c r="H1561" s="1" t="s">
        <v>30</v>
      </c>
      <c r="I1561" s="1" t="s">
        <v>805</v>
      </c>
      <c r="J1561" s="1">
        <v>150</v>
      </c>
      <c r="K1561" s="1">
        <v>140</v>
      </c>
      <c r="L1561" s="3">
        <v>6.6699999999999995E-2</v>
      </c>
      <c r="N1561" t="s">
        <v>3282</v>
      </c>
      <c r="P1561">
        <v>5</v>
      </c>
      <c r="Q1561">
        <v>15</v>
      </c>
      <c r="R1561">
        <v>2014</v>
      </c>
      <c r="S1561" s="4">
        <f t="shared" si="98"/>
        <v>41774</v>
      </c>
      <c r="T1561" s="4">
        <f t="shared" si="96"/>
        <v>41774</v>
      </c>
      <c r="U1561" s="4">
        <v>41774</v>
      </c>
    </row>
    <row r="1562" spans="1:21" x14ac:dyDescent="0.3">
      <c r="A1562" t="s">
        <v>2134</v>
      </c>
      <c r="B1562" s="1" t="s">
        <v>227</v>
      </c>
      <c r="C1562" s="1" t="s">
        <v>228</v>
      </c>
      <c r="D1562" s="1" t="s">
        <v>24</v>
      </c>
      <c r="E1562" s="2" t="s">
        <v>3345</v>
      </c>
      <c r="F1562" s="2" t="b">
        <f t="shared" si="99"/>
        <v>0</v>
      </c>
      <c r="G1562" s="2">
        <f t="shared" si="97"/>
        <v>41881</v>
      </c>
      <c r="H1562" s="1" t="s">
        <v>30</v>
      </c>
      <c r="I1562" s="1" t="s">
        <v>229</v>
      </c>
      <c r="J1562" s="1">
        <v>150</v>
      </c>
      <c r="K1562" s="1">
        <v>125</v>
      </c>
      <c r="L1562" s="3">
        <v>0.16669999999999999</v>
      </c>
      <c r="N1562" t="s">
        <v>3345</v>
      </c>
      <c r="P1562">
        <v>8</v>
      </c>
      <c r="Q1562">
        <v>30</v>
      </c>
      <c r="R1562">
        <v>2014</v>
      </c>
      <c r="S1562" s="4">
        <f t="shared" si="98"/>
        <v>41881</v>
      </c>
      <c r="T1562" s="4">
        <f t="shared" si="96"/>
        <v>41881</v>
      </c>
      <c r="U1562" s="4">
        <v>41881</v>
      </c>
    </row>
    <row r="1563" spans="1:21" x14ac:dyDescent="0.3">
      <c r="A1563" t="s">
        <v>2135</v>
      </c>
      <c r="B1563" s="1" t="s">
        <v>264</v>
      </c>
      <c r="C1563" s="1" t="s">
        <v>265</v>
      </c>
      <c r="D1563" s="1" t="s">
        <v>13</v>
      </c>
      <c r="E1563" s="2" t="s">
        <v>3598</v>
      </c>
      <c r="F1563" s="2" t="b">
        <f t="shared" si="99"/>
        <v>0</v>
      </c>
      <c r="G1563" s="2">
        <f t="shared" si="97"/>
        <v>42357</v>
      </c>
      <c r="H1563" s="1" t="s">
        <v>61</v>
      </c>
      <c r="I1563" s="1" t="s">
        <v>266</v>
      </c>
      <c r="J1563" s="1">
        <v>1000</v>
      </c>
      <c r="K1563" s="1">
        <v>950</v>
      </c>
      <c r="L1563" s="3">
        <v>0.05</v>
      </c>
      <c r="N1563" t="s">
        <v>3598</v>
      </c>
      <c r="P1563">
        <v>12</v>
      </c>
      <c r="Q1563">
        <v>19</v>
      </c>
      <c r="R1563">
        <v>2015</v>
      </c>
      <c r="S1563" s="4">
        <f t="shared" si="98"/>
        <v>42357</v>
      </c>
      <c r="T1563" s="4">
        <f t="shared" si="96"/>
        <v>42357</v>
      </c>
      <c r="U1563" s="4">
        <v>42357</v>
      </c>
    </row>
    <row r="1564" spans="1:21" x14ac:dyDescent="0.3">
      <c r="A1564" t="s">
        <v>2136</v>
      </c>
      <c r="B1564" s="1" t="s">
        <v>154</v>
      </c>
      <c r="C1564" s="1" t="s">
        <v>108</v>
      </c>
      <c r="D1564" s="1" t="s">
        <v>19</v>
      </c>
      <c r="E1564" s="2" t="s">
        <v>3594</v>
      </c>
      <c r="F1564" s="2" t="b">
        <f t="shared" si="99"/>
        <v>0</v>
      </c>
      <c r="G1564" s="2">
        <f t="shared" si="97"/>
        <v>42962</v>
      </c>
      <c r="H1564" s="1" t="s">
        <v>30</v>
      </c>
      <c r="I1564" s="1" t="s">
        <v>155</v>
      </c>
      <c r="J1564" s="1">
        <v>150</v>
      </c>
      <c r="K1564" s="1">
        <v>141</v>
      </c>
      <c r="L1564" s="3">
        <v>0.06</v>
      </c>
      <c r="N1564" t="s">
        <v>3594</v>
      </c>
      <c r="P1564">
        <v>8</v>
      </c>
      <c r="Q1564">
        <v>15</v>
      </c>
      <c r="R1564">
        <v>2017</v>
      </c>
      <c r="S1564" s="4">
        <f t="shared" si="98"/>
        <v>42962</v>
      </c>
      <c r="T1564" s="4">
        <f t="shared" si="96"/>
        <v>42962</v>
      </c>
      <c r="U1564" s="4">
        <v>42962</v>
      </c>
    </row>
    <row r="1565" spans="1:21" x14ac:dyDescent="0.3">
      <c r="A1565" t="s">
        <v>2137</v>
      </c>
      <c r="B1565" s="1" t="s">
        <v>95</v>
      </c>
      <c r="C1565" s="1" t="s">
        <v>96</v>
      </c>
      <c r="D1565" s="1" t="s">
        <v>13</v>
      </c>
      <c r="E1565" s="2" t="s">
        <v>3055</v>
      </c>
      <c r="F1565" s="2" t="b">
        <f t="shared" si="99"/>
        <v>0</v>
      </c>
      <c r="G1565" s="2">
        <f t="shared" si="97"/>
        <v>42171</v>
      </c>
      <c r="H1565" s="1" t="s">
        <v>30</v>
      </c>
      <c r="I1565" s="1" t="s">
        <v>2138</v>
      </c>
      <c r="J1565" s="1">
        <v>150</v>
      </c>
      <c r="K1565" s="1">
        <v>114</v>
      </c>
      <c r="L1565" s="3">
        <v>0.24</v>
      </c>
      <c r="N1565" t="s">
        <v>3055</v>
      </c>
      <c r="P1565">
        <v>6</v>
      </c>
      <c r="Q1565">
        <v>16</v>
      </c>
      <c r="R1565">
        <v>2015</v>
      </c>
      <c r="S1565" s="4">
        <f t="shared" si="98"/>
        <v>42171</v>
      </c>
      <c r="T1565" s="4">
        <f t="shared" si="96"/>
        <v>42171</v>
      </c>
      <c r="U1565" s="4">
        <v>42171</v>
      </c>
    </row>
    <row r="1566" spans="1:21" x14ac:dyDescent="0.3">
      <c r="A1566" t="s">
        <v>2139</v>
      </c>
      <c r="B1566" s="1" t="s">
        <v>91</v>
      </c>
      <c r="C1566" s="1" t="s">
        <v>92</v>
      </c>
      <c r="D1566" s="1" t="s">
        <v>35</v>
      </c>
      <c r="E1566" s="2" t="s">
        <v>3599</v>
      </c>
      <c r="F1566" s="2" t="b">
        <f t="shared" si="99"/>
        <v>0</v>
      </c>
      <c r="G1566" s="2">
        <f t="shared" si="97"/>
        <v>42966</v>
      </c>
      <c r="H1566" s="1" t="s">
        <v>115</v>
      </c>
      <c r="I1566" s="1" t="s">
        <v>1513</v>
      </c>
      <c r="J1566" s="1">
        <v>250</v>
      </c>
      <c r="K1566" s="1">
        <v>230</v>
      </c>
      <c r="L1566" s="3">
        <v>0.08</v>
      </c>
      <c r="N1566" t="s">
        <v>3599</v>
      </c>
      <c r="P1566">
        <v>8</v>
      </c>
      <c r="Q1566">
        <v>19</v>
      </c>
      <c r="R1566">
        <v>2017</v>
      </c>
      <c r="S1566" s="4">
        <f t="shared" si="98"/>
        <v>42966</v>
      </c>
      <c r="T1566" s="4">
        <f t="shared" si="96"/>
        <v>42966</v>
      </c>
      <c r="U1566" s="4">
        <v>42966</v>
      </c>
    </row>
    <row r="1567" spans="1:21" x14ac:dyDescent="0.3">
      <c r="A1567" t="s">
        <v>2140</v>
      </c>
      <c r="B1567" s="1" t="s">
        <v>107</v>
      </c>
      <c r="C1567" s="1" t="s">
        <v>108</v>
      </c>
      <c r="D1567" s="1" t="s">
        <v>19</v>
      </c>
      <c r="E1567" s="2">
        <v>41766</v>
      </c>
      <c r="F1567" s="2" t="b">
        <f t="shared" si="99"/>
        <v>1</v>
      </c>
      <c r="G1567" s="2">
        <f t="shared" si="97"/>
        <v>41766</v>
      </c>
      <c r="H1567" s="1" t="s">
        <v>122</v>
      </c>
      <c r="I1567" s="1" t="s">
        <v>817</v>
      </c>
      <c r="J1567" s="1">
        <v>50</v>
      </c>
      <c r="K1567" s="1">
        <v>41</v>
      </c>
      <c r="L1567" s="3">
        <v>0.18</v>
      </c>
      <c r="N1567" t="s">
        <v>3763</v>
      </c>
      <c r="S1567" s="4" t="e">
        <f t="shared" si="98"/>
        <v>#NUM!</v>
      </c>
      <c r="T1567" s="4" t="str">
        <f t="shared" si="96"/>
        <v/>
      </c>
      <c r="U1567" s="4" t="s">
        <v>3763</v>
      </c>
    </row>
    <row r="1568" spans="1:21" x14ac:dyDescent="0.3">
      <c r="A1568" t="s">
        <v>2141</v>
      </c>
      <c r="B1568" s="1" t="s">
        <v>154</v>
      </c>
      <c r="C1568" s="1" t="s">
        <v>108</v>
      </c>
      <c r="D1568" s="1" t="s">
        <v>19</v>
      </c>
      <c r="E1568" s="2" t="s">
        <v>3600</v>
      </c>
      <c r="F1568" s="2" t="b">
        <f t="shared" si="99"/>
        <v>0</v>
      </c>
      <c r="G1568" s="2">
        <f t="shared" si="97"/>
        <v>42093</v>
      </c>
      <c r="H1568" s="1" t="s">
        <v>55</v>
      </c>
      <c r="I1568" s="1" t="s">
        <v>352</v>
      </c>
      <c r="J1568" s="1">
        <v>800</v>
      </c>
      <c r="K1568" s="1">
        <v>792</v>
      </c>
      <c r="L1568" s="3">
        <v>0.01</v>
      </c>
      <c r="N1568" t="s">
        <v>3600</v>
      </c>
      <c r="P1568">
        <v>3</v>
      </c>
      <c r="Q1568">
        <v>30</v>
      </c>
      <c r="R1568">
        <v>2015</v>
      </c>
      <c r="S1568" s="4">
        <f t="shared" si="98"/>
        <v>42093</v>
      </c>
      <c r="T1568" s="4">
        <f t="shared" si="96"/>
        <v>42093</v>
      </c>
      <c r="U1568" s="4">
        <v>42093</v>
      </c>
    </row>
    <row r="1569" spans="1:21" x14ac:dyDescent="0.3">
      <c r="A1569" t="s">
        <v>2142</v>
      </c>
      <c r="B1569" s="1" t="s">
        <v>227</v>
      </c>
      <c r="C1569" s="1" t="s">
        <v>228</v>
      </c>
      <c r="D1569" s="1" t="s">
        <v>24</v>
      </c>
      <c r="E1569" s="2">
        <v>41710</v>
      </c>
      <c r="F1569" s="2" t="b">
        <f t="shared" si="99"/>
        <v>1</v>
      </c>
      <c r="G1569" s="2">
        <f t="shared" si="97"/>
        <v>41710</v>
      </c>
      <c r="H1569" s="1" t="s">
        <v>14</v>
      </c>
      <c r="I1569" s="1" t="s">
        <v>278</v>
      </c>
      <c r="J1569" s="1">
        <v>80</v>
      </c>
      <c r="K1569" s="1">
        <v>64</v>
      </c>
      <c r="L1569" s="3">
        <v>0.2</v>
      </c>
      <c r="N1569" t="s">
        <v>3763</v>
      </c>
      <c r="S1569" s="4" t="e">
        <f t="shared" si="98"/>
        <v>#NUM!</v>
      </c>
      <c r="T1569" s="4" t="str">
        <f t="shared" si="96"/>
        <v/>
      </c>
      <c r="U1569" s="4" t="s">
        <v>3763</v>
      </c>
    </row>
    <row r="1570" spans="1:21" x14ac:dyDescent="0.3">
      <c r="A1570" t="s">
        <v>2143</v>
      </c>
      <c r="B1570" s="1" t="s">
        <v>182</v>
      </c>
      <c r="C1570" s="1" t="s">
        <v>108</v>
      </c>
      <c r="D1570" s="1" t="s">
        <v>19</v>
      </c>
      <c r="E1570" s="2" t="s">
        <v>3238</v>
      </c>
      <c r="F1570" s="2" t="b">
        <f t="shared" si="99"/>
        <v>0</v>
      </c>
      <c r="G1570" s="2">
        <f t="shared" si="97"/>
        <v>41928</v>
      </c>
      <c r="H1570" s="1" t="s">
        <v>14</v>
      </c>
      <c r="I1570" s="1" t="s">
        <v>1432</v>
      </c>
      <c r="J1570" s="1">
        <v>80</v>
      </c>
      <c r="K1570" s="1">
        <v>62</v>
      </c>
      <c r="L1570" s="3">
        <v>0.22500000000000001</v>
      </c>
      <c r="N1570" t="s">
        <v>3238</v>
      </c>
      <c r="P1570">
        <v>10</v>
      </c>
      <c r="Q1570">
        <v>16</v>
      </c>
      <c r="R1570">
        <v>2014</v>
      </c>
      <c r="S1570" s="4">
        <f t="shared" si="98"/>
        <v>41928</v>
      </c>
      <c r="T1570" s="4">
        <f t="shared" si="96"/>
        <v>41928</v>
      </c>
      <c r="U1570" s="4">
        <v>41928</v>
      </c>
    </row>
    <row r="1571" spans="1:21" x14ac:dyDescent="0.3">
      <c r="A1571" t="s">
        <v>2144</v>
      </c>
      <c r="B1571" s="1" t="s">
        <v>22</v>
      </c>
      <c r="C1571" s="1" t="s">
        <v>23</v>
      </c>
      <c r="D1571" s="1" t="s">
        <v>24</v>
      </c>
      <c r="E1571" s="2">
        <v>42126</v>
      </c>
      <c r="F1571" s="2" t="b">
        <f t="shared" si="99"/>
        <v>1</v>
      </c>
      <c r="G1571" s="2">
        <f t="shared" si="97"/>
        <v>42126</v>
      </c>
      <c r="H1571" s="1" t="s">
        <v>72</v>
      </c>
      <c r="I1571" s="1" t="s">
        <v>624</v>
      </c>
      <c r="J1571" s="1">
        <v>500</v>
      </c>
      <c r="K1571" s="1">
        <v>495</v>
      </c>
      <c r="L1571" s="3">
        <v>0.01</v>
      </c>
      <c r="N1571" t="s">
        <v>3763</v>
      </c>
      <c r="S1571" s="4" t="e">
        <f t="shared" si="98"/>
        <v>#NUM!</v>
      </c>
      <c r="T1571" s="4" t="str">
        <f t="shared" si="96"/>
        <v/>
      </c>
      <c r="U1571" s="4" t="s">
        <v>3763</v>
      </c>
    </row>
    <row r="1572" spans="1:21" x14ac:dyDescent="0.3">
      <c r="A1572" t="s">
        <v>2145</v>
      </c>
      <c r="B1572" s="1" t="s">
        <v>28</v>
      </c>
      <c r="C1572" s="1" t="s">
        <v>29</v>
      </c>
      <c r="D1572" s="1" t="s">
        <v>13</v>
      </c>
      <c r="E1572" s="2" t="s">
        <v>3601</v>
      </c>
      <c r="F1572" s="2" t="b">
        <f t="shared" si="99"/>
        <v>0</v>
      </c>
      <c r="G1572" s="2">
        <f t="shared" si="97"/>
        <v>42062</v>
      </c>
      <c r="H1572" s="1" t="s">
        <v>72</v>
      </c>
      <c r="I1572" s="1" t="s">
        <v>469</v>
      </c>
      <c r="J1572" s="1">
        <v>500</v>
      </c>
      <c r="K1572" s="1">
        <v>500</v>
      </c>
      <c r="L1572" s="3">
        <v>0</v>
      </c>
      <c r="N1572" t="s">
        <v>3601</v>
      </c>
      <c r="P1572">
        <v>2</v>
      </c>
      <c r="Q1572">
        <v>27</v>
      </c>
      <c r="R1572">
        <v>2015</v>
      </c>
      <c r="S1572" s="4">
        <f t="shared" si="98"/>
        <v>42062</v>
      </c>
      <c r="T1572" s="4">
        <f t="shared" si="96"/>
        <v>42062</v>
      </c>
      <c r="U1572" s="4">
        <v>42062</v>
      </c>
    </row>
    <row r="1573" spans="1:21" x14ac:dyDescent="0.3">
      <c r="A1573" t="s">
        <v>2146</v>
      </c>
      <c r="B1573" s="1" t="s">
        <v>118</v>
      </c>
      <c r="C1573" s="1" t="s">
        <v>119</v>
      </c>
      <c r="D1573" s="1" t="s">
        <v>35</v>
      </c>
      <c r="E1573" s="2">
        <v>41737</v>
      </c>
      <c r="F1573" s="2" t="b">
        <f t="shared" si="99"/>
        <v>1</v>
      </c>
      <c r="G1573" s="2">
        <f t="shared" si="97"/>
        <v>41737</v>
      </c>
      <c r="H1573" s="1" t="s">
        <v>46</v>
      </c>
      <c r="I1573" s="1" t="s">
        <v>540</v>
      </c>
      <c r="J1573" s="1">
        <v>500</v>
      </c>
      <c r="K1573" s="1">
        <v>495</v>
      </c>
      <c r="L1573" s="3">
        <v>0.01</v>
      </c>
      <c r="N1573" t="s">
        <v>3763</v>
      </c>
      <c r="S1573" s="4" t="e">
        <f t="shared" si="98"/>
        <v>#NUM!</v>
      </c>
      <c r="T1573" s="4" t="str">
        <f t="shared" si="96"/>
        <v/>
      </c>
      <c r="U1573" s="4" t="s">
        <v>3763</v>
      </c>
    </row>
    <row r="1574" spans="1:21" x14ac:dyDescent="0.3">
      <c r="A1574" t="s">
        <v>2147</v>
      </c>
      <c r="B1574" s="1" t="s">
        <v>170</v>
      </c>
      <c r="C1574" s="1" t="s">
        <v>171</v>
      </c>
      <c r="D1574" s="1" t="s">
        <v>13</v>
      </c>
      <c r="E1574" s="2">
        <v>41955</v>
      </c>
      <c r="F1574" s="2" t="b">
        <f t="shared" si="99"/>
        <v>1</v>
      </c>
      <c r="G1574" s="2">
        <f t="shared" si="97"/>
        <v>41955</v>
      </c>
      <c r="H1574" s="1" t="s">
        <v>115</v>
      </c>
      <c r="I1574" s="1" t="s">
        <v>518</v>
      </c>
      <c r="J1574" s="1">
        <v>250</v>
      </c>
      <c r="K1574" s="1">
        <v>248</v>
      </c>
      <c r="L1574" s="3">
        <v>8.0000000000000002E-3</v>
      </c>
      <c r="N1574" t="s">
        <v>3763</v>
      </c>
      <c r="S1574" s="4" t="e">
        <f t="shared" si="98"/>
        <v>#NUM!</v>
      </c>
      <c r="T1574" s="4" t="str">
        <f t="shared" si="96"/>
        <v/>
      </c>
      <c r="U1574" s="4" t="s">
        <v>3763</v>
      </c>
    </row>
    <row r="1575" spans="1:21" x14ac:dyDescent="0.3">
      <c r="A1575" t="s">
        <v>2148</v>
      </c>
      <c r="B1575" s="1" t="s">
        <v>103</v>
      </c>
      <c r="C1575" s="1" t="s">
        <v>71</v>
      </c>
      <c r="D1575" s="1" t="s">
        <v>35</v>
      </c>
      <c r="E1575" s="2">
        <v>43230</v>
      </c>
      <c r="F1575" s="2" t="b">
        <f t="shared" si="99"/>
        <v>1</v>
      </c>
      <c r="G1575" s="2">
        <f t="shared" si="97"/>
        <v>43230</v>
      </c>
      <c r="H1575" s="1" t="s">
        <v>55</v>
      </c>
      <c r="I1575" s="1" t="s">
        <v>1531</v>
      </c>
      <c r="J1575" s="1">
        <v>800</v>
      </c>
      <c r="K1575" s="1">
        <v>712</v>
      </c>
      <c r="L1575" s="3">
        <v>0.11</v>
      </c>
      <c r="N1575" t="s">
        <v>3763</v>
      </c>
      <c r="S1575" s="4" t="e">
        <f t="shared" si="98"/>
        <v>#NUM!</v>
      </c>
      <c r="T1575" s="4" t="str">
        <f t="shared" si="96"/>
        <v/>
      </c>
      <c r="U1575" s="4" t="s">
        <v>3763</v>
      </c>
    </row>
    <row r="1576" spans="1:21" x14ac:dyDescent="0.3">
      <c r="A1576" t="s">
        <v>2149</v>
      </c>
      <c r="B1576" s="1" t="s">
        <v>64</v>
      </c>
      <c r="C1576" s="1" t="s">
        <v>65</v>
      </c>
      <c r="D1576" s="1" t="s">
        <v>35</v>
      </c>
      <c r="E1576" s="2" t="s">
        <v>3602</v>
      </c>
      <c r="F1576" s="2" t="b">
        <f t="shared" si="99"/>
        <v>0</v>
      </c>
      <c r="G1576" s="2">
        <f t="shared" si="97"/>
        <v>43004</v>
      </c>
      <c r="H1576" s="1" t="s">
        <v>36</v>
      </c>
      <c r="I1576" s="1" t="s">
        <v>1057</v>
      </c>
      <c r="J1576" s="1">
        <v>50</v>
      </c>
      <c r="K1576" s="1">
        <v>50</v>
      </c>
      <c r="L1576" s="3">
        <v>0</v>
      </c>
      <c r="N1576" t="s">
        <v>3602</v>
      </c>
      <c r="P1576">
        <v>9</v>
      </c>
      <c r="Q1576">
        <v>26</v>
      </c>
      <c r="R1576">
        <v>2017</v>
      </c>
      <c r="S1576" s="4">
        <f t="shared" si="98"/>
        <v>43004</v>
      </c>
      <c r="T1576" s="4">
        <f t="shared" si="96"/>
        <v>43004</v>
      </c>
      <c r="U1576" s="4">
        <v>43004</v>
      </c>
    </row>
    <row r="1577" spans="1:21" x14ac:dyDescent="0.3">
      <c r="A1577" t="s">
        <v>2150</v>
      </c>
      <c r="B1577" s="1" t="s">
        <v>127</v>
      </c>
      <c r="C1577" s="1" t="s">
        <v>128</v>
      </c>
      <c r="D1577" s="1" t="s">
        <v>13</v>
      </c>
      <c r="E1577" s="2" t="s">
        <v>3171</v>
      </c>
      <c r="F1577" s="2" t="b">
        <f t="shared" si="99"/>
        <v>0</v>
      </c>
      <c r="G1577" s="2">
        <f t="shared" si="97"/>
        <v>41686</v>
      </c>
      <c r="H1577" s="1" t="s">
        <v>46</v>
      </c>
      <c r="I1577" s="1" t="s">
        <v>526</v>
      </c>
      <c r="J1577" s="1">
        <v>500</v>
      </c>
      <c r="K1577" s="1">
        <v>485</v>
      </c>
      <c r="L1577" s="3">
        <v>0.03</v>
      </c>
      <c r="N1577" t="s">
        <v>3171</v>
      </c>
      <c r="P1577">
        <v>2</v>
      </c>
      <c r="Q1577">
        <v>16</v>
      </c>
      <c r="R1577">
        <v>2014</v>
      </c>
      <c r="S1577" s="4">
        <f t="shared" si="98"/>
        <v>41686</v>
      </c>
      <c r="T1577" s="4">
        <f t="shared" si="96"/>
        <v>41686</v>
      </c>
      <c r="U1577" s="4">
        <v>41686</v>
      </c>
    </row>
    <row r="1578" spans="1:21" x14ac:dyDescent="0.3">
      <c r="A1578" t="s">
        <v>2151</v>
      </c>
      <c r="B1578" s="1" t="s">
        <v>150</v>
      </c>
      <c r="C1578" s="1" t="s">
        <v>151</v>
      </c>
      <c r="D1578" s="1" t="s">
        <v>13</v>
      </c>
      <c r="E1578" s="2">
        <v>42470</v>
      </c>
      <c r="F1578" s="2" t="b">
        <f t="shared" si="99"/>
        <v>1</v>
      </c>
      <c r="G1578" s="2">
        <f t="shared" si="97"/>
        <v>42470</v>
      </c>
      <c r="H1578" s="1" t="s">
        <v>72</v>
      </c>
      <c r="I1578" s="1" t="s">
        <v>2108</v>
      </c>
      <c r="J1578" s="1">
        <v>500</v>
      </c>
      <c r="K1578" s="1">
        <v>500</v>
      </c>
      <c r="L1578" s="3">
        <v>0</v>
      </c>
      <c r="N1578" t="s">
        <v>3763</v>
      </c>
      <c r="S1578" s="4" t="e">
        <f t="shared" si="98"/>
        <v>#NUM!</v>
      </c>
      <c r="T1578" s="4" t="str">
        <f t="shared" si="96"/>
        <v/>
      </c>
      <c r="U1578" s="4" t="s">
        <v>3763</v>
      </c>
    </row>
    <row r="1579" spans="1:21" x14ac:dyDescent="0.3">
      <c r="A1579" t="s">
        <v>2152</v>
      </c>
      <c r="B1579" s="1" t="s">
        <v>270</v>
      </c>
      <c r="C1579" s="1" t="s">
        <v>271</v>
      </c>
      <c r="D1579" s="1" t="s">
        <v>35</v>
      </c>
      <c r="E1579" s="2">
        <v>43193</v>
      </c>
      <c r="F1579" s="2" t="b">
        <f t="shared" si="99"/>
        <v>1</v>
      </c>
      <c r="G1579" s="2">
        <f t="shared" si="97"/>
        <v>43193</v>
      </c>
      <c r="H1579" s="1" t="s">
        <v>104</v>
      </c>
      <c r="I1579" s="1" t="s">
        <v>809</v>
      </c>
      <c r="J1579" s="1">
        <v>70</v>
      </c>
      <c r="K1579" s="1">
        <v>69</v>
      </c>
      <c r="L1579" s="3">
        <v>1.43E-2</v>
      </c>
      <c r="N1579" t="s">
        <v>3763</v>
      </c>
      <c r="S1579" s="4" t="e">
        <f t="shared" si="98"/>
        <v>#NUM!</v>
      </c>
      <c r="T1579" s="4" t="str">
        <f t="shared" si="96"/>
        <v/>
      </c>
      <c r="U1579" s="4" t="s">
        <v>3763</v>
      </c>
    </row>
    <row r="1580" spans="1:21" x14ac:dyDescent="0.3">
      <c r="A1580" t="s">
        <v>2153</v>
      </c>
      <c r="B1580" s="1" t="s">
        <v>11</v>
      </c>
      <c r="C1580" s="1" t="s">
        <v>12</v>
      </c>
      <c r="D1580" s="1" t="s">
        <v>13</v>
      </c>
      <c r="E1580" s="2">
        <v>42646</v>
      </c>
      <c r="F1580" s="2" t="b">
        <f t="shared" si="99"/>
        <v>1</v>
      </c>
      <c r="G1580" s="2">
        <f t="shared" si="97"/>
        <v>42646</v>
      </c>
      <c r="H1580" s="1" t="s">
        <v>14</v>
      </c>
      <c r="I1580" s="1" t="s">
        <v>348</v>
      </c>
      <c r="J1580" s="1">
        <v>80</v>
      </c>
      <c r="K1580" s="1">
        <v>77</v>
      </c>
      <c r="L1580" s="3">
        <v>3.7499999999999999E-2</v>
      </c>
      <c r="N1580" t="s">
        <v>3763</v>
      </c>
      <c r="S1580" s="4" t="e">
        <f t="shared" si="98"/>
        <v>#NUM!</v>
      </c>
      <c r="T1580" s="4" t="str">
        <f t="shared" si="96"/>
        <v/>
      </c>
      <c r="U1580" s="4" t="s">
        <v>3763</v>
      </c>
    </row>
    <row r="1581" spans="1:21" x14ac:dyDescent="0.3">
      <c r="A1581" t="s">
        <v>2154</v>
      </c>
      <c r="B1581" s="1" t="s">
        <v>434</v>
      </c>
      <c r="C1581" s="1" t="s">
        <v>435</v>
      </c>
      <c r="D1581" s="1" t="s">
        <v>24</v>
      </c>
      <c r="E1581" s="2">
        <v>42434</v>
      </c>
      <c r="F1581" s="2" t="b">
        <f t="shared" si="99"/>
        <v>1</v>
      </c>
      <c r="G1581" s="2">
        <f t="shared" si="97"/>
        <v>42434</v>
      </c>
      <c r="H1581" s="1" t="s">
        <v>14</v>
      </c>
      <c r="I1581" s="1" t="s">
        <v>764</v>
      </c>
      <c r="J1581" s="1">
        <v>80</v>
      </c>
      <c r="K1581" s="1">
        <v>76</v>
      </c>
      <c r="L1581" s="3">
        <v>0.05</v>
      </c>
      <c r="N1581" t="s">
        <v>3763</v>
      </c>
      <c r="S1581" s="4" t="e">
        <f t="shared" si="98"/>
        <v>#NUM!</v>
      </c>
      <c r="T1581" s="4" t="str">
        <f t="shared" si="96"/>
        <v/>
      </c>
      <c r="U1581" s="4" t="s">
        <v>3763</v>
      </c>
    </row>
    <row r="1582" spans="1:21" x14ac:dyDescent="0.3">
      <c r="A1582" t="s">
        <v>2155</v>
      </c>
      <c r="B1582" s="1" t="s">
        <v>187</v>
      </c>
      <c r="C1582" s="1" t="s">
        <v>188</v>
      </c>
      <c r="D1582" s="1" t="s">
        <v>13</v>
      </c>
      <c r="E1582" s="2" t="s">
        <v>3597</v>
      </c>
      <c r="F1582" s="2" t="b">
        <f t="shared" si="99"/>
        <v>0</v>
      </c>
      <c r="G1582" s="2">
        <f t="shared" si="97"/>
        <v>42538</v>
      </c>
      <c r="H1582" s="1" t="s">
        <v>104</v>
      </c>
      <c r="I1582" s="1" t="s">
        <v>741</v>
      </c>
      <c r="J1582" s="1">
        <v>70</v>
      </c>
      <c r="K1582" s="1">
        <v>65</v>
      </c>
      <c r="L1582" s="3">
        <v>7.1400000000000005E-2</v>
      </c>
      <c r="N1582" t="s">
        <v>3597</v>
      </c>
      <c r="P1582">
        <v>6</v>
      </c>
      <c r="Q1582">
        <v>17</v>
      </c>
      <c r="R1582">
        <v>2016</v>
      </c>
      <c r="S1582" s="4">
        <f t="shared" si="98"/>
        <v>42538</v>
      </c>
      <c r="T1582" s="4">
        <f t="shared" si="96"/>
        <v>42538</v>
      </c>
      <c r="U1582" s="4">
        <v>42538</v>
      </c>
    </row>
    <row r="1583" spans="1:21" x14ac:dyDescent="0.3">
      <c r="A1583" t="s">
        <v>2156</v>
      </c>
      <c r="B1583" s="1" t="s">
        <v>44</v>
      </c>
      <c r="C1583" s="1" t="s">
        <v>45</v>
      </c>
      <c r="D1583" s="1" t="s">
        <v>24</v>
      </c>
      <c r="E1583" s="2" t="s">
        <v>3441</v>
      </c>
      <c r="F1583" s="2" t="b">
        <f t="shared" si="99"/>
        <v>0</v>
      </c>
      <c r="G1583" s="2">
        <f t="shared" si="97"/>
        <v>41718</v>
      </c>
      <c r="H1583" s="1" t="s">
        <v>36</v>
      </c>
      <c r="I1583" s="1" t="s">
        <v>1102</v>
      </c>
      <c r="J1583" s="1">
        <v>50</v>
      </c>
      <c r="K1583" s="1">
        <v>37</v>
      </c>
      <c r="L1583" s="3">
        <v>0.26</v>
      </c>
      <c r="N1583" t="s">
        <v>3441</v>
      </c>
      <c r="P1583">
        <v>3</v>
      </c>
      <c r="Q1583">
        <v>20</v>
      </c>
      <c r="R1583">
        <v>2014</v>
      </c>
      <c r="S1583" s="4">
        <f t="shared" si="98"/>
        <v>41718</v>
      </c>
      <c r="T1583" s="4">
        <f t="shared" si="96"/>
        <v>41718</v>
      </c>
      <c r="U1583" s="4">
        <v>41718</v>
      </c>
    </row>
    <row r="1584" spans="1:21" x14ac:dyDescent="0.3">
      <c r="A1584" t="s">
        <v>2157</v>
      </c>
      <c r="B1584" s="1" t="s">
        <v>224</v>
      </c>
      <c r="C1584" s="1" t="s">
        <v>50</v>
      </c>
      <c r="D1584" s="1" t="s">
        <v>24</v>
      </c>
      <c r="E1584" s="2">
        <v>43075</v>
      </c>
      <c r="F1584" s="2" t="b">
        <f t="shared" si="99"/>
        <v>1</v>
      </c>
      <c r="G1584" s="2">
        <f t="shared" si="97"/>
        <v>43075</v>
      </c>
      <c r="H1584" s="1" t="s">
        <v>72</v>
      </c>
      <c r="I1584" s="1" t="s">
        <v>413</v>
      </c>
      <c r="J1584" s="1">
        <v>500</v>
      </c>
      <c r="K1584" s="1">
        <v>500</v>
      </c>
      <c r="L1584" s="3">
        <v>0</v>
      </c>
      <c r="N1584" t="s">
        <v>3763</v>
      </c>
      <c r="S1584" s="4" t="e">
        <f t="shared" si="98"/>
        <v>#NUM!</v>
      </c>
      <c r="T1584" s="4" t="str">
        <f t="shared" si="96"/>
        <v/>
      </c>
      <c r="U1584" s="4" t="s">
        <v>3763</v>
      </c>
    </row>
    <row r="1585" spans="1:21" x14ac:dyDescent="0.3">
      <c r="A1585" t="s">
        <v>2158</v>
      </c>
      <c r="B1585" s="1" t="s">
        <v>77</v>
      </c>
      <c r="C1585" s="1" t="s">
        <v>78</v>
      </c>
      <c r="D1585" s="1" t="s">
        <v>35</v>
      </c>
      <c r="E1585" s="2">
        <v>42856</v>
      </c>
      <c r="F1585" s="2" t="b">
        <f t="shared" si="99"/>
        <v>1</v>
      </c>
      <c r="G1585" s="2">
        <f t="shared" si="97"/>
        <v>42856</v>
      </c>
      <c r="H1585" s="1" t="s">
        <v>36</v>
      </c>
      <c r="I1585" s="1" t="s">
        <v>1093</v>
      </c>
      <c r="J1585" s="1">
        <v>50</v>
      </c>
      <c r="K1585" s="1">
        <v>50</v>
      </c>
      <c r="L1585" s="3">
        <v>0</v>
      </c>
      <c r="N1585" t="s">
        <v>3763</v>
      </c>
      <c r="S1585" s="4" t="e">
        <f t="shared" si="98"/>
        <v>#NUM!</v>
      </c>
      <c r="T1585" s="4" t="str">
        <f t="shared" si="96"/>
        <v/>
      </c>
      <c r="U1585" s="4" t="s">
        <v>3763</v>
      </c>
    </row>
    <row r="1586" spans="1:21" x14ac:dyDescent="0.3">
      <c r="A1586" t="s">
        <v>2159</v>
      </c>
      <c r="B1586" s="1" t="s">
        <v>154</v>
      </c>
      <c r="C1586" s="1" t="s">
        <v>108</v>
      </c>
      <c r="D1586" s="1" t="s">
        <v>19</v>
      </c>
      <c r="E1586" s="2" t="s">
        <v>3410</v>
      </c>
      <c r="F1586" s="2" t="b">
        <f t="shared" si="99"/>
        <v>0</v>
      </c>
      <c r="G1586" s="2">
        <f t="shared" si="97"/>
        <v>43265</v>
      </c>
      <c r="H1586" s="1" t="s">
        <v>14</v>
      </c>
      <c r="I1586" s="1" t="s">
        <v>352</v>
      </c>
      <c r="J1586" s="1">
        <v>80</v>
      </c>
      <c r="K1586" s="1">
        <v>73</v>
      </c>
      <c r="L1586" s="3">
        <v>8.7499999999999994E-2</v>
      </c>
      <c r="N1586" t="s">
        <v>3410</v>
      </c>
      <c r="P1586">
        <v>6</v>
      </c>
      <c r="Q1586">
        <v>14</v>
      </c>
      <c r="R1586">
        <v>2018</v>
      </c>
      <c r="S1586" s="4">
        <f t="shared" si="98"/>
        <v>43265</v>
      </c>
      <c r="T1586" s="4">
        <f t="shared" si="96"/>
        <v>43265</v>
      </c>
      <c r="U1586" s="4">
        <v>43265</v>
      </c>
    </row>
    <row r="1587" spans="1:21" x14ac:dyDescent="0.3">
      <c r="A1587" t="s">
        <v>2160</v>
      </c>
      <c r="B1587" s="1" t="s">
        <v>434</v>
      </c>
      <c r="C1587" s="1" t="s">
        <v>435</v>
      </c>
      <c r="D1587" s="1" t="s">
        <v>24</v>
      </c>
      <c r="E1587" s="2">
        <v>42767</v>
      </c>
      <c r="F1587" s="2" t="b">
        <f t="shared" si="99"/>
        <v>1</v>
      </c>
      <c r="G1587" s="2">
        <f t="shared" si="97"/>
        <v>42767</v>
      </c>
      <c r="H1587" s="1" t="s">
        <v>25</v>
      </c>
      <c r="I1587" s="1" t="s">
        <v>462</v>
      </c>
      <c r="J1587" s="1">
        <v>700</v>
      </c>
      <c r="K1587" s="1">
        <v>637</v>
      </c>
      <c r="L1587" s="3">
        <v>0.09</v>
      </c>
      <c r="N1587" t="s">
        <v>3763</v>
      </c>
      <c r="S1587" s="4" t="e">
        <f t="shared" si="98"/>
        <v>#NUM!</v>
      </c>
      <c r="T1587" s="4" t="str">
        <f t="shared" si="96"/>
        <v/>
      </c>
      <c r="U1587" s="4" t="s">
        <v>3763</v>
      </c>
    </row>
    <row r="1588" spans="1:21" x14ac:dyDescent="0.3">
      <c r="A1588" t="s">
        <v>2161</v>
      </c>
      <c r="B1588" s="1" t="s">
        <v>289</v>
      </c>
      <c r="C1588" s="1" t="s">
        <v>108</v>
      </c>
      <c r="D1588" s="1" t="s">
        <v>19</v>
      </c>
      <c r="E1588" s="2">
        <v>43352</v>
      </c>
      <c r="F1588" s="2" t="b">
        <f t="shared" si="99"/>
        <v>1</v>
      </c>
      <c r="G1588" s="2">
        <f t="shared" si="97"/>
        <v>43352</v>
      </c>
      <c r="H1588" s="1" t="s">
        <v>115</v>
      </c>
      <c r="I1588" s="1" t="s">
        <v>1129</v>
      </c>
      <c r="J1588" s="1">
        <v>250</v>
      </c>
      <c r="K1588" s="1">
        <v>248</v>
      </c>
      <c r="L1588" s="3">
        <v>8.0000000000000002E-3</v>
      </c>
      <c r="N1588" t="s">
        <v>3763</v>
      </c>
      <c r="S1588" s="4" t="e">
        <f t="shared" si="98"/>
        <v>#NUM!</v>
      </c>
      <c r="T1588" s="4" t="str">
        <f t="shared" si="96"/>
        <v/>
      </c>
      <c r="U1588" s="4" t="s">
        <v>3763</v>
      </c>
    </row>
    <row r="1589" spans="1:21" x14ac:dyDescent="0.3">
      <c r="A1589" t="s">
        <v>2162</v>
      </c>
      <c r="B1589" s="1" t="s">
        <v>49</v>
      </c>
      <c r="C1589" s="1" t="s">
        <v>50</v>
      </c>
      <c r="D1589" s="1" t="s">
        <v>24</v>
      </c>
      <c r="E1589" s="2" t="s">
        <v>3603</v>
      </c>
      <c r="F1589" s="2" t="b">
        <f t="shared" si="99"/>
        <v>0</v>
      </c>
      <c r="G1589" s="2">
        <f t="shared" si="97"/>
        <v>42358</v>
      </c>
      <c r="H1589" s="1" t="s">
        <v>46</v>
      </c>
      <c r="I1589" s="1" t="s">
        <v>51</v>
      </c>
      <c r="J1589" s="1">
        <v>500</v>
      </c>
      <c r="K1589" s="1">
        <v>475</v>
      </c>
      <c r="L1589" s="3">
        <v>0.05</v>
      </c>
      <c r="N1589" t="s">
        <v>3603</v>
      </c>
      <c r="P1589">
        <v>12</v>
      </c>
      <c r="Q1589">
        <v>20</v>
      </c>
      <c r="R1589">
        <v>2015</v>
      </c>
      <c r="S1589" s="4">
        <f t="shared" si="98"/>
        <v>42358</v>
      </c>
      <c r="T1589" s="4">
        <f t="shared" si="96"/>
        <v>42358</v>
      </c>
      <c r="U1589" s="4">
        <v>42358</v>
      </c>
    </row>
    <row r="1590" spans="1:21" x14ac:dyDescent="0.3">
      <c r="A1590" t="s">
        <v>2163</v>
      </c>
      <c r="B1590" s="1" t="s">
        <v>49</v>
      </c>
      <c r="C1590" s="1" t="s">
        <v>50</v>
      </c>
      <c r="D1590" s="1" t="s">
        <v>24</v>
      </c>
      <c r="E1590" s="2" t="s">
        <v>3604</v>
      </c>
      <c r="F1590" s="2" t="b">
        <f t="shared" si="99"/>
        <v>0</v>
      </c>
      <c r="G1590" s="2">
        <f t="shared" si="97"/>
        <v>41956</v>
      </c>
      <c r="H1590" s="1" t="s">
        <v>122</v>
      </c>
      <c r="I1590" s="1" t="s">
        <v>378</v>
      </c>
      <c r="J1590" s="1">
        <v>50</v>
      </c>
      <c r="K1590" s="1">
        <v>40</v>
      </c>
      <c r="L1590" s="3">
        <v>0.2</v>
      </c>
      <c r="N1590" t="s">
        <v>3604</v>
      </c>
      <c r="P1590">
        <v>11</v>
      </c>
      <c r="Q1590">
        <v>13</v>
      </c>
      <c r="R1590">
        <v>2014</v>
      </c>
      <c r="S1590" s="4">
        <f t="shared" si="98"/>
        <v>41956</v>
      </c>
      <c r="T1590" s="4">
        <f t="shared" si="96"/>
        <v>41956</v>
      </c>
      <c r="U1590" s="4">
        <v>41956</v>
      </c>
    </row>
    <row r="1591" spans="1:21" x14ac:dyDescent="0.3">
      <c r="A1591" t="s">
        <v>2164</v>
      </c>
      <c r="B1591" s="1" t="s">
        <v>39</v>
      </c>
      <c r="C1591" s="1" t="s">
        <v>40</v>
      </c>
      <c r="D1591" s="1" t="s">
        <v>35</v>
      </c>
      <c r="E1591" s="2" t="s">
        <v>3605</v>
      </c>
      <c r="F1591" s="2" t="b">
        <f t="shared" si="99"/>
        <v>0</v>
      </c>
      <c r="G1591" s="2">
        <f t="shared" si="97"/>
        <v>41958</v>
      </c>
      <c r="H1591" s="1" t="s">
        <v>55</v>
      </c>
      <c r="I1591" s="1" t="s">
        <v>42</v>
      </c>
      <c r="J1591" s="1">
        <v>800</v>
      </c>
      <c r="K1591" s="1">
        <v>504</v>
      </c>
      <c r="L1591" s="3">
        <v>0.37</v>
      </c>
      <c r="N1591" t="s">
        <v>3605</v>
      </c>
      <c r="P1591">
        <v>11</v>
      </c>
      <c r="Q1591">
        <v>15</v>
      </c>
      <c r="R1591">
        <v>2014</v>
      </c>
      <c r="S1591" s="4">
        <f t="shared" si="98"/>
        <v>41958</v>
      </c>
      <c r="T1591" s="4">
        <f t="shared" si="96"/>
        <v>41958</v>
      </c>
      <c r="U1591" s="4">
        <v>41958</v>
      </c>
    </row>
    <row r="1592" spans="1:21" x14ac:dyDescent="0.3">
      <c r="A1592" t="s">
        <v>2165</v>
      </c>
      <c r="B1592" s="1" t="s">
        <v>170</v>
      </c>
      <c r="C1592" s="1" t="s">
        <v>171</v>
      </c>
      <c r="D1592" s="1" t="s">
        <v>13</v>
      </c>
      <c r="E1592" s="2" t="s">
        <v>3606</v>
      </c>
      <c r="F1592" s="2" t="b">
        <f t="shared" si="99"/>
        <v>0</v>
      </c>
      <c r="G1592" s="2">
        <f t="shared" si="97"/>
        <v>43148</v>
      </c>
      <c r="H1592" s="1" t="s">
        <v>55</v>
      </c>
      <c r="I1592" s="1" t="s">
        <v>518</v>
      </c>
      <c r="J1592" s="1">
        <v>800</v>
      </c>
      <c r="K1592" s="1">
        <v>664</v>
      </c>
      <c r="L1592" s="3">
        <v>0.17</v>
      </c>
      <c r="N1592" t="s">
        <v>3606</v>
      </c>
      <c r="P1592">
        <v>2</v>
      </c>
      <c r="Q1592">
        <v>17</v>
      </c>
      <c r="R1592">
        <v>2018</v>
      </c>
      <c r="S1592" s="4">
        <f t="shared" si="98"/>
        <v>43148</v>
      </c>
      <c r="T1592" s="4">
        <f t="shared" si="96"/>
        <v>43148</v>
      </c>
      <c r="U1592" s="4">
        <v>43148</v>
      </c>
    </row>
    <row r="1593" spans="1:21" x14ac:dyDescent="0.3">
      <c r="A1593" t="s">
        <v>2166</v>
      </c>
      <c r="B1593" s="1" t="s">
        <v>324</v>
      </c>
      <c r="C1593" s="1" t="s">
        <v>325</v>
      </c>
      <c r="D1593" s="1" t="s">
        <v>13</v>
      </c>
      <c r="E1593" s="2" t="s">
        <v>3002</v>
      </c>
      <c r="F1593" s="2" t="b">
        <f t="shared" si="99"/>
        <v>0</v>
      </c>
      <c r="G1593" s="2">
        <f t="shared" si="97"/>
        <v>42848</v>
      </c>
      <c r="H1593" s="1" t="s">
        <v>46</v>
      </c>
      <c r="I1593" s="1" t="s">
        <v>1247</v>
      </c>
      <c r="J1593" s="1">
        <v>500</v>
      </c>
      <c r="K1593" s="1">
        <v>500</v>
      </c>
      <c r="L1593" s="3">
        <v>0</v>
      </c>
      <c r="N1593" t="s">
        <v>3002</v>
      </c>
      <c r="P1593">
        <v>4</v>
      </c>
      <c r="Q1593">
        <v>23</v>
      </c>
      <c r="R1593">
        <v>2017</v>
      </c>
      <c r="S1593" s="4">
        <f t="shared" si="98"/>
        <v>42848</v>
      </c>
      <c r="T1593" s="4">
        <f t="shared" si="96"/>
        <v>42848</v>
      </c>
      <c r="U1593" s="4">
        <v>42848</v>
      </c>
    </row>
    <row r="1594" spans="1:21" x14ac:dyDescent="0.3">
      <c r="A1594" t="s">
        <v>2167</v>
      </c>
      <c r="B1594" s="1" t="s">
        <v>91</v>
      </c>
      <c r="C1594" s="1" t="s">
        <v>92</v>
      </c>
      <c r="D1594" s="1" t="s">
        <v>35</v>
      </c>
      <c r="E1594" s="2" t="s">
        <v>3607</v>
      </c>
      <c r="F1594" s="2" t="b">
        <f t="shared" si="99"/>
        <v>0</v>
      </c>
      <c r="G1594" s="2">
        <f t="shared" si="97"/>
        <v>43154</v>
      </c>
      <c r="H1594" s="1" t="s">
        <v>115</v>
      </c>
      <c r="I1594" s="1" t="s">
        <v>344</v>
      </c>
      <c r="J1594" s="1">
        <v>250</v>
      </c>
      <c r="K1594" s="1">
        <v>250</v>
      </c>
      <c r="L1594" s="3">
        <v>0</v>
      </c>
      <c r="N1594" t="s">
        <v>3607</v>
      </c>
      <c r="P1594">
        <v>2</v>
      </c>
      <c r="Q1594">
        <v>23</v>
      </c>
      <c r="R1594">
        <v>2018</v>
      </c>
      <c r="S1594" s="4">
        <f t="shared" si="98"/>
        <v>43154</v>
      </c>
      <c r="T1594" s="4">
        <f t="shared" si="96"/>
        <v>43154</v>
      </c>
      <c r="U1594" s="4">
        <v>43154</v>
      </c>
    </row>
    <row r="1595" spans="1:21" x14ac:dyDescent="0.3">
      <c r="A1595" t="s">
        <v>2168</v>
      </c>
      <c r="B1595" s="1" t="s">
        <v>118</v>
      </c>
      <c r="C1595" s="1" t="s">
        <v>119</v>
      </c>
      <c r="D1595" s="1" t="s">
        <v>35</v>
      </c>
      <c r="E1595" s="2">
        <v>42651</v>
      </c>
      <c r="F1595" s="2" t="b">
        <f t="shared" si="99"/>
        <v>1</v>
      </c>
      <c r="G1595" s="2">
        <f t="shared" si="97"/>
        <v>42651</v>
      </c>
      <c r="H1595" s="1" t="s">
        <v>41</v>
      </c>
      <c r="I1595" s="1" t="s">
        <v>1681</v>
      </c>
      <c r="J1595" s="1">
        <v>30</v>
      </c>
      <c r="K1595" s="1">
        <v>30</v>
      </c>
      <c r="L1595" s="3">
        <v>0</v>
      </c>
      <c r="N1595" t="s">
        <v>3763</v>
      </c>
      <c r="S1595" s="4" t="e">
        <f t="shared" si="98"/>
        <v>#NUM!</v>
      </c>
      <c r="T1595" s="4" t="str">
        <f t="shared" si="96"/>
        <v/>
      </c>
      <c r="U1595" s="4" t="s">
        <v>3763</v>
      </c>
    </row>
    <row r="1596" spans="1:21" x14ac:dyDescent="0.3">
      <c r="A1596" t="s">
        <v>2169</v>
      </c>
      <c r="B1596" s="1" t="s">
        <v>2170</v>
      </c>
      <c r="C1596" s="1" t="s">
        <v>18</v>
      </c>
      <c r="D1596" s="1" t="s">
        <v>19</v>
      </c>
      <c r="E1596" s="2" t="s">
        <v>3608</v>
      </c>
      <c r="F1596" s="2" t="b">
        <f t="shared" si="99"/>
        <v>0</v>
      </c>
      <c r="G1596" s="2">
        <f t="shared" si="97"/>
        <v>42295</v>
      </c>
      <c r="H1596" s="1" t="s">
        <v>55</v>
      </c>
      <c r="I1596" s="1" t="s">
        <v>2171</v>
      </c>
      <c r="J1596" s="1">
        <v>800</v>
      </c>
      <c r="K1596" s="1">
        <v>632</v>
      </c>
      <c r="L1596" s="3">
        <v>0.21</v>
      </c>
      <c r="N1596" t="s">
        <v>3608</v>
      </c>
      <c r="P1596">
        <v>10</v>
      </c>
      <c r="Q1596">
        <v>18</v>
      </c>
      <c r="R1596">
        <v>2015</v>
      </c>
      <c r="S1596" s="4">
        <f t="shared" si="98"/>
        <v>42295</v>
      </c>
      <c r="T1596" s="4">
        <f t="shared" si="96"/>
        <v>42295</v>
      </c>
      <c r="U1596" s="4">
        <v>42295</v>
      </c>
    </row>
    <row r="1597" spans="1:21" x14ac:dyDescent="0.3">
      <c r="A1597" t="s">
        <v>2172</v>
      </c>
      <c r="B1597" s="1" t="s">
        <v>39</v>
      </c>
      <c r="C1597" s="1" t="s">
        <v>40</v>
      </c>
      <c r="D1597" s="1" t="s">
        <v>35</v>
      </c>
      <c r="E1597" s="2">
        <v>43410</v>
      </c>
      <c r="F1597" s="2" t="b">
        <f t="shared" si="99"/>
        <v>1</v>
      </c>
      <c r="G1597" s="2">
        <f t="shared" si="97"/>
        <v>43410</v>
      </c>
      <c r="H1597" s="1" t="s">
        <v>122</v>
      </c>
      <c r="I1597" s="1" t="s">
        <v>164</v>
      </c>
      <c r="J1597" s="1">
        <v>50</v>
      </c>
      <c r="K1597" s="1">
        <v>50</v>
      </c>
      <c r="L1597" s="3">
        <v>0</v>
      </c>
      <c r="N1597" t="s">
        <v>3763</v>
      </c>
      <c r="S1597" s="4" t="e">
        <f t="shared" si="98"/>
        <v>#NUM!</v>
      </c>
      <c r="T1597" s="4" t="str">
        <f t="shared" si="96"/>
        <v/>
      </c>
      <c r="U1597" s="4" t="s">
        <v>3763</v>
      </c>
    </row>
    <row r="1598" spans="1:21" x14ac:dyDescent="0.3">
      <c r="A1598" t="s">
        <v>2173</v>
      </c>
      <c r="B1598" s="1" t="s">
        <v>154</v>
      </c>
      <c r="C1598" s="1" t="s">
        <v>108</v>
      </c>
      <c r="D1598" s="1" t="s">
        <v>19</v>
      </c>
      <c r="E1598" s="2">
        <v>43252</v>
      </c>
      <c r="F1598" s="2" t="b">
        <f t="shared" si="99"/>
        <v>1</v>
      </c>
      <c r="G1598" s="2">
        <f t="shared" si="97"/>
        <v>43252</v>
      </c>
      <c r="H1598" s="1" t="s">
        <v>72</v>
      </c>
      <c r="I1598" s="1" t="s">
        <v>155</v>
      </c>
      <c r="J1598" s="1">
        <v>500</v>
      </c>
      <c r="K1598" s="1">
        <v>500</v>
      </c>
      <c r="L1598" s="3">
        <v>0</v>
      </c>
      <c r="N1598" t="s">
        <v>3763</v>
      </c>
      <c r="S1598" s="4" t="e">
        <f t="shared" si="98"/>
        <v>#NUM!</v>
      </c>
      <c r="T1598" s="4" t="str">
        <f t="shared" si="96"/>
        <v/>
      </c>
      <c r="U1598" s="4" t="s">
        <v>3763</v>
      </c>
    </row>
    <row r="1599" spans="1:21" x14ac:dyDescent="0.3">
      <c r="A1599" t="s">
        <v>2174</v>
      </c>
      <c r="B1599" s="1" t="s">
        <v>289</v>
      </c>
      <c r="C1599" s="1" t="s">
        <v>108</v>
      </c>
      <c r="D1599" s="1" t="s">
        <v>19</v>
      </c>
      <c r="E1599" s="2" t="s">
        <v>3537</v>
      </c>
      <c r="F1599" s="2" t="b">
        <f t="shared" si="99"/>
        <v>0</v>
      </c>
      <c r="G1599" s="2">
        <f t="shared" si="97"/>
        <v>42425</v>
      </c>
      <c r="H1599" s="1" t="s">
        <v>72</v>
      </c>
      <c r="I1599" s="1" t="s">
        <v>346</v>
      </c>
      <c r="J1599" s="1">
        <v>500</v>
      </c>
      <c r="K1599" s="1">
        <v>495</v>
      </c>
      <c r="L1599" s="3">
        <v>0.01</v>
      </c>
      <c r="N1599" t="s">
        <v>3537</v>
      </c>
      <c r="P1599">
        <v>2</v>
      </c>
      <c r="Q1599">
        <v>25</v>
      </c>
      <c r="R1599">
        <v>2016</v>
      </c>
      <c r="S1599" s="4">
        <f t="shared" si="98"/>
        <v>42425</v>
      </c>
      <c r="T1599" s="4">
        <f t="shared" si="96"/>
        <v>42425</v>
      </c>
      <c r="U1599" s="4">
        <v>42425</v>
      </c>
    </row>
    <row r="1600" spans="1:21" x14ac:dyDescent="0.3">
      <c r="A1600" t="s">
        <v>2175</v>
      </c>
      <c r="B1600" s="1" t="s">
        <v>22</v>
      </c>
      <c r="C1600" s="1" t="s">
        <v>23</v>
      </c>
      <c r="D1600" s="1" t="s">
        <v>24</v>
      </c>
      <c r="E1600" s="2" t="s">
        <v>3609</v>
      </c>
      <c r="F1600" s="2" t="b">
        <f t="shared" si="99"/>
        <v>0</v>
      </c>
      <c r="G1600" s="2">
        <f t="shared" si="97"/>
        <v>41749</v>
      </c>
      <c r="H1600" s="1" t="s">
        <v>46</v>
      </c>
      <c r="I1600" s="1" t="s">
        <v>310</v>
      </c>
      <c r="J1600" s="1">
        <v>500</v>
      </c>
      <c r="K1600" s="1">
        <v>485</v>
      </c>
      <c r="L1600" s="3">
        <v>0.03</v>
      </c>
      <c r="N1600" t="s">
        <v>3609</v>
      </c>
      <c r="P1600">
        <v>4</v>
      </c>
      <c r="Q1600">
        <v>20</v>
      </c>
      <c r="R1600">
        <v>2014</v>
      </c>
      <c r="S1600" s="4">
        <f t="shared" si="98"/>
        <v>41749</v>
      </c>
      <c r="T1600" s="4">
        <f t="shared" si="96"/>
        <v>41749</v>
      </c>
      <c r="U1600" s="4">
        <v>41749</v>
      </c>
    </row>
    <row r="1601" spans="1:21" x14ac:dyDescent="0.3">
      <c r="A1601" t="s">
        <v>2176</v>
      </c>
      <c r="B1601" s="1" t="s">
        <v>255</v>
      </c>
      <c r="C1601" s="1" t="s">
        <v>256</v>
      </c>
      <c r="D1601" s="1" t="s">
        <v>13</v>
      </c>
      <c r="E1601" s="2" t="s">
        <v>3610</v>
      </c>
      <c r="F1601" s="2" t="b">
        <f t="shared" si="99"/>
        <v>0</v>
      </c>
      <c r="G1601" s="2">
        <f t="shared" si="97"/>
        <v>41992</v>
      </c>
      <c r="H1601" s="1" t="s">
        <v>41</v>
      </c>
      <c r="I1601" s="1" t="s">
        <v>522</v>
      </c>
      <c r="J1601" s="1">
        <v>30</v>
      </c>
      <c r="K1601" s="1">
        <v>23</v>
      </c>
      <c r="L1601" s="3">
        <v>0.23330000000000001</v>
      </c>
      <c r="N1601" t="s">
        <v>3610</v>
      </c>
      <c r="P1601">
        <v>12</v>
      </c>
      <c r="Q1601">
        <v>19</v>
      </c>
      <c r="R1601">
        <v>2014</v>
      </c>
      <c r="S1601" s="4">
        <f t="shared" si="98"/>
        <v>41992</v>
      </c>
      <c r="T1601" s="4">
        <f t="shared" si="96"/>
        <v>41992</v>
      </c>
      <c r="U1601" s="4">
        <v>41992</v>
      </c>
    </row>
    <row r="1602" spans="1:21" x14ac:dyDescent="0.3">
      <c r="A1602" t="s">
        <v>2177</v>
      </c>
      <c r="B1602" s="1" t="s">
        <v>434</v>
      </c>
      <c r="C1602" s="1" t="s">
        <v>435</v>
      </c>
      <c r="D1602" s="1" t="s">
        <v>24</v>
      </c>
      <c r="E1602" s="2" t="s">
        <v>3462</v>
      </c>
      <c r="F1602" s="2" t="b">
        <f t="shared" si="99"/>
        <v>0</v>
      </c>
      <c r="G1602" s="2">
        <f t="shared" si="97"/>
        <v>41713</v>
      </c>
      <c r="H1602" s="1" t="s">
        <v>122</v>
      </c>
      <c r="I1602" s="1" t="s">
        <v>550</v>
      </c>
      <c r="J1602" s="1">
        <v>50</v>
      </c>
      <c r="K1602" s="1">
        <v>50</v>
      </c>
      <c r="L1602" s="3">
        <v>0</v>
      </c>
      <c r="N1602" t="s">
        <v>3462</v>
      </c>
      <c r="P1602">
        <v>3</v>
      </c>
      <c r="Q1602">
        <v>15</v>
      </c>
      <c r="R1602">
        <v>2014</v>
      </c>
      <c r="S1602" s="4">
        <f t="shared" si="98"/>
        <v>41713</v>
      </c>
      <c r="T1602" s="4">
        <f t="shared" si="96"/>
        <v>41713</v>
      </c>
      <c r="U1602" s="4">
        <v>41713</v>
      </c>
    </row>
    <row r="1603" spans="1:21" x14ac:dyDescent="0.3">
      <c r="A1603" t="s">
        <v>2178</v>
      </c>
      <c r="B1603" s="1" t="s">
        <v>53</v>
      </c>
      <c r="C1603" s="1" t="s">
        <v>54</v>
      </c>
      <c r="D1603" s="1" t="s">
        <v>13</v>
      </c>
      <c r="E1603" s="2">
        <v>42557</v>
      </c>
      <c r="F1603" s="2" t="b">
        <f t="shared" si="99"/>
        <v>1</v>
      </c>
      <c r="G1603" s="2">
        <f t="shared" si="97"/>
        <v>42557</v>
      </c>
      <c r="H1603" s="1" t="s">
        <v>122</v>
      </c>
      <c r="I1603" s="1" t="s">
        <v>56</v>
      </c>
      <c r="J1603" s="1">
        <v>50</v>
      </c>
      <c r="K1603" s="1">
        <v>48</v>
      </c>
      <c r="L1603" s="3">
        <v>0.04</v>
      </c>
      <c r="N1603" t="s">
        <v>3763</v>
      </c>
      <c r="S1603" s="4" t="e">
        <f t="shared" si="98"/>
        <v>#NUM!</v>
      </c>
      <c r="T1603" s="4" t="str">
        <f t="shared" ref="T1603:T1666" si="100">IF(AND(P1603&lt;&gt;"",Q1603&lt;&gt;"",R1603&lt;&gt;""),IFERROR(DATE(R1603,P1603,Q1603),""),"")</f>
        <v/>
      </c>
      <c r="U1603" s="4" t="s">
        <v>3763</v>
      </c>
    </row>
    <row r="1604" spans="1:21" x14ac:dyDescent="0.3">
      <c r="A1604" t="s">
        <v>2179</v>
      </c>
      <c r="B1604" s="1" t="s">
        <v>170</v>
      </c>
      <c r="C1604" s="1" t="s">
        <v>171</v>
      </c>
      <c r="D1604" s="1" t="s">
        <v>13</v>
      </c>
      <c r="E1604" s="2" t="s">
        <v>3317</v>
      </c>
      <c r="F1604" s="2" t="b">
        <f t="shared" si="99"/>
        <v>0</v>
      </c>
      <c r="G1604" s="2">
        <f t="shared" ref="G1604:G1667" si="101">IF(F1604=TRUE,E1604,U1604)</f>
        <v>42242</v>
      </c>
      <c r="H1604" s="1" t="s">
        <v>115</v>
      </c>
      <c r="I1604" s="1" t="s">
        <v>172</v>
      </c>
      <c r="J1604" s="1">
        <v>250</v>
      </c>
      <c r="K1604" s="1">
        <v>160</v>
      </c>
      <c r="L1604" s="3">
        <v>0.36</v>
      </c>
      <c r="N1604" t="s">
        <v>3317</v>
      </c>
      <c r="P1604">
        <v>8</v>
      </c>
      <c r="Q1604">
        <v>26</v>
      </c>
      <c r="R1604">
        <v>2015</v>
      </c>
      <c r="S1604" s="4">
        <f t="shared" ref="S1604:S1667" si="102">DATE(R1604,P1604,Q1604)</f>
        <v>42242</v>
      </c>
      <c r="T1604" s="4">
        <f t="shared" si="100"/>
        <v>42242</v>
      </c>
      <c r="U1604" s="4">
        <v>42242</v>
      </c>
    </row>
    <row r="1605" spans="1:21" x14ac:dyDescent="0.3">
      <c r="A1605" t="s">
        <v>2180</v>
      </c>
      <c r="B1605" s="1" t="s">
        <v>150</v>
      </c>
      <c r="C1605" s="1" t="s">
        <v>151</v>
      </c>
      <c r="D1605" s="1" t="s">
        <v>13</v>
      </c>
      <c r="E1605" s="2" t="s">
        <v>3611</v>
      </c>
      <c r="F1605" s="2" t="b">
        <f t="shared" ref="F1605:F1668" si="103">ISNUMBER(E1605)</f>
        <v>0</v>
      </c>
      <c r="G1605" s="2">
        <f t="shared" si="101"/>
        <v>42818</v>
      </c>
      <c r="H1605" s="1" t="s">
        <v>30</v>
      </c>
      <c r="I1605" s="1" t="s">
        <v>771</v>
      </c>
      <c r="J1605" s="1">
        <v>150</v>
      </c>
      <c r="K1605" s="1">
        <v>140</v>
      </c>
      <c r="L1605" s="3">
        <v>6.6699999999999995E-2</v>
      </c>
      <c r="N1605" t="s">
        <v>3611</v>
      </c>
      <c r="P1605">
        <v>3</v>
      </c>
      <c r="Q1605">
        <v>24</v>
      </c>
      <c r="R1605">
        <v>2017</v>
      </c>
      <c r="S1605" s="4">
        <f t="shared" si="102"/>
        <v>42818</v>
      </c>
      <c r="T1605" s="4">
        <f t="shared" si="100"/>
        <v>42818</v>
      </c>
      <c r="U1605" s="4">
        <v>42818</v>
      </c>
    </row>
    <row r="1606" spans="1:21" x14ac:dyDescent="0.3">
      <c r="A1606" t="s">
        <v>2181</v>
      </c>
      <c r="B1606" s="1" t="s">
        <v>111</v>
      </c>
      <c r="C1606" s="1" t="s">
        <v>82</v>
      </c>
      <c r="D1606" s="1" t="s">
        <v>13</v>
      </c>
      <c r="E1606" s="2">
        <v>42134</v>
      </c>
      <c r="F1606" s="2" t="b">
        <f t="shared" si="103"/>
        <v>1</v>
      </c>
      <c r="G1606" s="2">
        <f t="shared" si="101"/>
        <v>42134</v>
      </c>
      <c r="H1606" s="1" t="s">
        <v>122</v>
      </c>
      <c r="I1606" s="1" t="s">
        <v>826</v>
      </c>
      <c r="J1606" s="1">
        <v>50</v>
      </c>
      <c r="K1606" s="1">
        <v>42</v>
      </c>
      <c r="L1606" s="3">
        <v>0.16</v>
      </c>
      <c r="N1606" t="s">
        <v>3763</v>
      </c>
      <c r="S1606" s="4" t="e">
        <f t="shared" si="102"/>
        <v>#NUM!</v>
      </c>
      <c r="T1606" s="4" t="str">
        <f t="shared" si="100"/>
        <v/>
      </c>
      <c r="U1606" s="4" t="s">
        <v>3763</v>
      </c>
    </row>
    <row r="1607" spans="1:21" x14ac:dyDescent="0.3">
      <c r="A1607" t="s">
        <v>2182</v>
      </c>
      <c r="B1607" s="1" t="s">
        <v>2170</v>
      </c>
      <c r="C1607" s="1" t="s">
        <v>18</v>
      </c>
      <c r="D1607" s="1" t="s">
        <v>19</v>
      </c>
      <c r="E1607" s="2">
        <v>42708</v>
      </c>
      <c r="F1607" s="2" t="b">
        <f t="shared" si="103"/>
        <v>1</v>
      </c>
      <c r="G1607" s="2">
        <f t="shared" si="101"/>
        <v>42708</v>
      </c>
      <c r="H1607" s="1" t="s">
        <v>41</v>
      </c>
      <c r="I1607" s="1" t="s">
        <v>2183</v>
      </c>
      <c r="J1607" s="1">
        <v>30</v>
      </c>
      <c r="K1607" s="1">
        <v>29</v>
      </c>
      <c r="L1607" s="3">
        <v>3.3300000000000003E-2</v>
      </c>
      <c r="N1607" t="s">
        <v>3763</v>
      </c>
      <c r="S1607" s="4" t="e">
        <f t="shared" si="102"/>
        <v>#NUM!</v>
      </c>
      <c r="T1607" s="4" t="str">
        <f t="shared" si="100"/>
        <v/>
      </c>
      <c r="U1607" s="4" t="s">
        <v>3763</v>
      </c>
    </row>
    <row r="1608" spans="1:21" x14ac:dyDescent="0.3">
      <c r="A1608" t="s">
        <v>2184</v>
      </c>
      <c r="B1608" s="1" t="s">
        <v>118</v>
      </c>
      <c r="C1608" s="1" t="s">
        <v>119</v>
      </c>
      <c r="D1608" s="1" t="s">
        <v>35</v>
      </c>
      <c r="E1608" s="2" t="s">
        <v>3612</v>
      </c>
      <c r="F1608" s="2" t="b">
        <f t="shared" si="103"/>
        <v>0</v>
      </c>
      <c r="G1608" s="2">
        <f t="shared" si="101"/>
        <v>41805</v>
      </c>
      <c r="H1608" s="1" t="s">
        <v>61</v>
      </c>
      <c r="I1608" s="1" t="s">
        <v>583</v>
      </c>
      <c r="J1608" s="1">
        <v>1000</v>
      </c>
      <c r="K1608" s="1">
        <v>580</v>
      </c>
      <c r="L1608" s="3">
        <v>0.42</v>
      </c>
      <c r="N1608" t="s">
        <v>3612</v>
      </c>
      <c r="P1608">
        <v>6</v>
      </c>
      <c r="Q1608">
        <v>15</v>
      </c>
      <c r="R1608">
        <v>2014</v>
      </c>
      <c r="S1608" s="4">
        <f t="shared" si="102"/>
        <v>41805</v>
      </c>
      <c r="T1608" s="4">
        <f t="shared" si="100"/>
        <v>41805</v>
      </c>
      <c r="U1608" s="4">
        <v>41805</v>
      </c>
    </row>
    <row r="1609" spans="1:21" x14ac:dyDescent="0.3">
      <c r="A1609" t="s">
        <v>2185</v>
      </c>
      <c r="B1609" s="1" t="s">
        <v>134</v>
      </c>
      <c r="C1609" s="1" t="s">
        <v>92</v>
      </c>
      <c r="D1609" s="1" t="s">
        <v>35</v>
      </c>
      <c r="E1609" s="2" t="s">
        <v>3019</v>
      </c>
      <c r="F1609" s="2" t="b">
        <f t="shared" si="103"/>
        <v>0</v>
      </c>
      <c r="G1609" s="2">
        <f t="shared" si="101"/>
        <v>41963</v>
      </c>
      <c r="H1609" s="1" t="s">
        <v>61</v>
      </c>
      <c r="I1609" s="1" t="s">
        <v>135</v>
      </c>
      <c r="J1609" s="1">
        <v>1000</v>
      </c>
      <c r="K1609" s="1">
        <v>880</v>
      </c>
      <c r="L1609" s="3">
        <v>0.12</v>
      </c>
      <c r="N1609" t="s">
        <v>3019</v>
      </c>
      <c r="P1609">
        <v>11</v>
      </c>
      <c r="Q1609">
        <v>20</v>
      </c>
      <c r="R1609">
        <v>2014</v>
      </c>
      <c r="S1609" s="4">
        <f t="shared" si="102"/>
        <v>41963</v>
      </c>
      <c r="T1609" s="4">
        <f t="shared" si="100"/>
        <v>41963</v>
      </c>
      <c r="U1609" s="4">
        <v>41963</v>
      </c>
    </row>
    <row r="1610" spans="1:21" x14ac:dyDescent="0.3">
      <c r="A1610" t="s">
        <v>2186</v>
      </c>
      <c r="B1610" s="1" t="s">
        <v>187</v>
      </c>
      <c r="C1610" s="1" t="s">
        <v>188</v>
      </c>
      <c r="D1610" s="1" t="s">
        <v>13</v>
      </c>
      <c r="E1610" s="2">
        <v>41798</v>
      </c>
      <c r="F1610" s="2" t="b">
        <f t="shared" si="103"/>
        <v>1</v>
      </c>
      <c r="G1610" s="2">
        <f t="shared" si="101"/>
        <v>41798</v>
      </c>
      <c r="H1610" s="1" t="s">
        <v>104</v>
      </c>
      <c r="I1610" s="1" t="s">
        <v>683</v>
      </c>
      <c r="J1610" s="1">
        <v>70</v>
      </c>
      <c r="K1610" s="1">
        <v>52</v>
      </c>
      <c r="L1610" s="3">
        <v>0.2571</v>
      </c>
      <c r="N1610" t="s">
        <v>3763</v>
      </c>
      <c r="S1610" s="4" t="e">
        <f t="shared" si="102"/>
        <v>#NUM!</v>
      </c>
      <c r="T1610" s="4" t="str">
        <f t="shared" si="100"/>
        <v/>
      </c>
      <c r="U1610" s="4" t="s">
        <v>3763</v>
      </c>
    </row>
    <row r="1611" spans="1:21" x14ac:dyDescent="0.3">
      <c r="A1611" t="s">
        <v>2187</v>
      </c>
      <c r="B1611" s="1" t="s">
        <v>400</v>
      </c>
      <c r="C1611" s="1" t="s">
        <v>401</v>
      </c>
      <c r="D1611" s="1" t="s">
        <v>13</v>
      </c>
      <c r="E1611" s="2" t="s">
        <v>3298</v>
      </c>
      <c r="F1611" s="2" t="b">
        <f t="shared" si="103"/>
        <v>0</v>
      </c>
      <c r="G1611" s="2">
        <f t="shared" si="101"/>
        <v>42022</v>
      </c>
      <c r="H1611" s="1" t="s">
        <v>122</v>
      </c>
      <c r="I1611" s="1" t="s">
        <v>2188</v>
      </c>
      <c r="J1611" s="1">
        <v>50</v>
      </c>
      <c r="K1611" s="1">
        <v>37</v>
      </c>
      <c r="L1611" s="3">
        <v>0.26</v>
      </c>
      <c r="N1611" t="s">
        <v>3298</v>
      </c>
      <c r="P1611">
        <v>1</v>
      </c>
      <c r="Q1611">
        <v>18</v>
      </c>
      <c r="R1611">
        <v>2015</v>
      </c>
      <c r="S1611" s="4">
        <f t="shared" si="102"/>
        <v>42022</v>
      </c>
      <c r="T1611" s="4">
        <f t="shared" si="100"/>
        <v>42022</v>
      </c>
      <c r="U1611" s="4">
        <v>42022</v>
      </c>
    </row>
    <row r="1612" spans="1:21" x14ac:dyDescent="0.3">
      <c r="A1612" t="s">
        <v>2189</v>
      </c>
      <c r="B1612" s="1" t="s">
        <v>224</v>
      </c>
      <c r="C1612" s="1" t="s">
        <v>50</v>
      </c>
      <c r="D1612" s="1" t="s">
        <v>24</v>
      </c>
      <c r="E1612" s="2">
        <v>41859</v>
      </c>
      <c r="F1612" s="2" t="b">
        <f t="shared" si="103"/>
        <v>1</v>
      </c>
      <c r="G1612" s="2">
        <f t="shared" si="101"/>
        <v>41859</v>
      </c>
      <c r="H1612" s="1" t="s">
        <v>36</v>
      </c>
      <c r="I1612" s="1" t="s">
        <v>1239</v>
      </c>
      <c r="J1612" s="1">
        <v>50</v>
      </c>
      <c r="K1612" s="1">
        <v>50</v>
      </c>
      <c r="L1612" s="3">
        <v>0</v>
      </c>
      <c r="N1612" t="s">
        <v>3763</v>
      </c>
      <c r="S1612" s="4" t="e">
        <f t="shared" si="102"/>
        <v>#NUM!</v>
      </c>
      <c r="T1612" s="4" t="str">
        <f t="shared" si="100"/>
        <v/>
      </c>
      <c r="U1612" s="4" t="s">
        <v>3763</v>
      </c>
    </row>
    <row r="1613" spans="1:21" x14ac:dyDescent="0.3">
      <c r="A1613" t="s">
        <v>2190</v>
      </c>
      <c r="B1613" s="1" t="s">
        <v>2191</v>
      </c>
      <c r="C1613" s="1" t="s">
        <v>108</v>
      </c>
      <c r="D1613" s="1" t="s">
        <v>19</v>
      </c>
      <c r="E1613" s="2">
        <v>42989</v>
      </c>
      <c r="F1613" s="2" t="b">
        <f t="shared" si="103"/>
        <v>1</v>
      </c>
      <c r="G1613" s="2">
        <f t="shared" si="101"/>
        <v>42989</v>
      </c>
      <c r="H1613" s="1" t="s">
        <v>104</v>
      </c>
      <c r="I1613" s="1" t="s">
        <v>2192</v>
      </c>
      <c r="J1613" s="1">
        <v>70</v>
      </c>
      <c r="K1613" s="1">
        <v>67</v>
      </c>
      <c r="L1613" s="3">
        <v>4.2900000000000001E-2</v>
      </c>
      <c r="N1613" t="s">
        <v>3763</v>
      </c>
      <c r="S1613" s="4" t="e">
        <f t="shared" si="102"/>
        <v>#NUM!</v>
      </c>
      <c r="T1613" s="4" t="str">
        <f t="shared" si="100"/>
        <v/>
      </c>
      <c r="U1613" s="4" t="s">
        <v>3763</v>
      </c>
    </row>
    <row r="1614" spans="1:21" x14ac:dyDescent="0.3">
      <c r="A1614" t="s">
        <v>2193</v>
      </c>
      <c r="B1614" s="1" t="s">
        <v>289</v>
      </c>
      <c r="C1614" s="1" t="s">
        <v>108</v>
      </c>
      <c r="D1614" s="1" t="s">
        <v>19</v>
      </c>
      <c r="E1614" s="2" t="s">
        <v>3293</v>
      </c>
      <c r="F1614" s="2" t="b">
        <f t="shared" si="103"/>
        <v>0</v>
      </c>
      <c r="G1614" s="2">
        <f t="shared" si="101"/>
        <v>42269</v>
      </c>
      <c r="H1614" s="1" t="s">
        <v>36</v>
      </c>
      <c r="I1614" s="1" t="s">
        <v>1129</v>
      </c>
      <c r="J1614" s="1">
        <v>50</v>
      </c>
      <c r="K1614" s="1">
        <v>50</v>
      </c>
      <c r="L1614" s="3">
        <v>0</v>
      </c>
      <c r="N1614" t="s">
        <v>3293</v>
      </c>
      <c r="P1614">
        <v>9</v>
      </c>
      <c r="Q1614">
        <v>22</v>
      </c>
      <c r="R1614">
        <v>2015</v>
      </c>
      <c r="S1614" s="4">
        <f t="shared" si="102"/>
        <v>42269</v>
      </c>
      <c r="T1614" s="4">
        <f t="shared" si="100"/>
        <v>42269</v>
      </c>
      <c r="U1614" s="4">
        <v>42269</v>
      </c>
    </row>
    <row r="1615" spans="1:21" x14ac:dyDescent="0.3">
      <c r="A1615" t="s">
        <v>2194</v>
      </c>
      <c r="B1615" s="1" t="s">
        <v>91</v>
      </c>
      <c r="C1615" s="1" t="s">
        <v>92</v>
      </c>
      <c r="D1615" s="1" t="s">
        <v>35</v>
      </c>
      <c r="E1615" s="2" t="s">
        <v>3539</v>
      </c>
      <c r="F1615" s="2" t="b">
        <f t="shared" si="103"/>
        <v>0</v>
      </c>
      <c r="G1615" s="2">
        <f t="shared" si="101"/>
        <v>42698</v>
      </c>
      <c r="H1615" s="1" t="s">
        <v>104</v>
      </c>
      <c r="I1615" s="1" t="s">
        <v>1513</v>
      </c>
      <c r="J1615" s="1">
        <v>70</v>
      </c>
      <c r="K1615" s="1">
        <v>66</v>
      </c>
      <c r="L1615" s="3">
        <v>5.7099999999999998E-2</v>
      </c>
      <c r="N1615" t="s">
        <v>3539</v>
      </c>
      <c r="P1615">
        <v>11</v>
      </c>
      <c r="Q1615">
        <v>24</v>
      </c>
      <c r="R1615">
        <v>2016</v>
      </c>
      <c r="S1615" s="4">
        <f t="shared" si="102"/>
        <v>42698</v>
      </c>
      <c r="T1615" s="4">
        <f t="shared" si="100"/>
        <v>42698</v>
      </c>
      <c r="U1615" s="4">
        <v>42698</v>
      </c>
    </row>
    <row r="1616" spans="1:21" x14ac:dyDescent="0.3">
      <c r="A1616" t="s">
        <v>2195</v>
      </c>
      <c r="B1616" s="1" t="s">
        <v>400</v>
      </c>
      <c r="C1616" s="1" t="s">
        <v>401</v>
      </c>
      <c r="D1616" s="1" t="s">
        <v>13</v>
      </c>
      <c r="E1616" s="2">
        <v>42350</v>
      </c>
      <c r="F1616" s="2" t="b">
        <f t="shared" si="103"/>
        <v>1</v>
      </c>
      <c r="G1616" s="2">
        <f t="shared" si="101"/>
        <v>42350</v>
      </c>
      <c r="H1616" s="1" t="s">
        <v>122</v>
      </c>
      <c r="I1616" s="1" t="s">
        <v>1281</v>
      </c>
      <c r="J1616" s="1">
        <v>50</v>
      </c>
      <c r="K1616" s="1">
        <v>42</v>
      </c>
      <c r="L1616" s="3">
        <v>0.16</v>
      </c>
      <c r="N1616" t="s">
        <v>3763</v>
      </c>
      <c r="S1616" s="4" t="e">
        <f t="shared" si="102"/>
        <v>#NUM!</v>
      </c>
      <c r="T1616" s="4" t="str">
        <f t="shared" si="100"/>
        <v/>
      </c>
      <c r="U1616" s="4" t="s">
        <v>3763</v>
      </c>
    </row>
    <row r="1617" spans="1:21" x14ac:dyDescent="0.3">
      <c r="A1617" t="s">
        <v>2196</v>
      </c>
      <c r="B1617" s="1" t="s">
        <v>434</v>
      </c>
      <c r="C1617" s="1" t="s">
        <v>435</v>
      </c>
      <c r="D1617" s="1" t="s">
        <v>24</v>
      </c>
      <c r="E1617" s="2">
        <v>43319</v>
      </c>
      <c r="F1617" s="2" t="b">
        <f t="shared" si="103"/>
        <v>1</v>
      </c>
      <c r="G1617" s="2">
        <f t="shared" si="101"/>
        <v>43319</v>
      </c>
      <c r="H1617" s="1" t="s">
        <v>14</v>
      </c>
      <c r="I1617" s="1" t="s">
        <v>764</v>
      </c>
      <c r="J1617" s="1">
        <v>80</v>
      </c>
      <c r="K1617" s="1">
        <v>78</v>
      </c>
      <c r="L1617" s="3">
        <v>2.5000000000000001E-2</v>
      </c>
      <c r="N1617" t="s">
        <v>3763</v>
      </c>
      <c r="S1617" s="4" t="e">
        <f t="shared" si="102"/>
        <v>#NUM!</v>
      </c>
      <c r="T1617" s="4" t="str">
        <f t="shared" si="100"/>
        <v/>
      </c>
      <c r="U1617" s="4" t="s">
        <v>3763</v>
      </c>
    </row>
    <row r="1618" spans="1:21" x14ac:dyDescent="0.3">
      <c r="A1618" t="s">
        <v>2197</v>
      </c>
      <c r="B1618" s="1" t="s">
        <v>324</v>
      </c>
      <c r="C1618" s="1" t="s">
        <v>325</v>
      </c>
      <c r="D1618" s="1" t="s">
        <v>13</v>
      </c>
      <c r="E1618" s="2">
        <v>42736</v>
      </c>
      <c r="F1618" s="2" t="b">
        <f t="shared" si="103"/>
        <v>1</v>
      </c>
      <c r="G1618" s="2">
        <f t="shared" si="101"/>
        <v>42736</v>
      </c>
      <c r="H1618" s="1" t="s">
        <v>61</v>
      </c>
      <c r="I1618" s="1" t="s">
        <v>1192</v>
      </c>
      <c r="J1618" s="1">
        <v>1000</v>
      </c>
      <c r="K1618" s="1">
        <v>690</v>
      </c>
      <c r="L1618" s="3">
        <v>0.31</v>
      </c>
      <c r="N1618" t="s">
        <v>3763</v>
      </c>
      <c r="S1618" s="4" t="e">
        <f t="shared" si="102"/>
        <v>#NUM!</v>
      </c>
      <c r="T1618" s="4" t="str">
        <f t="shared" si="100"/>
        <v/>
      </c>
      <c r="U1618" s="4" t="s">
        <v>3763</v>
      </c>
    </row>
    <row r="1619" spans="1:21" x14ac:dyDescent="0.3">
      <c r="A1619" t="s">
        <v>2198</v>
      </c>
      <c r="B1619" s="1" t="s">
        <v>91</v>
      </c>
      <c r="C1619" s="1" t="s">
        <v>92</v>
      </c>
      <c r="D1619" s="1" t="s">
        <v>35</v>
      </c>
      <c r="E1619" s="2" t="s">
        <v>3613</v>
      </c>
      <c r="F1619" s="2" t="b">
        <f t="shared" si="103"/>
        <v>0</v>
      </c>
      <c r="G1619" s="2">
        <f t="shared" si="101"/>
        <v>41911</v>
      </c>
      <c r="H1619" s="1" t="s">
        <v>30</v>
      </c>
      <c r="I1619" s="1" t="s">
        <v>1155</v>
      </c>
      <c r="J1619" s="1">
        <v>150</v>
      </c>
      <c r="K1619" s="1">
        <v>138</v>
      </c>
      <c r="L1619" s="3">
        <v>0.08</v>
      </c>
      <c r="N1619" t="s">
        <v>3613</v>
      </c>
      <c r="P1619">
        <v>9</v>
      </c>
      <c r="Q1619">
        <v>29</v>
      </c>
      <c r="R1619">
        <v>2014</v>
      </c>
      <c r="S1619" s="4">
        <f t="shared" si="102"/>
        <v>41911</v>
      </c>
      <c r="T1619" s="4">
        <f t="shared" si="100"/>
        <v>41911</v>
      </c>
      <c r="U1619" s="4">
        <v>41911</v>
      </c>
    </row>
    <row r="1620" spans="1:21" x14ac:dyDescent="0.3">
      <c r="A1620" t="s">
        <v>2199</v>
      </c>
      <c r="B1620" s="1" t="s">
        <v>131</v>
      </c>
      <c r="C1620" s="1" t="s">
        <v>108</v>
      </c>
      <c r="D1620" s="1" t="s">
        <v>19</v>
      </c>
      <c r="E1620" s="2" t="s">
        <v>3516</v>
      </c>
      <c r="F1620" s="2" t="b">
        <f t="shared" si="103"/>
        <v>0</v>
      </c>
      <c r="G1620" s="2">
        <f t="shared" si="101"/>
        <v>42853</v>
      </c>
      <c r="H1620" s="1" t="s">
        <v>104</v>
      </c>
      <c r="I1620" s="1" t="s">
        <v>132</v>
      </c>
      <c r="J1620" s="1">
        <v>70</v>
      </c>
      <c r="K1620" s="1">
        <v>68</v>
      </c>
      <c r="L1620" s="3">
        <v>2.86E-2</v>
      </c>
      <c r="N1620" t="s">
        <v>3516</v>
      </c>
      <c r="P1620">
        <v>4</v>
      </c>
      <c r="Q1620">
        <v>28</v>
      </c>
      <c r="R1620">
        <v>2017</v>
      </c>
      <c r="S1620" s="4">
        <f t="shared" si="102"/>
        <v>42853</v>
      </c>
      <c r="T1620" s="4">
        <f t="shared" si="100"/>
        <v>42853</v>
      </c>
      <c r="U1620" s="4">
        <v>42853</v>
      </c>
    </row>
    <row r="1621" spans="1:21" x14ac:dyDescent="0.3">
      <c r="A1621" t="s">
        <v>2200</v>
      </c>
      <c r="B1621" s="1" t="s">
        <v>2191</v>
      </c>
      <c r="C1621" s="1" t="s">
        <v>108</v>
      </c>
      <c r="D1621" s="1" t="s">
        <v>19</v>
      </c>
      <c r="E1621" s="2" t="s">
        <v>3614</v>
      </c>
      <c r="F1621" s="2" t="b">
        <f t="shared" si="103"/>
        <v>0</v>
      </c>
      <c r="G1621" s="2">
        <f t="shared" si="101"/>
        <v>41819</v>
      </c>
      <c r="H1621" s="1" t="s">
        <v>72</v>
      </c>
      <c r="I1621" s="1" t="s">
        <v>2201</v>
      </c>
      <c r="J1621" s="1">
        <v>500</v>
      </c>
      <c r="K1621" s="1">
        <v>490</v>
      </c>
      <c r="L1621" s="3">
        <v>0.02</v>
      </c>
      <c r="N1621" t="s">
        <v>3614</v>
      </c>
      <c r="P1621">
        <v>6</v>
      </c>
      <c r="Q1621">
        <v>29</v>
      </c>
      <c r="R1621">
        <v>2014</v>
      </c>
      <c r="S1621" s="4">
        <f t="shared" si="102"/>
        <v>41819</v>
      </c>
      <c r="T1621" s="4">
        <f t="shared" si="100"/>
        <v>41819</v>
      </c>
      <c r="U1621" s="4">
        <v>41819</v>
      </c>
    </row>
    <row r="1622" spans="1:21" x14ac:dyDescent="0.3">
      <c r="A1622" t="s">
        <v>2202</v>
      </c>
      <c r="B1622" s="1" t="s">
        <v>170</v>
      </c>
      <c r="C1622" s="1" t="s">
        <v>171</v>
      </c>
      <c r="D1622" s="1" t="s">
        <v>13</v>
      </c>
      <c r="E1622" s="2">
        <v>42279</v>
      </c>
      <c r="F1622" s="2" t="b">
        <f t="shared" si="103"/>
        <v>1</v>
      </c>
      <c r="G1622" s="2">
        <f t="shared" si="101"/>
        <v>42279</v>
      </c>
      <c r="H1622" s="1" t="s">
        <v>41</v>
      </c>
      <c r="I1622" s="1" t="s">
        <v>941</v>
      </c>
      <c r="J1622" s="1">
        <v>30</v>
      </c>
      <c r="K1622" s="1">
        <v>25</v>
      </c>
      <c r="L1622" s="3">
        <v>0.16669999999999999</v>
      </c>
      <c r="N1622" t="s">
        <v>3763</v>
      </c>
      <c r="S1622" s="4" t="e">
        <f t="shared" si="102"/>
        <v>#NUM!</v>
      </c>
      <c r="T1622" s="4" t="str">
        <f t="shared" si="100"/>
        <v/>
      </c>
      <c r="U1622" s="4" t="s">
        <v>3763</v>
      </c>
    </row>
    <row r="1623" spans="1:21" x14ac:dyDescent="0.3">
      <c r="A1623" t="s">
        <v>2203</v>
      </c>
      <c r="B1623" s="1" t="s">
        <v>170</v>
      </c>
      <c r="C1623" s="1" t="s">
        <v>171</v>
      </c>
      <c r="D1623" s="1" t="s">
        <v>13</v>
      </c>
      <c r="E1623" s="2" t="s">
        <v>3132</v>
      </c>
      <c r="F1623" s="2" t="b">
        <f t="shared" si="103"/>
        <v>0</v>
      </c>
      <c r="G1623" s="2">
        <f t="shared" si="101"/>
        <v>43279</v>
      </c>
      <c r="H1623" s="1" t="s">
        <v>55</v>
      </c>
      <c r="I1623" s="1" t="s">
        <v>172</v>
      </c>
      <c r="J1623" s="1">
        <v>800</v>
      </c>
      <c r="K1623" s="1">
        <v>576</v>
      </c>
      <c r="L1623" s="3">
        <v>0.28000000000000003</v>
      </c>
      <c r="N1623" t="s">
        <v>3132</v>
      </c>
      <c r="P1623">
        <v>6</v>
      </c>
      <c r="Q1623">
        <v>28</v>
      </c>
      <c r="R1623">
        <v>2018</v>
      </c>
      <c r="S1623" s="4">
        <f t="shared" si="102"/>
        <v>43279</v>
      </c>
      <c r="T1623" s="4">
        <f t="shared" si="100"/>
        <v>43279</v>
      </c>
      <c r="U1623" s="4">
        <v>43279</v>
      </c>
    </row>
    <row r="1624" spans="1:21" x14ac:dyDescent="0.3">
      <c r="A1624" t="s">
        <v>2204</v>
      </c>
      <c r="B1624" s="1" t="s">
        <v>270</v>
      </c>
      <c r="C1624" s="1" t="s">
        <v>271</v>
      </c>
      <c r="D1624" s="1" t="s">
        <v>35</v>
      </c>
      <c r="E1624" s="2" t="s">
        <v>3615</v>
      </c>
      <c r="F1624" s="2" t="b">
        <f t="shared" si="103"/>
        <v>0</v>
      </c>
      <c r="G1624" s="2">
        <f t="shared" si="101"/>
        <v>43245</v>
      </c>
      <c r="H1624" s="1" t="s">
        <v>36</v>
      </c>
      <c r="I1624" s="1" t="s">
        <v>809</v>
      </c>
      <c r="J1624" s="1">
        <v>50</v>
      </c>
      <c r="K1624" s="1">
        <v>48</v>
      </c>
      <c r="L1624" s="3">
        <v>0.04</v>
      </c>
      <c r="N1624" t="s">
        <v>3615</v>
      </c>
      <c r="P1624">
        <v>5</v>
      </c>
      <c r="Q1624">
        <v>25</v>
      </c>
      <c r="R1624">
        <v>2018</v>
      </c>
      <c r="S1624" s="4">
        <f t="shared" si="102"/>
        <v>43245</v>
      </c>
      <c r="T1624" s="4">
        <f t="shared" si="100"/>
        <v>43245</v>
      </c>
      <c r="U1624" s="4">
        <v>43245</v>
      </c>
    </row>
    <row r="1625" spans="1:21" x14ac:dyDescent="0.3">
      <c r="A1625" t="s">
        <v>2205</v>
      </c>
      <c r="B1625" s="1" t="s">
        <v>255</v>
      </c>
      <c r="C1625" s="1" t="s">
        <v>256</v>
      </c>
      <c r="D1625" s="1" t="s">
        <v>13</v>
      </c>
      <c r="E1625" s="2">
        <v>42465</v>
      </c>
      <c r="F1625" s="2" t="b">
        <f t="shared" si="103"/>
        <v>1</v>
      </c>
      <c r="G1625" s="2">
        <f t="shared" si="101"/>
        <v>42465</v>
      </c>
      <c r="H1625" s="1" t="s">
        <v>115</v>
      </c>
      <c r="I1625" s="1" t="s">
        <v>1345</v>
      </c>
      <c r="J1625" s="1">
        <v>250</v>
      </c>
      <c r="K1625" s="1">
        <v>233</v>
      </c>
      <c r="L1625" s="3">
        <v>6.8000000000000005E-2</v>
      </c>
      <c r="N1625" t="s">
        <v>3763</v>
      </c>
      <c r="S1625" s="4" t="e">
        <f t="shared" si="102"/>
        <v>#NUM!</v>
      </c>
      <c r="T1625" s="4" t="str">
        <f t="shared" si="100"/>
        <v/>
      </c>
      <c r="U1625" s="4" t="s">
        <v>3763</v>
      </c>
    </row>
    <row r="1626" spans="1:21" x14ac:dyDescent="0.3">
      <c r="A1626" t="s">
        <v>2206</v>
      </c>
      <c r="B1626" s="1" t="s">
        <v>103</v>
      </c>
      <c r="C1626" s="1" t="s">
        <v>71</v>
      </c>
      <c r="D1626" s="1" t="s">
        <v>35</v>
      </c>
      <c r="E1626" s="2" t="s">
        <v>3271</v>
      </c>
      <c r="F1626" s="2" t="b">
        <f t="shared" si="103"/>
        <v>0</v>
      </c>
      <c r="G1626" s="2">
        <f t="shared" si="101"/>
        <v>42633</v>
      </c>
      <c r="H1626" s="1" t="s">
        <v>115</v>
      </c>
      <c r="I1626" s="1" t="s">
        <v>603</v>
      </c>
      <c r="J1626" s="1">
        <v>250</v>
      </c>
      <c r="K1626" s="1">
        <v>230</v>
      </c>
      <c r="L1626" s="3">
        <v>0.08</v>
      </c>
      <c r="N1626" t="s">
        <v>3271</v>
      </c>
      <c r="P1626">
        <v>9</v>
      </c>
      <c r="Q1626">
        <v>20</v>
      </c>
      <c r="R1626">
        <v>2016</v>
      </c>
      <c r="S1626" s="4">
        <f t="shared" si="102"/>
        <v>42633</v>
      </c>
      <c r="T1626" s="4">
        <f t="shared" si="100"/>
        <v>42633</v>
      </c>
      <c r="U1626" s="4">
        <v>42633</v>
      </c>
    </row>
    <row r="1627" spans="1:21" x14ac:dyDescent="0.3">
      <c r="A1627" t="s">
        <v>2207</v>
      </c>
      <c r="B1627" s="1" t="s">
        <v>11</v>
      </c>
      <c r="C1627" s="1" t="s">
        <v>12</v>
      </c>
      <c r="D1627" s="1" t="s">
        <v>13</v>
      </c>
      <c r="E1627" s="2">
        <v>41978</v>
      </c>
      <c r="F1627" s="2" t="b">
        <f t="shared" si="103"/>
        <v>1</v>
      </c>
      <c r="G1627" s="2">
        <f t="shared" si="101"/>
        <v>41978</v>
      </c>
      <c r="H1627" s="1" t="s">
        <v>25</v>
      </c>
      <c r="I1627" s="1" t="s">
        <v>276</v>
      </c>
      <c r="J1627" s="1">
        <v>700</v>
      </c>
      <c r="K1627" s="1">
        <v>679</v>
      </c>
      <c r="L1627" s="3">
        <v>0.03</v>
      </c>
      <c r="N1627" t="s">
        <v>3763</v>
      </c>
      <c r="S1627" s="4" t="e">
        <f t="shared" si="102"/>
        <v>#NUM!</v>
      </c>
      <c r="T1627" s="4" t="str">
        <f t="shared" si="100"/>
        <v/>
      </c>
      <c r="U1627" s="4" t="s">
        <v>3763</v>
      </c>
    </row>
    <row r="1628" spans="1:21" x14ac:dyDescent="0.3">
      <c r="A1628" t="s">
        <v>2208</v>
      </c>
      <c r="B1628" s="1" t="s">
        <v>174</v>
      </c>
      <c r="C1628" s="1" t="s">
        <v>175</v>
      </c>
      <c r="D1628" s="1" t="s">
        <v>13</v>
      </c>
      <c r="E1628" s="2" t="s">
        <v>3362</v>
      </c>
      <c r="F1628" s="2" t="b">
        <f t="shared" si="103"/>
        <v>0</v>
      </c>
      <c r="G1628" s="2">
        <f t="shared" si="101"/>
        <v>43422</v>
      </c>
      <c r="H1628" s="1" t="s">
        <v>36</v>
      </c>
      <c r="I1628" s="1" t="s">
        <v>1456</v>
      </c>
      <c r="J1628" s="1">
        <v>50</v>
      </c>
      <c r="K1628" s="1">
        <v>44</v>
      </c>
      <c r="L1628" s="3">
        <v>0.12</v>
      </c>
      <c r="N1628" t="s">
        <v>3362</v>
      </c>
      <c r="P1628">
        <v>11</v>
      </c>
      <c r="Q1628">
        <v>18</v>
      </c>
      <c r="R1628">
        <v>2018</v>
      </c>
      <c r="S1628" s="4">
        <f t="shared" si="102"/>
        <v>43422</v>
      </c>
      <c r="T1628" s="4">
        <f t="shared" si="100"/>
        <v>43422</v>
      </c>
      <c r="U1628" s="4">
        <v>43422</v>
      </c>
    </row>
    <row r="1629" spans="1:21" x14ac:dyDescent="0.3">
      <c r="A1629" t="s">
        <v>2209</v>
      </c>
      <c r="B1629" s="1" t="s">
        <v>111</v>
      </c>
      <c r="C1629" s="1" t="s">
        <v>82</v>
      </c>
      <c r="D1629" s="1" t="s">
        <v>13</v>
      </c>
      <c r="E1629" s="2" t="s">
        <v>3402</v>
      </c>
      <c r="F1629" s="2" t="b">
        <f t="shared" si="103"/>
        <v>0</v>
      </c>
      <c r="G1629" s="2">
        <f t="shared" si="101"/>
        <v>42786</v>
      </c>
      <c r="H1629" s="1" t="s">
        <v>41</v>
      </c>
      <c r="I1629" s="1" t="s">
        <v>456</v>
      </c>
      <c r="J1629" s="1">
        <v>30</v>
      </c>
      <c r="K1629" s="1">
        <v>29</v>
      </c>
      <c r="L1629" s="3">
        <v>3.3300000000000003E-2</v>
      </c>
      <c r="N1629" t="s">
        <v>3402</v>
      </c>
      <c r="P1629">
        <v>2</v>
      </c>
      <c r="Q1629">
        <v>20</v>
      </c>
      <c r="R1629">
        <v>2017</v>
      </c>
      <c r="S1629" s="4">
        <f t="shared" si="102"/>
        <v>42786</v>
      </c>
      <c r="T1629" s="4">
        <f t="shared" si="100"/>
        <v>42786</v>
      </c>
      <c r="U1629" s="4">
        <v>42786</v>
      </c>
    </row>
    <row r="1630" spans="1:21" x14ac:dyDescent="0.3">
      <c r="A1630" t="s">
        <v>2210</v>
      </c>
      <c r="B1630" s="1" t="s">
        <v>81</v>
      </c>
      <c r="C1630" s="1" t="s">
        <v>82</v>
      </c>
      <c r="D1630" s="1" t="s">
        <v>13</v>
      </c>
      <c r="E1630" s="2">
        <v>42341</v>
      </c>
      <c r="F1630" s="2" t="b">
        <f t="shared" si="103"/>
        <v>1</v>
      </c>
      <c r="G1630" s="2">
        <f t="shared" si="101"/>
        <v>42341</v>
      </c>
      <c r="H1630" s="1" t="s">
        <v>25</v>
      </c>
      <c r="I1630" s="1" t="s">
        <v>1493</v>
      </c>
      <c r="J1630" s="1">
        <v>700</v>
      </c>
      <c r="K1630" s="1">
        <v>462</v>
      </c>
      <c r="L1630" s="3">
        <v>0.34</v>
      </c>
      <c r="N1630" t="s">
        <v>3763</v>
      </c>
      <c r="S1630" s="4" t="e">
        <f t="shared" si="102"/>
        <v>#NUM!</v>
      </c>
      <c r="T1630" s="4" t="str">
        <f t="shared" si="100"/>
        <v/>
      </c>
      <c r="U1630" s="4" t="s">
        <v>3763</v>
      </c>
    </row>
    <row r="1631" spans="1:21" x14ac:dyDescent="0.3">
      <c r="A1631" t="s">
        <v>2211</v>
      </c>
      <c r="B1631" s="1" t="s">
        <v>70</v>
      </c>
      <c r="C1631" s="1" t="s">
        <v>71</v>
      </c>
      <c r="D1631" s="1" t="s">
        <v>35</v>
      </c>
      <c r="E1631" s="2" t="s">
        <v>3270</v>
      </c>
      <c r="F1631" s="2" t="b">
        <f t="shared" si="103"/>
        <v>0</v>
      </c>
      <c r="G1631" s="2">
        <f t="shared" si="101"/>
        <v>42852</v>
      </c>
      <c r="H1631" s="1" t="s">
        <v>61</v>
      </c>
      <c r="I1631" s="1" t="s">
        <v>962</v>
      </c>
      <c r="J1631" s="1">
        <v>1000</v>
      </c>
      <c r="K1631" s="1">
        <v>860</v>
      </c>
      <c r="L1631" s="3">
        <v>0.14000000000000001</v>
      </c>
      <c r="N1631" t="s">
        <v>3270</v>
      </c>
      <c r="P1631">
        <v>4</v>
      </c>
      <c r="Q1631">
        <v>27</v>
      </c>
      <c r="R1631">
        <v>2017</v>
      </c>
      <c r="S1631" s="4">
        <f t="shared" si="102"/>
        <v>42852</v>
      </c>
      <c r="T1631" s="4">
        <f t="shared" si="100"/>
        <v>42852</v>
      </c>
      <c r="U1631" s="4">
        <v>42852</v>
      </c>
    </row>
    <row r="1632" spans="1:21" x14ac:dyDescent="0.3">
      <c r="A1632" t="s">
        <v>2212</v>
      </c>
      <c r="B1632" s="1" t="s">
        <v>22</v>
      </c>
      <c r="C1632" s="1" t="s">
        <v>23</v>
      </c>
      <c r="D1632" s="1" t="s">
        <v>24</v>
      </c>
      <c r="E1632" s="2" t="s">
        <v>3262</v>
      </c>
      <c r="F1632" s="2" t="b">
        <f t="shared" si="103"/>
        <v>0</v>
      </c>
      <c r="G1632" s="2">
        <f t="shared" si="101"/>
        <v>41836</v>
      </c>
      <c r="H1632" s="1" t="s">
        <v>122</v>
      </c>
      <c r="I1632" s="1" t="s">
        <v>26</v>
      </c>
      <c r="J1632" s="1">
        <v>50</v>
      </c>
      <c r="K1632" s="1">
        <v>37</v>
      </c>
      <c r="L1632" s="3">
        <v>0.26</v>
      </c>
      <c r="N1632" t="s">
        <v>3262</v>
      </c>
      <c r="P1632">
        <v>7</v>
      </c>
      <c r="Q1632">
        <v>16</v>
      </c>
      <c r="R1632">
        <v>2014</v>
      </c>
      <c r="S1632" s="4">
        <f t="shared" si="102"/>
        <v>41836</v>
      </c>
      <c r="T1632" s="4">
        <f t="shared" si="100"/>
        <v>41836</v>
      </c>
      <c r="U1632" s="4">
        <v>41836</v>
      </c>
    </row>
    <row r="1633" spans="1:21" x14ac:dyDescent="0.3">
      <c r="A1633" t="s">
        <v>2213</v>
      </c>
      <c r="B1633" s="1" t="s">
        <v>170</v>
      </c>
      <c r="C1633" s="1" t="s">
        <v>171</v>
      </c>
      <c r="D1633" s="1" t="s">
        <v>13</v>
      </c>
      <c r="E1633" s="2" t="s">
        <v>3616</v>
      </c>
      <c r="F1633" s="2" t="b">
        <f t="shared" si="103"/>
        <v>0</v>
      </c>
      <c r="G1633" s="2">
        <f t="shared" si="101"/>
        <v>42325</v>
      </c>
      <c r="H1633" s="1" t="s">
        <v>115</v>
      </c>
      <c r="I1633" s="1" t="s">
        <v>1864</v>
      </c>
      <c r="J1633" s="1">
        <v>250</v>
      </c>
      <c r="K1633" s="1">
        <v>173</v>
      </c>
      <c r="L1633" s="3">
        <v>0.308</v>
      </c>
      <c r="N1633" t="s">
        <v>3616</v>
      </c>
      <c r="P1633">
        <v>11</v>
      </c>
      <c r="Q1633">
        <v>17</v>
      </c>
      <c r="R1633">
        <v>2015</v>
      </c>
      <c r="S1633" s="4">
        <f t="shared" si="102"/>
        <v>42325</v>
      </c>
      <c r="T1633" s="4">
        <f t="shared" si="100"/>
        <v>42325</v>
      </c>
      <c r="U1633" s="4">
        <v>42325</v>
      </c>
    </row>
    <row r="1634" spans="1:21" x14ac:dyDescent="0.3">
      <c r="A1634" t="s">
        <v>2214</v>
      </c>
      <c r="B1634" s="1" t="s">
        <v>400</v>
      </c>
      <c r="C1634" s="1" t="s">
        <v>401</v>
      </c>
      <c r="D1634" s="1" t="s">
        <v>13</v>
      </c>
      <c r="E1634" s="2">
        <v>42863</v>
      </c>
      <c r="F1634" s="2" t="b">
        <f t="shared" si="103"/>
        <v>1</v>
      </c>
      <c r="G1634" s="2">
        <f t="shared" si="101"/>
        <v>42863</v>
      </c>
      <c r="H1634" s="1" t="s">
        <v>25</v>
      </c>
      <c r="I1634" s="1" t="s">
        <v>1281</v>
      </c>
      <c r="J1634" s="1">
        <v>700</v>
      </c>
      <c r="K1634" s="1">
        <v>637</v>
      </c>
      <c r="L1634" s="3">
        <v>0.09</v>
      </c>
      <c r="N1634" t="s">
        <v>3763</v>
      </c>
      <c r="S1634" s="4" t="e">
        <f t="shared" si="102"/>
        <v>#NUM!</v>
      </c>
      <c r="T1634" s="4" t="str">
        <f t="shared" si="100"/>
        <v/>
      </c>
      <c r="U1634" s="4" t="s">
        <v>3763</v>
      </c>
    </row>
    <row r="1635" spans="1:21" x14ac:dyDescent="0.3">
      <c r="A1635" t="s">
        <v>2215</v>
      </c>
      <c r="B1635" s="1" t="s">
        <v>2191</v>
      </c>
      <c r="C1635" s="1" t="s">
        <v>108</v>
      </c>
      <c r="D1635" s="1" t="s">
        <v>19</v>
      </c>
      <c r="E1635" s="2" t="s">
        <v>3617</v>
      </c>
      <c r="F1635" s="2" t="b">
        <f t="shared" si="103"/>
        <v>0</v>
      </c>
      <c r="G1635" s="2">
        <f t="shared" si="101"/>
        <v>42085</v>
      </c>
      <c r="H1635" s="1" t="s">
        <v>104</v>
      </c>
      <c r="I1635" s="1" t="s">
        <v>2192</v>
      </c>
      <c r="J1635" s="1">
        <v>70</v>
      </c>
      <c r="K1635" s="1">
        <v>48</v>
      </c>
      <c r="L1635" s="3">
        <v>0.31430000000000002</v>
      </c>
      <c r="N1635" t="s">
        <v>3617</v>
      </c>
      <c r="P1635">
        <v>3</v>
      </c>
      <c r="Q1635">
        <v>22</v>
      </c>
      <c r="R1635">
        <v>2015</v>
      </c>
      <c r="S1635" s="4">
        <f t="shared" si="102"/>
        <v>42085</v>
      </c>
      <c r="T1635" s="4">
        <f t="shared" si="100"/>
        <v>42085</v>
      </c>
      <c r="U1635" s="4">
        <v>42085</v>
      </c>
    </row>
    <row r="1636" spans="1:21" x14ac:dyDescent="0.3">
      <c r="A1636" t="s">
        <v>2216</v>
      </c>
      <c r="B1636" s="1" t="s">
        <v>17</v>
      </c>
      <c r="C1636" s="1" t="s">
        <v>18</v>
      </c>
      <c r="D1636" s="1" t="s">
        <v>19</v>
      </c>
      <c r="E1636" s="2" t="s">
        <v>3618</v>
      </c>
      <c r="F1636" s="2" t="b">
        <f t="shared" si="103"/>
        <v>0</v>
      </c>
      <c r="G1636" s="2">
        <f t="shared" si="101"/>
        <v>42123</v>
      </c>
      <c r="H1636" s="1" t="s">
        <v>104</v>
      </c>
      <c r="I1636" s="1" t="s">
        <v>543</v>
      </c>
      <c r="J1636" s="1">
        <v>70</v>
      </c>
      <c r="K1636" s="1">
        <v>43</v>
      </c>
      <c r="L1636" s="3">
        <v>0.38569999999999999</v>
      </c>
      <c r="N1636" t="s">
        <v>3618</v>
      </c>
      <c r="P1636">
        <v>4</v>
      </c>
      <c r="Q1636">
        <v>29</v>
      </c>
      <c r="R1636">
        <v>2015</v>
      </c>
      <c r="S1636" s="4">
        <f t="shared" si="102"/>
        <v>42123</v>
      </c>
      <c r="T1636" s="4">
        <f t="shared" si="100"/>
        <v>42123</v>
      </c>
      <c r="U1636" s="4">
        <v>42123</v>
      </c>
    </row>
    <row r="1637" spans="1:21" x14ac:dyDescent="0.3">
      <c r="A1637" t="s">
        <v>2217</v>
      </c>
      <c r="B1637" s="1" t="s">
        <v>39</v>
      </c>
      <c r="C1637" s="1" t="s">
        <v>40</v>
      </c>
      <c r="D1637" s="1" t="s">
        <v>35</v>
      </c>
      <c r="E1637" s="2">
        <v>42073</v>
      </c>
      <c r="F1637" s="2" t="b">
        <f t="shared" si="103"/>
        <v>1</v>
      </c>
      <c r="G1637" s="2">
        <f t="shared" si="101"/>
        <v>42073</v>
      </c>
      <c r="H1637" s="1" t="s">
        <v>41</v>
      </c>
      <c r="I1637" s="1" t="s">
        <v>1304</v>
      </c>
      <c r="J1637" s="1">
        <v>30</v>
      </c>
      <c r="K1637" s="1">
        <v>21</v>
      </c>
      <c r="L1637" s="3">
        <v>0.3</v>
      </c>
      <c r="N1637" t="s">
        <v>3763</v>
      </c>
      <c r="S1637" s="4" t="e">
        <f t="shared" si="102"/>
        <v>#NUM!</v>
      </c>
      <c r="T1637" s="4" t="str">
        <f t="shared" si="100"/>
        <v/>
      </c>
      <c r="U1637" s="4" t="s">
        <v>3763</v>
      </c>
    </row>
    <row r="1638" spans="1:21" x14ac:dyDescent="0.3">
      <c r="A1638" t="s">
        <v>2218</v>
      </c>
      <c r="B1638" s="1" t="s">
        <v>174</v>
      </c>
      <c r="C1638" s="1" t="s">
        <v>175</v>
      </c>
      <c r="D1638" s="1" t="s">
        <v>13</v>
      </c>
      <c r="E1638" s="2" t="s">
        <v>3265</v>
      </c>
      <c r="F1638" s="2" t="b">
        <f t="shared" si="103"/>
        <v>0</v>
      </c>
      <c r="G1638" s="2">
        <f t="shared" si="101"/>
        <v>41864</v>
      </c>
      <c r="H1638" s="1" t="s">
        <v>30</v>
      </c>
      <c r="I1638" s="1" t="s">
        <v>219</v>
      </c>
      <c r="J1638" s="1">
        <v>150</v>
      </c>
      <c r="K1638" s="1">
        <v>107</v>
      </c>
      <c r="L1638" s="3">
        <v>0.28670000000000001</v>
      </c>
      <c r="N1638" t="s">
        <v>3265</v>
      </c>
      <c r="P1638">
        <v>8</v>
      </c>
      <c r="Q1638">
        <v>13</v>
      </c>
      <c r="R1638">
        <v>2014</v>
      </c>
      <c r="S1638" s="4">
        <f t="shared" si="102"/>
        <v>41864</v>
      </c>
      <c r="T1638" s="4">
        <f t="shared" si="100"/>
        <v>41864</v>
      </c>
      <c r="U1638" s="4">
        <v>41864</v>
      </c>
    </row>
    <row r="1639" spans="1:21" x14ac:dyDescent="0.3">
      <c r="A1639" t="s">
        <v>2219</v>
      </c>
      <c r="B1639" s="1" t="s">
        <v>205</v>
      </c>
      <c r="C1639" s="1" t="s">
        <v>206</v>
      </c>
      <c r="D1639" s="1" t="s">
        <v>24</v>
      </c>
      <c r="E1639" s="2">
        <v>41709</v>
      </c>
      <c r="F1639" s="2" t="b">
        <f t="shared" si="103"/>
        <v>1</v>
      </c>
      <c r="G1639" s="2">
        <f t="shared" si="101"/>
        <v>41709</v>
      </c>
      <c r="H1639" s="1" t="s">
        <v>36</v>
      </c>
      <c r="I1639" s="1" t="s">
        <v>635</v>
      </c>
      <c r="J1639" s="1">
        <v>50</v>
      </c>
      <c r="K1639" s="1">
        <v>48</v>
      </c>
      <c r="L1639" s="3">
        <v>0.04</v>
      </c>
      <c r="N1639" t="s">
        <v>3763</v>
      </c>
      <c r="S1639" s="4" t="e">
        <f t="shared" si="102"/>
        <v>#NUM!</v>
      </c>
      <c r="T1639" s="4" t="str">
        <f t="shared" si="100"/>
        <v/>
      </c>
      <c r="U1639" s="4" t="s">
        <v>3763</v>
      </c>
    </row>
    <row r="1640" spans="1:21" x14ac:dyDescent="0.3">
      <c r="A1640" t="s">
        <v>2220</v>
      </c>
      <c r="B1640" s="1" t="s">
        <v>2170</v>
      </c>
      <c r="C1640" s="1" t="s">
        <v>18</v>
      </c>
      <c r="D1640" s="1" t="s">
        <v>19</v>
      </c>
      <c r="E1640" s="2">
        <v>42806</v>
      </c>
      <c r="F1640" s="2" t="b">
        <f t="shared" si="103"/>
        <v>1</v>
      </c>
      <c r="G1640" s="2">
        <f t="shared" si="101"/>
        <v>42806</v>
      </c>
      <c r="H1640" s="1" t="s">
        <v>122</v>
      </c>
      <c r="I1640" s="1" t="s">
        <v>2221</v>
      </c>
      <c r="J1640" s="1">
        <v>50</v>
      </c>
      <c r="K1640" s="1">
        <v>45</v>
      </c>
      <c r="L1640" s="3">
        <v>0.1</v>
      </c>
      <c r="N1640" t="s">
        <v>3763</v>
      </c>
      <c r="S1640" s="4" t="e">
        <f t="shared" si="102"/>
        <v>#NUM!</v>
      </c>
      <c r="T1640" s="4" t="str">
        <f t="shared" si="100"/>
        <v/>
      </c>
      <c r="U1640" s="4" t="s">
        <v>3763</v>
      </c>
    </row>
    <row r="1641" spans="1:21" x14ac:dyDescent="0.3">
      <c r="A1641" t="s">
        <v>2222</v>
      </c>
      <c r="B1641" s="1" t="s">
        <v>33</v>
      </c>
      <c r="C1641" s="1" t="s">
        <v>34</v>
      </c>
      <c r="D1641" s="1" t="s">
        <v>35</v>
      </c>
      <c r="E1641" s="2">
        <v>42618</v>
      </c>
      <c r="F1641" s="2" t="b">
        <f t="shared" si="103"/>
        <v>1</v>
      </c>
      <c r="G1641" s="2">
        <f t="shared" si="101"/>
        <v>42618</v>
      </c>
      <c r="H1641" s="1" t="s">
        <v>104</v>
      </c>
      <c r="I1641" s="1" t="s">
        <v>160</v>
      </c>
      <c r="J1641" s="1">
        <v>70</v>
      </c>
      <c r="K1641" s="1">
        <v>68</v>
      </c>
      <c r="L1641" s="3">
        <v>2.86E-2</v>
      </c>
      <c r="N1641" t="s">
        <v>3763</v>
      </c>
      <c r="S1641" s="4" t="e">
        <f t="shared" si="102"/>
        <v>#NUM!</v>
      </c>
      <c r="T1641" s="4" t="str">
        <f t="shared" si="100"/>
        <v/>
      </c>
      <c r="U1641" s="4" t="s">
        <v>3763</v>
      </c>
    </row>
    <row r="1642" spans="1:21" x14ac:dyDescent="0.3">
      <c r="A1642" t="s">
        <v>2223</v>
      </c>
      <c r="B1642" s="1" t="s">
        <v>131</v>
      </c>
      <c r="C1642" s="1" t="s">
        <v>108</v>
      </c>
      <c r="D1642" s="1" t="s">
        <v>19</v>
      </c>
      <c r="E1642" s="2" t="s">
        <v>3619</v>
      </c>
      <c r="F1642" s="2" t="b">
        <f t="shared" si="103"/>
        <v>0</v>
      </c>
      <c r="G1642" s="2">
        <f t="shared" si="101"/>
        <v>41927</v>
      </c>
      <c r="H1642" s="1" t="s">
        <v>36</v>
      </c>
      <c r="I1642" s="1" t="s">
        <v>132</v>
      </c>
      <c r="J1642" s="1">
        <v>50</v>
      </c>
      <c r="K1642" s="1">
        <v>45</v>
      </c>
      <c r="L1642" s="3">
        <v>0.1</v>
      </c>
      <c r="N1642" t="s">
        <v>3619</v>
      </c>
      <c r="P1642">
        <v>10</v>
      </c>
      <c r="Q1642">
        <v>15</v>
      </c>
      <c r="R1642">
        <v>2014</v>
      </c>
      <c r="S1642" s="4">
        <f t="shared" si="102"/>
        <v>41927</v>
      </c>
      <c r="T1642" s="4">
        <f t="shared" si="100"/>
        <v>41927</v>
      </c>
      <c r="U1642" s="4">
        <v>41927</v>
      </c>
    </row>
    <row r="1643" spans="1:21" x14ac:dyDescent="0.3">
      <c r="A1643" t="s">
        <v>2224</v>
      </c>
      <c r="B1643" s="1" t="s">
        <v>2191</v>
      </c>
      <c r="C1643" s="1" t="s">
        <v>108</v>
      </c>
      <c r="D1643" s="1" t="s">
        <v>19</v>
      </c>
      <c r="E1643" s="2" t="s">
        <v>3620</v>
      </c>
      <c r="F1643" s="2" t="b">
        <f t="shared" si="103"/>
        <v>0</v>
      </c>
      <c r="G1643" s="2">
        <f t="shared" si="101"/>
        <v>43304</v>
      </c>
      <c r="H1643" s="1" t="s">
        <v>36</v>
      </c>
      <c r="I1643" s="1" t="s">
        <v>2192</v>
      </c>
      <c r="J1643" s="1">
        <v>50</v>
      </c>
      <c r="K1643" s="1">
        <v>48</v>
      </c>
      <c r="L1643" s="3">
        <v>0.04</v>
      </c>
      <c r="N1643" t="s">
        <v>3620</v>
      </c>
      <c r="P1643">
        <v>7</v>
      </c>
      <c r="Q1643">
        <v>23</v>
      </c>
      <c r="R1643">
        <v>2018</v>
      </c>
      <c r="S1643" s="4">
        <f t="shared" si="102"/>
        <v>43304</v>
      </c>
      <c r="T1643" s="4">
        <f t="shared" si="100"/>
        <v>43304</v>
      </c>
      <c r="U1643" s="4">
        <v>43304</v>
      </c>
    </row>
    <row r="1644" spans="1:21" x14ac:dyDescent="0.3">
      <c r="A1644" t="s">
        <v>2225</v>
      </c>
      <c r="B1644" s="1" t="s">
        <v>324</v>
      </c>
      <c r="C1644" s="1" t="s">
        <v>325</v>
      </c>
      <c r="D1644" s="1" t="s">
        <v>13</v>
      </c>
      <c r="E1644" s="2" t="s">
        <v>3009</v>
      </c>
      <c r="F1644" s="2" t="b">
        <f t="shared" si="103"/>
        <v>0</v>
      </c>
      <c r="G1644" s="2">
        <f t="shared" si="101"/>
        <v>41866</v>
      </c>
      <c r="H1644" s="1" t="s">
        <v>55</v>
      </c>
      <c r="I1644" s="1" t="s">
        <v>1192</v>
      </c>
      <c r="J1644" s="1">
        <v>800</v>
      </c>
      <c r="K1644" s="1">
        <v>704</v>
      </c>
      <c r="L1644" s="3">
        <v>0.12</v>
      </c>
      <c r="N1644" t="s">
        <v>3009</v>
      </c>
      <c r="P1644">
        <v>8</v>
      </c>
      <c r="Q1644">
        <v>15</v>
      </c>
      <c r="R1644">
        <v>2014</v>
      </c>
      <c r="S1644" s="4">
        <f t="shared" si="102"/>
        <v>41866</v>
      </c>
      <c r="T1644" s="4">
        <f t="shared" si="100"/>
        <v>41866</v>
      </c>
      <c r="U1644" s="4">
        <v>41866</v>
      </c>
    </row>
    <row r="1645" spans="1:21" x14ac:dyDescent="0.3">
      <c r="A1645" t="s">
        <v>2226</v>
      </c>
      <c r="B1645" s="1" t="s">
        <v>205</v>
      </c>
      <c r="C1645" s="1" t="s">
        <v>206</v>
      </c>
      <c r="D1645" s="1" t="s">
        <v>24</v>
      </c>
      <c r="E1645" s="2" t="s">
        <v>3309</v>
      </c>
      <c r="F1645" s="2" t="b">
        <f t="shared" si="103"/>
        <v>0</v>
      </c>
      <c r="G1645" s="2">
        <f t="shared" si="101"/>
        <v>42965</v>
      </c>
      <c r="H1645" s="1" t="s">
        <v>14</v>
      </c>
      <c r="I1645" s="1" t="s">
        <v>1478</v>
      </c>
      <c r="J1645" s="1">
        <v>80</v>
      </c>
      <c r="K1645" s="1">
        <v>80</v>
      </c>
      <c r="L1645" s="3">
        <v>0</v>
      </c>
      <c r="N1645" t="s">
        <v>3309</v>
      </c>
      <c r="P1645">
        <v>8</v>
      </c>
      <c r="Q1645">
        <v>18</v>
      </c>
      <c r="R1645">
        <v>2017</v>
      </c>
      <c r="S1645" s="4">
        <f t="shared" si="102"/>
        <v>42965</v>
      </c>
      <c r="T1645" s="4">
        <f t="shared" si="100"/>
        <v>42965</v>
      </c>
      <c r="U1645" s="4">
        <v>42965</v>
      </c>
    </row>
    <row r="1646" spans="1:21" x14ac:dyDescent="0.3">
      <c r="A1646" t="s">
        <v>2227</v>
      </c>
      <c r="B1646" s="1" t="s">
        <v>187</v>
      </c>
      <c r="C1646" s="1" t="s">
        <v>188</v>
      </c>
      <c r="D1646" s="1" t="s">
        <v>13</v>
      </c>
      <c r="E1646" s="2" t="s">
        <v>3590</v>
      </c>
      <c r="F1646" s="2" t="b">
        <f t="shared" si="103"/>
        <v>0</v>
      </c>
      <c r="G1646" s="2">
        <f t="shared" si="101"/>
        <v>41871</v>
      </c>
      <c r="H1646" s="1" t="s">
        <v>41</v>
      </c>
      <c r="I1646" s="1" t="s">
        <v>683</v>
      </c>
      <c r="J1646" s="1">
        <v>30</v>
      </c>
      <c r="K1646" s="1">
        <v>30</v>
      </c>
      <c r="L1646" s="3">
        <v>0</v>
      </c>
      <c r="N1646" t="s">
        <v>3590</v>
      </c>
      <c r="P1646">
        <v>8</v>
      </c>
      <c r="Q1646">
        <v>20</v>
      </c>
      <c r="R1646">
        <v>2014</v>
      </c>
      <c r="S1646" s="4">
        <f t="shared" si="102"/>
        <v>41871</v>
      </c>
      <c r="T1646" s="4">
        <f t="shared" si="100"/>
        <v>41871</v>
      </c>
      <c r="U1646" s="4">
        <v>41871</v>
      </c>
    </row>
    <row r="1647" spans="1:21" x14ac:dyDescent="0.3">
      <c r="A1647" t="s">
        <v>2228</v>
      </c>
      <c r="B1647" s="1" t="s">
        <v>150</v>
      </c>
      <c r="C1647" s="1" t="s">
        <v>151</v>
      </c>
      <c r="D1647" s="1" t="s">
        <v>13</v>
      </c>
      <c r="E1647" s="2" t="s">
        <v>3621</v>
      </c>
      <c r="F1647" s="2" t="b">
        <f t="shared" si="103"/>
        <v>0</v>
      </c>
      <c r="G1647" s="2">
        <f t="shared" si="101"/>
        <v>42027</v>
      </c>
      <c r="H1647" s="1" t="s">
        <v>115</v>
      </c>
      <c r="I1647" s="1" t="s">
        <v>824</v>
      </c>
      <c r="J1647" s="1">
        <v>250</v>
      </c>
      <c r="K1647" s="1">
        <v>160</v>
      </c>
      <c r="L1647" s="3">
        <v>0.36</v>
      </c>
      <c r="N1647" t="s">
        <v>3621</v>
      </c>
      <c r="P1647">
        <v>1</v>
      </c>
      <c r="Q1647">
        <v>23</v>
      </c>
      <c r="R1647">
        <v>2015</v>
      </c>
      <c r="S1647" s="4">
        <f t="shared" si="102"/>
        <v>42027</v>
      </c>
      <c r="T1647" s="4">
        <f t="shared" si="100"/>
        <v>42027</v>
      </c>
      <c r="U1647" s="4">
        <v>42027</v>
      </c>
    </row>
    <row r="1648" spans="1:21" x14ac:dyDescent="0.3">
      <c r="A1648" t="s">
        <v>2229</v>
      </c>
      <c r="B1648" s="1" t="s">
        <v>187</v>
      </c>
      <c r="C1648" s="1" t="s">
        <v>188</v>
      </c>
      <c r="D1648" s="1" t="s">
        <v>13</v>
      </c>
      <c r="E1648" s="2" t="s">
        <v>3622</v>
      </c>
      <c r="F1648" s="2" t="b">
        <f t="shared" si="103"/>
        <v>0</v>
      </c>
      <c r="G1648" s="2">
        <f t="shared" si="101"/>
        <v>42330</v>
      </c>
      <c r="H1648" s="1" t="s">
        <v>122</v>
      </c>
      <c r="I1648" s="1" t="s">
        <v>189</v>
      </c>
      <c r="J1648" s="1">
        <v>50</v>
      </c>
      <c r="K1648" s="1">
        <v>43</v>
      </c>
      <c r="L1648" s="3">
        <v>0.14000000000000001</v>
      </c>
      <c r="N1648" t="s">
        <v>3622</v>
      </c>
      <c r="P1648">
        <v>11</v>
      </c>
      <c r="Q1648">
        <v>22</v>
      </c>
      <c r="R1648">
        <v>2015</v>
      </c>
      <c r="S1648" s="4">
        <f t="shared" si="102"/>
        <v>42330</v>
      </c>
      <c r="T1648" s="4">
        <f t="shared" si="100"/>
        <v>42330</v>
      </c>
      <c r="U1648" s="4">
        <v>42330</v>
      </c>
    </row>
    <row r="1649" spans="1:21" x14ac:dyDescent="0.3">
      <c r="A1649" t="s">
        <v>2230</v>
      </c>
      <c r="B1649" s="1" t="s">
        <v>187</v>
      </c>
      <c r="C1649" s="1" t="s">
        <v>188</v>
      </c>
      <c r="D1649" s="1" t="s">
        <v>13</v>
      </c>
      <c r="E1649" s="2" t="s">
        <v>3623</v>
      </c>
      <c r="F1649" s="2" t="b">
        <f t="shared" si="103"/>
        <v>0</v>
      </c>
      <c r="G1649" s="2">
        <f t="shared" si="101"/>
        <v>43181</v>
      </c>
      <c r="H1649" s="1" t="s">
        <v>72</v>
      </c>
      <c r="I1649" s="1" t="s">
        <v>189</v>
      </c>
      <c r="J1649" s="1">
        <v>500</v>
      </c>
      <c r="K1649" s="1">
        <v>495</v>
      </c>
      <c r="L1649" s="3">
        <v>0.01</v>
      </c>
      <c r="N1649" t="s">
        <v>3623</v>
      </c>
      <c r="P1649">
        <v>3</v>
      </c>
      <c r="Q1649">
        <v>22</v>
      </c>
      <c r="R1649">
        <v>2018</v>
      </c>
      <c r="S1649" s="4">
        <f t="shared" si="102"/>
        <v>43181</v>
      </c>
      <c r="T1649" s="4">
        <f t="shared" si="100"/>
        <v>43181</v>
      </c>
      <c r="U1649" s="4">
        <v>43181</v>
      </c>
    </row>
    <row r="1650" spans="1:21" x14ac:dyDescent="0.3">
      <c r="A1650" t="s">
        <v>2231</v>
      </c>
      <c r="B1650" s="1" t="s">
        <v>241</v>
      </c>
      <c r="C1650" s="1" t="s">
        <v>242</v>
      </c>
      <c r="D1650" s="1" t="s">
        <v>13</v>
      </c>
      <c r="E1650" s="2" t="s">
        <v>3355</v>
      </c>
      <c r="F1650" s="2" t="b">
        <f t="shared" si="103"/>
        <v>0</v>
      </c>
      <c r="G1650" s="2">
        <f t="shared" si="101"/>
        <v>43310</v>
      </c>
      <c r="H1650" s="1" t="s">
        <v>41</v>
      </c>
      <c r="I1650" s="1" t="s">
        <v>2232</v>
      </c>
      <c r="J1650" s="1">
        <v>30</v>
      </c>
      <c r="K1650" s="1">
        <v>27</v>
      </c>
      <c r="L1650" s="3">
        <v>0.1</v>
      </c>
      <c r="N1650" t="s">
        <v>3355</v>
      </c>
      <c r="P1650">
        <v>7</v>
      </c>
      <c r="Q1650">
        <v>29</v>
      </c>
      <c r="R1650">
        <v>2018</v>
      </c>
      <c r="S1650" s="4">
        <f t="shared" si="102"/>
        <v>43310</v>
      </c>
      <c r="T1650" s="4">
        <f t="shared" si="100"/>
        <v>43310</v>
      </c>
      <c r="U1650" s="4">
        <v>43310</v>
      </c>
    </row>
    <row r="1651" spans="1:21" x14ac:dyDescent="0.3">
      <c r="A1651" t="s">
        <v>2233</v>
      </c>
      <c r="B1651" s="1" t="s">
        <v>400</v>
      </c>
      <c r="C1651" s="1" t="s">
        <v>401</v>
      </c>
      <c r="D1651" s="1" t="s">
        <v>13</v>
      </c>
      <c r="E1651" s="2" t="s">
        <v>3033</v>
      </c>
      <c r="F1651" s="2" t="b">
        <f t="shared" si="103"/>
        <v>0</v>
      </c>
      <c r="G1651" s="2">
        <f t="shared" si="101"/>
        <v>42294</v>
      </c>
      <c r="H1651" s="1" t="s">
        <v>14</v>
      </c>
      <c r="I1651" s="1" t="s">
        <v>1739</v>
      </c>
      <c r="J1651" s="1">
        <v>80</v>
      </c>
      <c r="K1651" s="1">
        <v>61</v>
      </c>
      <c r="L1651" s="3">
        <v>0.23749999999999999</v>
      </c>
      <c r="N1651" t="s">
        <v>3033</v>
      </c>
      <c r="P1651">
        <v>10</v>
      </c>
      <c r="Q1651">
        <v>17</v>
      </c>
      <c r="R1651">
        <v>2015</v>
      </c>
      <c r="S1651" s="4">
        <f t="shared" si="102"/>
        <v>42294</v>
      </c>
      <c r="T1651" s="4">
        <f t="shared" si="100"/>
        <v>42294</v>
      </c>
      <c r="U1651" s="4">
        <v>42294</v>
      </c>
    </row>
    <row r="1652" spans="1:21" x14ac:dyDescent="0.3">
      <c r="A1652" t="s">
        <v>2234</v>
      </c>
      <c r="B1652" s="1" t="s">
        <v>182</v>
      </c>
      <c r="C1652" s="1" t="s">
        <v>108</v>
      </c>
      <c r="D1652" s="1" t="s">
        <v>19</v>
      </c>
      <c r="E1652" s="2" t="s">
        <v>3541</v>
      </c>
      <c r="F1652" s="2" t="b">
        <f t="shared" si="103"/>
        <v>0</v>
      </c>
      <c r="G1652" s="2">
        <f t="shared" si="101"/>
        <v>42488</v>
      </c>
      <c r="H1652" s="1" t="s">
        <v>61</v>
      </c>
      <c r="I1652" s="1" t="s">
        <v>2235</v>
      </c>
      <c r="J1652" s="1">
        <v>1000</v>
      </c>
      <c r="K1652" s="1">
        <v>990</v>
      </c>
      <c r="L1652" s="3">
        <v>0.01</v>
      </c>
      <c r="N1652" t="s">
        <v>3541</v>
      </c>
      <c r="P1652">
        <v>4</v>
      </c>
      <c r="Q1652">
        <v>28</v>
      </c>
      <c r="R1652">
        <v>2016</v>
      </c>
      <c r="S1652" s="4">
        <f t="shared" si="102"/>
        <v>42488</v>
      </c>
      <c r="T1652" s="4">
        <f t="shared" si="100"/>
        <v>42488</v>
      </c>
      <c r="U1652" s="4">
        <v>42488</v>
      </c>
    </row>
    <row r="1653" spans="1:21" x14ac:dyDescent="0.3">
      <c r="A1653" t="s">
        <v>2236</v>
      </c>
      <c r="B1653" s="1" t="s">
        <v>157</v>
      </c>
      <c r="C1653" s="1" t="s">
        <v>108</v>
      </c>
      <c r="D1653" s="1" t="s">
        <v>19</v>
      </c>
      <c r="E1653" s="2" t="s">
        <v>3624</v>
      </c>
      <c r="F1653" s="2" t="b">
        <f t="shared" si="103"/>
        <v>0</v>
      </c>
      <c r="G1653" s="2">
        <f t="shared" si="101"/>
        <v>42996</v>
      </c>
      <c r="H1653" s="1" t="s">
        <v>36</v>
      </c>
      <c r="I1653" s="1" t="s">
        <v>1286</v>
      </c>
      <c r="J1653" s="1">
        <v>50</v>
      </c>
      <c r="K1653" s="1">
        <v>45</v>
      </c>
      <c r="L1653" s="3">
        <v>0.1</v>
      </c>
      <c r="N1653" t="s">
        <v>3624</v>
      </c>
      <c r="P1653">
        <v>9</v>
      </c>
      <c r="Q1653">
        <v>18</v>
      </c>
      <c r="R1653">
        <v>2017</v>
      </c>
      <c r="S1653" s="4">
        <f t="shared" si="102"/>
        <v>42996</v>
      </c>
      <c r="T1653" s="4">
        <f t="shared" si="100"/>
        <v>42996</v>
      </c>
      <c r="U1653" s="4">
        <v>42996</v>
      </c>
    </row>
    <row r="1654" spans="1:21" x14ac:dyDescent="0.3">
      <c r="A1654" t="s">
        <v>2237</v>
      </c>
      <c r="B1654" s="1" t="s">
        <v>2170</v>
      </c>
      <c r="C1654" s="1" t="s">
        <v>18</v>
      </c>
      <c r="D1654" s="1" t="s">
        <v>19</v>
      </c>
      <c r="E1654" s="2" t="s">
        <v>3625</v>
      </c>
      <c r="F1654" s="2" t="b">
        <f t="shared" si="103"/>
        <v>0</v>
      </c>
      <c r="G1654" s="2">
        <f t="shared" si="101"/>
        <v>42689</v>
      </c>
      <c r="H1654" s="1" t="s">
        <v>115</v>
      </c>
      <c r="I1654" s="1" t="s">
        <v>2238</v>
      </c>
      <c r="J1654" s="1">
        <v>250</v>
      </c>
      <c r="K1654" s="1">
        <v>243</v>
      </c>
      <c r="L1654" s="3">
        <v>2.8000000000000001E-2</v>
      </c>
      <c r="N1654" t="s">
        <v>3625</v>
      </c>
      <c r="P1654">
        <v>11</v>
      </c>
      <c r="Q1654">
        <v>15</v>
      </c>
      <c r="R1654">
        <v>2016</v>
      </c>
      <c r="S1654" s="4">
        <f t="shared" si="102"/>
        <v>42689</v>
      </c>
      <c r="T1654" s="4">
        <f t="shared" si="100"/>
        <v>42689</v>
      </c>
      <c r="U1654" s="4">
        <v>42689</v>
      </c>
    </row>
    <row r="1655" spans="1:21" x14ac:dyDescent="0.3">
      <c r="A1655" t="s">
        <v>2239</v>
      </c>
      <c r="B1655" s="1" t="s">
        <v>146</v>
      </c>
      <c r="C1655" s="1" t="s">
        <v>147</v>
      </c>
      <c r="D1655" s="1" t="s">
        <v>13</v>
      </c>
      <c r="E1655" s="2">
        <v>42286</v>
      </c>
      <c r="F1655" s="2" t="b">
        <f t="shared" si="103"/>
        <v>1</v>
      </c>
      <c r="G1655" s="2">
        <f t="shared" si="101"/>
        <v>42286</v>
      </c>
      <c r="H1655" s="1" t="s">
        <v>14</v>
      </c>
      <c r="I1655" s="1" t="s">
        <v>1334</v>
      </c>
      <c r="J1655" s="1">
        <v>80</v>
      </c>
      <c r="K1655" s="1">
        <v>53</v>
      </c>
      <c r="L1655" s="3">
        <v>0.33750000000000002</v>
      </c>
      <c r="N1655" t="s">
        <v>3763</v>
      </c>
      <c r="S1655" s="4" t="e">
        <f t="shared" si="102"/>
        <v>#NUM!</v>
      </c>
      <c r="T1655" s="4" t="str">
        <f t="shared" si="100"/>
        <v/>
      </c>
      <c r="U1655" s="4" t="s">
        <v>3763</v>
      </c>
    </row>
    <row r="1656" spans="1:21" x14ac:dyDescent="0.3">
      <c r="A1656" t="s">
        <v>2240</v>
      </c>
      <c r="B1656" s="1" t="s">
        <v>22</v>
      </c>
      <c r="C1656" s="1" t="s">
        <v>23</v>
      </c>
      <c r="D1656" s="1" t="s">
        <v>24</v>
      </c>
      <c r="E1656" s="2">
        <v>41671</v>
      </c>
      <c r="F1656" s="2" t="b">
        <f t="shared" si="103"/>
        <v>1</v>
      </c>
      <c r="G1656" s="2">
        <f t="shared" si="101"/>
        <v>41671</v>
      </c>
      <c r="H1656" s="1" t="s">
        <v>61</v>
      </c>
      <c r="I1656" s="1" t="s">
        <v>144</v>
      </c>
      <c r="J1656" s="1">
        <v>1000</v>
      </c>
      <c r="K1656" s="1">
        <v>590</v>
      </c>
      <c r="L1656" s="3">
        <v>0.41</v>
      </c>
      <c r="N1656" t="s">
        <v>3763</v>
      </c>
      <c r="S1656" s="4" t="e">
        <f t="shared" si="102"/>
        <v>#NUM!</v>
      </c>
      <c r="T1656" s="4" t="str">
        <f t="shared" si="100"/>
        <v/>
      </c>
      <c r="U1656" s="4" t="s">
        <v>3763</v>
      </c>
    </row>
    <row r="1657" spans="1:21" x14ac:dyDescent="0.3">
      <c r="A1657" t="s">
        <v>2241</v>
      </c>
      <c r="B1657" s="1" t="s">
        <v>103</v>
      </c>
      <c r="C1657" s="1" t="s">
        <v>71</v>
      </c>
      <c r="D1657" s="1" t="s">
        <v>35</v>
      </c>
      <c r="E1657" s="2" t="s">
        <v>3626</v>
      </c>
      <c r="F1657" s="2" t="b">
        <f t="shared" si="103"/>
        <v>0</v>
      </c>
      <c r="G1657" s="2">
        <f t="shared" si="101"/>
        <v>43241</v>
      </c>
      <c r="H1657" s="1" t="s">
        <v>30</v>
      </c>
      <c r="I1657" s="1" t="s">
        <v>497</v>
      </c>
      <c r="J1657" s="1">
        <v>150</v>
      </c>
      <c r="K1657" s="1">
        <v>138</v>
      </c>
      <c r="L1657" s="3">
        <v>0.08</v>
      </c>
      <c r="N1657" t="s">
        <v>3626</v>
      </c>
      <c r="P1657">
        <v>5</v>
      </c>
      <c r="Q1657">
        <v>21</v>
      </c>
      <c r="R1657">
        <v>2018</v>
      </c>
      <c r="S1657" s="4">
        <f t="shared" si="102"/>
        <v>43241</v>
      </c>
      <c r="T1657" s="4">
        <f t="shared" si="100"/>
        <v>43241</v>
      </c>
      <c r="U1657" s="4">
        <v>43241</v>
      </c>
    </row>
    <row r="1658" spans="1:21" x14ac:dyDescent="0.3">
      <c r="A1658" t="s">
        <v>2242</v>
      </c>
      <c r="B1658" s="1" t="s">
        <v>2243</v>
      </c>
      <c r="C1658" s="1" t="s">
        <v>108</v>
      </c>
      <c r="D1658" s="1" t="s">
        <v>19</v>
      </c>
      <c r="E1658" s="2">
        <v>42341</v>
      </c>
      <c r="F1658" s="2" t="b">
        <f t="shared" si="103"/>
        <v>1</v>
      </c>
      <c r="G1658" s="2">
        <f t="shared" si="101"/>
        <v>42341</v>
      </c>
      <c r="H1658" s="1" t="s">
        <v>25</v>
      </c>
      <c r="I1658" s="1" t="s">
        <v>2244</v>
      </c>
      <c r="J1658" s="1">
        <v>700</v>
      </c>
      <c r="K1658" s="1">
        <v>560</v>
      </c>
      <c r="L1658" s="3">
        <v>0.2</v>
      </c>
      <c r="N1658" t="s">
        <v>3763</v>
      </c>
      <c r="S1658" s="4" t="e">
        <f t="shared" si="102"/>
        <v>#NUM!</v>
      </c>
      <c r="T1658" s="4" t="str">
        <f t="shared" si="100"/>
        <v/>
      </c>
      <c r="U1658" s="4" t="s">
        <v>3763</v>
      </c>
    </row>
    <row r="1659" spans="1:21" x14ac:dyDescent="0.3">
      <c r="A1659" t="s">
        <v>2245</v>
      </c>
      <c r="B1659" s="1" t="s">
        <v>2191</v>
      </c>
      <c r="C1659" s="1" t="s">
        <v>108</v>
      </c>
      <c r="D1659" s="1" t="s">
        <v>19</v>
      </c>
      <c r="E1659" s="2" t="s">
        <v>3627</v>
      </c>
      <c r="F1659" s="2" t="b">
        <f t="shared" si="103"/>
        <v>0</v>
      </c>
      <c r="G1659" s="2">
        <f t="shared" si="101"/>
        <v>41880</v>
      </c>
      <c r="H1659" s="1" t="s">
        <v>55</v>
      </c>
      <c r="I1659" s="1" t="s">
        <v>2201</v>
      </c>
      <c r="J1659" s="1">
        <v>800</v>
      </c>
      <c r="K1659" s="1">
        <v>512</v>
      </c>
      <c r="L1659" s="3">
        <v>0.36</v>
      </c>
      <c r="N1659" t="s">
        <v>3627</v>
      </c>
      <c r="P1659">
        <v>8</v>
      </c>
      <c r="Q1659">
        <v>29</v>
      </c>
      <c r="R1659">
        <v>2014</v>
      </c>
      <c r="S1659" s="4">
        <f t="shared" si="102"/>
        <v>41880</v>
      </c>
      <c r="T1659" s="4">
        <f t="shared" si="100"/>
        <v>41880</v>
      </c>
      <c r="U1659" s="4">
        <v>41880</v>
      </c>
    </row>
    <row r="1660" spans="1:21" x14ac:dyDescent="0.3">
      <c r="A1660" t="s">
        <v>2246</v>
      </c>
      <c r="B1660" s="1" t="s">
        <v>324</v>
      </c>
      <c r="C1660" s="1" t="s">
        <v>325</v>
      </c>
      <c r="D1660" s="1" t="s">
        <v>13</v>
      </c>
      <c r="E1660" s="2">
        <v>42799</v>
      </c>
      <c r="F1660" s="2" t="b">
        <f t="shared" si="103"/>
        <v>1</v>
      </c>
      <c r="G1660" s="2">
        <f t="shared" si="101"/>
        <v>42799</v>
      </c>
      <c r="H1660" s="1" t="s">
        <v>41</v>
      </c>
      <c r="I1660" s="1" t="s">
        <v>1247</v>
      </c>
      <c r="J1660" s="1">
        <v>30</v>
      </c>
      <c r="K1660" s="1">
        <v>29</v>
      </c>
      <c r="L1660" s="3">
        <v>3.3300000000000003E-2</v>
      </c>
      <c r="N1660" t="s">
        <v>3763</v>
      </c>
      <c r="S1660" s="4" t="e">
        <f t="shared" si="102"/>
        <v>#NUM!</v>
      </c>
      <c r="T1660" s="4" t="str">
        <f t="shared" si="100"/>
        <v/>
      </c>
      <c r="U1660" s="4" t="s">
        <v>3763</v>
      </c>
    </row>
    <row r="1661" spans="1:21" x14ac:dyDescent="0.3">
      <c r="A1661" t="s">
        <v>2247</v>
      </c>
      <c r="B1661" s="1" t="s">
        <v>64</v>
      </c>
      <c r="C1661" s="1" t="s">
        <v>65</v>
      </c>
      <c r="D1661" s="1" t="s">
        <v>35</v>
      </c>
      <c r="E1661" s="2" t="s">
        <v>3628</v>
      </c>
      <c r="F1661" s="2" t="b">
        <f t="shared" si="103"/>
        <v>0</v>
      </c>
      <c r="G1661" s="2">
        <f t="shared" si="101"/>
        <v>42426</v>
      </c>
      <c r="H1661" s="1" t="s">
        <v>30</v>
      </c>
      <c r="I1661" s="1" t="s">
        <v>1536</v>
      </c>
      <c r="J1661" s="1">
        <v>150</v>
      </c>
      <c r="K1661" s="1">
        <v>144</v>
      </c>
      <c r="L1661" s="3">
        <v>0.04</v>
      </c>
      <c r="N1661" t="s">
        <v>3628</v>
      </c>
      <c r="P1661">
        <v>2</v>
      </c>
      <c r="Q1661">
        <v>26</v>
      </c>
      <c r="R1661">
        <v>2016</v>
      </c>
      <c r="S1661" s="4">
        <f t="shared" si="102"/>
        <v>42426</v>
      </c>
      <c r="T1661" s="4">
        <f t="shared" si="100"/>
        <v>42426</v>
      </c>
      <c r="U1661" s="4">
        <v>42426</v>
      </c>
    </row>
    <row r="1662" spans="1:21" x14ac:dyDescent="0.3">
      <c r="A1662" t="s">
        <v>2248</v>
      </c>
      <c r="B1662" s="1" t="s">
        <v>49</v>
      </c>
      <c r="C1662" s="1" t="s">
        <v>50</v>
      </c>
      <c r="D1662" s="1" t="s">
        <v>24</v>
      </c>
      <c r="E1662" s="2" t="s">
        <v>2982</v>
      </c>
      <c r="F1662" s="2" t="b">
        <f t="shared" si="103"/>
        <v>0</v>
      </c>
      <c r="G1662" s="2">
        <f t="shared" si="101"/>
        <v>43327</v>
      </c>
      <c r="H1662" s="1" t="s">
        <v>104</v>
      </c>
      <c r="I1662" s="1" t="s">
        <v>918</v>
      </c>
      <c r="J1662" s="1">
        <v>70</v>
      </c>
      <c r="K1662" s="1">
        <v>70</v>
      </c>
      <c r="L1662" s="3">
        <v>0</v>
      </c>
      <c r="N1662" t="s">
        <v>2982</v>
      </c>
      <c r="P1662">
        <v>8</v>
      </c>
      <c r="Q1662">
        <v>15</v>
      </c>
      <c r="R1662">
        <v>2018</v>
      </c>
      <c r="S1662" s="4">
        <f t="shared" si="102"/>
        <v>43327</v>
      </c>
      <c r="T1662" s="4">
        <f t="shared" si="100"/>
        <v>43327</v>
      </c>
      <c r="U1662" s="4">
        <v>43327</v>
      </c>
    </row>
    <row r="1663" spans="1:21" x14ac:dyDescent="0.3">
      <c r="A1663" t="s">
        <v>2249</v>
      </c>
      <c r="B1663" s="1" t="s">
        <v>255</v>
      </c>
      <c r="C1663" s="1" t="s">
        <v>256</v>
      </c>
      <c r="D1663" s="1" t="s">
        <v>13</v>
      </c>
      <c r="E1663" s="2">
        <v>42990</v>
      </c>
      <c r="F1663" s="2" t="b">
        <f t="shared" si="103"/>
        <v>1</v>
      </c>
      <c r="G1663" s="2">
        <f t="shared" si="101"/>
        <v>42990</v>
      </c>
      <c r="H1663" s="1" t="s">
        <v>46</v>
      </c>
      <c r="I1663" s="1" t="s">
        <v>522</v>
      </c>
      <c r="J1663" s="1">
        <v>500</v>
      </c>
      <c r="K1663" s="1">
        <v>470</v>
      </c>
      <c r="L1663" s="3">
        <v>0.06</v>
      </c>
      <c r="N1663" t="s">
        <v>3763</v>
      </c>
      <c r="S1663" s="4" t="e">
        <f t="shared" si="102"/>
        <v>#NUM!</v>
      </c>
      <c r="T1663" s="4" t="str">
        <f t="shared" si="100"/>
        <v/>
      </c>
      <c r="U1663" s="4" t="s">
        <v>3763</v>
      </c>
    </row>
    <row r="1664" spans="1:21" x14ac:dyDescent="0.3">
      <c r="A1664" t="s">
        <v>2250</v>
      </c>
      <c r="B1664" s="1" t="s">
        <v>134</v>
      </c>
      <c r="C1664" s="1" t="s">
        <v>92</v>
      </c>
      <c r="D1664" s="1" t="s">
        <v>35</v>
      </c>
      <c r="E1664" s="2">
        <v>43076</v>
      </c>
      <c r="F1664" s="2" t="b">
        <f t="shared" si="103"/>
        <v>1</v>
      </c>
      <c r="G1664" s="2">
        <f t="shared" si="101"/>
        <v>43076</v>
      </c>
      <c r="H1664" s="1" t="s">
        <v>46</v>
      </c>
      <c r="I1664" s="1" t="s">
        <v>1062</v>
      </c>
      <c r="J1664" s="1">
        <v>500</v>
      </c>
      <c r="K1664" s="1">
        <v>480</v>
      </c>
      <c r="L1664" s="3">
        <v>0.04</v>
      </c>
      <c r="N1664" t="s">
        <v>3763</v>
      </c>
      <c r="S1664" s="4" t="e">
        <f t="shared" si="102"/>
        <v>#NUM!</v>
      </c>
      <c r="T1664" s="4" t="str">
        <f t="shared" si="100"/>
        <v/>
      </c>
      <c r="U1664" s="4" t="s">
        <v>3763</v>
      </c>
    </row>
    <row r="1665" spans="1:21" x14ac:dyDescent="0.3">
      <c r="A1665" t="s">
        <v>2251</v>
      </c>
      <c r="B1665" s="1" t="s">
        <v>221</v>
      </c>
      <c r="C1665" s="1" t="s">
        <v>40</v>
      </c>
      <c r="D1665" s="1" t="s">
        <v>35</v>
      </c>
      <c r="E1665" s="2" t="s">
        <v>3629</v>
      </c>
      <c r="F1665" s="2" t="b">
        <f t="shared" si="103"/>
        <v>0</v>
      </c>
      <c r="G1665" s="2">
        <f t="shared" si="101"/>
        <v>42726</v>
      </c>
      <c r="H1665" s="1" t="s">
        <v>46</v>
      </c>
      <c r="I1665" s="1" t="s">
        <v>1059</v>
      </c>
      <c r="J1665" s="1">
        <v>500</v>
      </c>
      <c r="K1665" s="1">
        <v>435</v>
      </c>
      <c r="L1665" s="3">
        <v>0.13</v>
      </c>
      <c r="N1665" t="s">
        <v>3629</v>
      </c>
      <c r="P1665">
        <v>12</v>
      </c>
      <c r="Q1665">
        <v>22</v>
      </c>
      <c r="R1665">
        <v>2016</v>
      </c>
      <c r="S1665" s="4">
        <f t="shared" si="102"/>
        <v>42726</v>
      </c>
      <c r="T1665" s="4">
        <f t="shared" si="100"/>
        <v>42726</v>
      </c>
      <c r="U1665" s="4">
        <v>42726</v>
      </c>
    </row>
    <row r="1666" spans="1:21" x14ac:dyDescent="0.3">
      <c r="A1666" t="s">
        <v>2252</v>
      </c>
      <c r="B1666" s="1" t="s">
        <v>85</v>
      </c>
      <c r="C1666" s="1" t="s">
        <v>86</v>
      </c>
      <c r="D1666" s="1" t="s">
        <v>13</v>
      </c>
      <c r="E1666" s="2" t="s">
        <v>3426</v>
      </c>
      <c r="F1666" s="2" t="b">
        <f t="shared" si="103"/>
        <v>0</v>
      </c>
      <c r="G1666" s="2">
        <f t="shared" si="101"/>
        <v>42291</v>
      </c>
      <c r="H1666" s="1" t="s">
        <v>41</v>
      </c>
      <c r="I1666" s="1" t="s">
        <v>87</v>
      </c>
      <c r="J1666" s="1">
        <v>30</v>
      </c>
      <c r="K1666" s="1">
        <v>27</v>
      </c>
      <c r="L1666" s="3">
        <v>0.1</v>
      </c>
      <c r="N1666" t="s">
        <v>3426</v>
      </c>
      <c r="P1666">
        <v>10</v>
      </c>
      <c r="Q1666">
        <v>14</v>
      </c>
      <c r="R1666">
        <v>2015</v>
      </c>
      <c r="S1666" s="4">
        <f t="shared" si="102"/>
        <v>42291</v>
      </c>
      <c r="T1666" s="4">
        <f t="shared" si="100"/>
        <v>42291</v>
      </c>
      <c r="U1666" s="4">
        <v>42291</v>
      </c>
    </row>
    <row r="1667" spans="1:21" x14ac:dyDescent="0.3">
      <c r="A1667" t="s">
        <v>2253</v>
      </c>
      <c r="B1667" s="1" t="s">
        <v>270</v>
      </c>
      <c r="C1667" s="1" t="s">
        <v>271</v>
      </c>
      <c r="D1667" s="1" t="s">
        <v>35</v>
      </c>
      <c r="E1667" s="2" t="s">
        <v>3630</v>
      </c>
      <c r="F1667" s="2" t="b">
        <f t="shared" si="103"/>
        <v>0</v>
      </c>
      <c r="G1667" s="2">
        <f t="shared" si="101"/>
        <v>42609</v>
      </c>
      <c r="H1667" s="1" t="s">
        <v>61</v>
      </c>
      <c r="I1667" s="1" t="s">
        <v>1827</v>
      </c>
      <c r="J1667" s="1">
        <v>1000</v>
      </c>
      <c r="K1667" s="1">
        <v>930</v>
      </c>
      <c r="L1667" s="3">
        <v>7.0000000000000007E-2</v>
      </c>
      <c r="N1667" t="s">
        <v>3630</v>
      </c>
      <c r="P1667">
        <v>8</v>
      </c>
      <c r="Q1667">
        <v>27</v>
      </c>
      <c r="R1667">
        <v>2016</v>
      </c>
      <c r="S1667" s="4">
        <f t="shared" si="102"/>
        <v>42609</v>
      </c>
      <c r="T1667" s="4">
        <f t="shared" ref="T1667:T1730" si="104">IF(AND(P1667&lt;&gt;"",Q1667&lt;&gt;"",R1667&lt;&gt;""),IFERROR(DATE(R1667,P1667,Q1667),""),"")</f>
        <v>42609</v>
      </c>
      <c r="U1667" s="4">
        <v>42609</v>
      </c>
    </row>
    <row r="1668" spans="1:21" x14ac:dyDescent="0.3">
      <c r="A1668" t="s">
        <v>2254</v>
      </c>
      <c r="B1668" s="1" t="s">
        <v>324</v>
      </c>
      <c r="C1668" s="1" t="s">
        <v>325</v>
      </c>
      <c r="D1668" s="1" t="s">
        <v>13</v>
      </c>
      <c r="E1668" s="2" t="s">
        <v>3631</v>
      </c>
      <c r="F1668" s="2" t="b">
        <f t="shared" si="103"/>
        <v>0</v>
      </c>
      <c r="G1668" s="2">
        <f t="shared" ref="G1668:G1731" si="105">IF(F1668=TRUE,E1668,U1668)</f>
        <v>42060</v>
      </c>
      <c r="H1668" s="1" t="s">
        <v>104</v>
      </c>
      <c r="I1668" s="1" t="s">
        <v>588</v>
      </c>
      <c r="J1668" s="1">
        <v>70</v>
      </c>
      <c r="K1668" s="1">
        <v>68</v>
      </c>
      <c r="L1668" s="3">
        <v>2.86E-2</v>
      </c>
      <c r="N1668" t="s">
        <v>3631</v>
      </c>
      <c r="P1668">
        <v>2</v>
      </c>
      <c r="Q1668">
        <v>25</v>
      </c>
      <c r="R1668">
        <v>2015</v>
      </c>
      <c r="S1668" s="4">
        <f t="shared" ref="S1668:S1731" si="106">DATE(R1668,P1668,Q1668)</f>
        <v>42060</v>
      </c>
      <c r="T1668" s="4">
        <f t="shared" si="104"/>
        <v>42060</v>
      </c>
      <c r="U1668" s="4">
        <v>42060</v>
      </c>
    </row>
    <row r="1669" spans="1:21" x14ac:dyDescent="0.3">
      <c r="A1669" t="s">
        <v>2255</v>
      </c>
      <c r="B1669" s="1" t="s">
        <v>264</v>
      </c>
      <c r="C1669" s="1" t="s">
        <v>265</v>
      </c>
      <c r="D1669" s="1" t="s">
        <v>13</v>
      </c>
      <c r="E1669" s="2" t="s">
        <v>3077</v>
      </c>
      <c r="F1669" s="2" t="b">
        <f t="shared" ref="F1669:F1732" si="107">ISNUMBER(E1669)</f>
        <v>0</v>
      </c>
      <c r="G1669" s="2">
        <f t="shared" si="105"/>
        <v>42820</v>
      </c>
      <c r="H1669" s="1" t="s">
        <v>46</v>
      </c>
      <c r="I1669" s="1" t="s">
        <v>314</v>
      </c>
      <c r="J1669" s="1">
        <v>500</v>
      </c>
      <c r="K1669" s="1">
        <v>460</v>
      </c>
      <c r="L1669" s="3">
        <v>0.08</v>
      </c>
      <c r="N1669" t="s">
        <v>3077</v>
      </c>
      <c r="P1669">
        <v>3</v>
      </c>
      <c r="Q1669">
        <v>26</v>
      </c>
      <c r="R1669">
        <v>2017</v>
      </c>
      <c r="S1669" s="4">
        <f t="shared" si="106"/>
        <v>42820</v>
      </c>
      <c r="T1669" s="4">
        <f t="shared" si="104"/>
        <v>42820</v>
      </c>
      <c r="U1669" s="4">
        <v>42820</v>
      </c>
    </row>
    <row r="1670" spans="1:21" x14ac:dyDescent="0.3">
      <c r="A1670" t="s">
        <v>2256</v>
      </c>
      <c r="B1670" s="1" t="s">
        <v>95</v>
      </c>
      <c r="C1670" s="1" t="s">
        <v>96</v>
      </c>
      <c r="D1670" s="1" t="s">
        <v>13</v>
      </c>
      <c r="E1670" s="2" t="s">
        <v>3111</v>
      </c>
      <c r="F1670" s="2" t="b">
        <f t="shared" si="107"/>
        <v>0</v>
      </c>
      <c r="G1670" s="2">
        <f t="shared" si="105"/>
        <v>42277</v>
      </c>
      <c r="H1670" s="1" t="s">
        <v>115</v>
      </c>
      <c r="I1670" s="1" t="s">
        <v>1275</v>
      </c>
      <c r="J1670" s="1">
        <v>250</v>
      </c>
      <c r="K1670" s="1">
        <v>158</v>
      </c>
      <c r="L1670" s="3">
        <v>0.36799999999999999</v>
      </c>
      <c r="N1670" t="s">
        <v>3111</v>
      </c>
      <c r="P1670">
        <v>9</v>
      </c>
      <c r="Q1670">
        <v>30</v>
      </c>
      <c r="R1670">
        <v>2015</v>
      </c>
      <c r="S1670" s="4">
        <f t="shared" si="106"/>
        <v>42277</v>
      </c>
      <c r="T1670" s="4">
        <f t="shared" si="104"/>
        <v>42277</v>
      </c>
      <c r="U1670" s="4">
        <v>42277</v>
      </c>
    </row>
    <row r="1671" spans="1:21" x14ac:dyDescent="0.3">
      <c r="A1671" t="s">
        <v>2257</v>
      </c>
      <c r="B1671" s="1" t="s">
        <v>131</v>
      </c>
      <c r="C1671" s="1" t="s">
        <v>108</v>
      </c>
      <c r="D1671" s="1" t="s">
        <v>19</v>
      </c>
      <c r="E1671" s="2" t="s">
        <v>3295</v>
      </c>
      <c r="F1671" s="2" t="b">
        <f t="shared" si="107"/>
        <v>0</v>
      </c>
      <c r="G1671" s="2">
        <f t="shared" si="105"/>
        <v>41867</v>
      </c>
      <c r="H1671" s="1" t="s">
        <v>25</v>
      </c>
      <c r="I1671" s="1" t="s">
        <v>1550</v>
      </c>
      <c r="J1671" s="1">
        <v>700</v>
      </c>
      <c r="K1671" s="1">
        <v>658</v>
      </c>
      <c r="L1671" s="3">
        <v>0.06</v>
      </c>
      <c r="N1671" t="s">
        <v>3295</v>
      </c>
      <c r="P1671">
        <v>8</v>
      </c>
      <c r="Q1671">
        <v>16</v>
      </c>
      <c r="R1671">
        <v>2014</v>
      </c>
      <c r="S1671" s="4">
        <f t="shared" si="106"/>
        <v>41867</v>
      </c>
      <c r="T1671" s="4">
        <f t="shared" si="104"/>
        <v>41867</v>
      </c>
      <c r="U1671" s="4">
        <v>41867</v>
      </c>
    </row>
    <row r="1672" spans="1:21" x14ac:dyDescent="0.3">
      <c r="A1672" t="s">
        <v>2258</v>
      </c>
      <c r="B1672" s="1" t="s">
        <v>255</v>
      </c>
      <c r="C1672" s="1" t="s">
        <v>256</v>
      </c>
      <c r="D1672" s="1" t="s">
        <v>13</v>
      </c>
      <c r="E1672" s="2">
        <v>41763</v>
      </c>
      <c r="F1672" s="2" t="b">
        <f t="shared" si="107"/>
        <v>1</v>
      </c>
      <c r="G1672" s="2">
        <f t="shared" si="105"/>
        <v>41763</v>
      </c>
      <c r="H1672" s="1" t="s">
        <v>115</v>
      </c>
      <c r="I1672" s="1" t="s">
        <v>257</v>
      </c>
      <c r="J1672" s="1">
        <v>250</v>
      </c>
      <c r="K1672" s="1">
        <v>178</v>
      </c>
      <c r="L1672" s="3">
        <v>0.28799999999999998</v>
      </c>
      <c r="N1672" t="s">
        <v>3763</v>
      </c>
      <c r="S1672" s="4" t="e">
        <f t="shared" si="106"/>
        <v>#NUM!</v>
      </c>
      <c r="T1672" s="4" t="str">
        <f t="shared" si="104"/>
        <v/>
      </c>
      <c r="U1672" s="4" t="s">
        <v>3763</v>
      </c>
    </row>
    <row r="1673" spans="1:21" x14ac:dyDescent="0.3">
      <c r="A1673" t="s">
        <v>2259</v>
      </c>
      <c r="B1673" s="1" t="s">
        <v>118</v>
      </c>
      <c r="C1673" s="1" t="s">
        <v>119</v>
      </c>
      <c r="D1673" s="1" t="s">
        <v>35</v>
      </c>
      <c r="E1673" s="2" t="s">
        <v>3632</v>
      </c>
      <c r="F1673" s="2" t="b">
        <f t="shared" si="107"/>
        <v>0</v>
      </c>
      <c r="G1673" s="2">
        <f t="shared" si="105"/>
        <v>42146</v>
      </c>
      <c r="H1673" s="1" t="s">
        <v>115</v>
      </c>
      <c r="I1673" s="1" t="s">
        <v>583</v>
      </c>
      <c r="J1673" s="1">
        <v>250</v>
      </c>
      <c r="K1673" s="1">
        <v>240</v>
      </c>
      <c r="L1673" s="3">
        <v>0.04</v>
      </c>
      <c r="N1673" t="s">
        <v>3632</v>
      </c>
      <c r="P1673">
        <v>5</v>
      </c>
      <c r="Q1673">
        <v>22</v>
      </c>
      <c r="R1673">
        <v>2015</v>
      </c>
      <c r="S1673" s="4">
        <f t="shared" si="106"/>
        <v>42146</v>
      </c>
      <c r="T1673" s="4">
        <f t="shared" si="104"/>
        <v>42146</v>
      </c>
      <c r="U1673" s="4">
        <v>42146</v>
      </c>
    </row>
    <row r="1674" spans="1:21" x14ac:dyDescent="0.3">
      <c r="A1674" t="s">
        <v>2260</v>
      </c>
      <c r="B1674" s="1" t="s">
        <v>227</v>
      </c>
      <c r="C1674" s="1" t="s">
        <v>228</v>
      </c>
      <c r="D1674" s="1" t="s">
        <v>24</v>
      </c>
      <c r="E1674" s="2">
        <v>42948</v>
      </c>
      <c r="F1674" s="2" t="b">
        <f t="shared" si="107"/>
        <v>1</v>
      </c>
      <c r="G1674" s="2">
        <f t="shared" si="105"/>
        <v>42948</v>
      </c>
      <c r="H1674" s="1" t="s">
        <v>115</v>
      </c>
      <c r="I1674" s="1" t="s">
        <v>229</v>
      </c>
      <c r="J1674" s="1">
        <v>250</v>
      </c>
      <c r="K1674" s="1">
        <v>243</v>
      </c>
      <c r="L1674" s="3">
        <v>2.8000000000000001E-2</v>
      </c>
      <c r="N1674" t="s">
        <v>3763</v>
      </c>
      <c r="S1674" s="4" t="e">
        <f t="shared" si="106"/>
        <v>#NUM!</v>
      </c>
      <c r="T1674" s="4" t="str">
        <f t="shared" si="104"/>
        <v/>
      </c>
      <c r="U1674" s="4" t="s">
        <v>3763</v>
      </c>
    </row>
    <row r="1675" spans="1:21" x14ac:dyDescent="0.3">
      <c r="A1675" t="s">
        <v>2261</v>
      </c>
      <c r="B1675" s="1" t="s">
        <v>70</v>
      </c>
      <c r="C1675" s="1" t="s">
        <v>71</v>
      </c>
      <c r="D1675" s="1" t="s">
        <v>35</v>
      </c>
      <c r="E1675" s="2">
        <v>42524</v>
      </c>
      <c r="F1675" s="2" t="b">
        <f t="shared" si="107"/>
        <v>1</v>
      </c>
      <c r="G1675" s="2">
        <f t="shared" si="105"/>
        <v>42524</v>
      </c>
      <c r="H1675" s="1" t="s">
        <v>61</v>
      </c>
      <c r="I1675" s="1" t="s">
        <v>73</v>
      </c>
      <c r="J1675" s="1">
        <v>1000</v>
      </c>
      <c r="K1675" s="1">
        <v>810</v>
      </c>
      <c r="L1675" s="3">
        <v>0.19</v>
      </c>
      <c r="N1675" t="s">
        <v>3763</v>
      </c>
      <c r="S1675" s="4" t="e">
        <f t="shared" si="106"/>
        <v>#NUM!</v>
      </c>
      <c r="T1675" s="4" t="str">
        <f t="shared" si="104"/>
        <v/>
      </c>
      <c r="U1675" s="4" t="s">
        <v>3763</v>
      </c>
    </row>
    <row r="1676" spans="1:21" x14ac:dyDescent="0.3">
      <c r="A1676" t="s">
        <v>2262</v>
      </c>
      <c r="B1676" s="1" t="s">
        <v>103</v>
      </c>
      <c r="C1676" s="1" t="s">
        <v>71</v>
      </c>
      <c r="D1676" s="1" t="s">
        <v>35</v>
      </c>
      <c r="E1676" s="2">
        <v>42829</v>
      </c>
      <c r="F1676" s="2" t="b">
        <f t="shared" si="107"/>
        <v>1</v>
      </c>
      <c r="G1676" s="2">
        <f t="shared" si="105"/>
        <v>42829</v>
      </c>
      <c r="H1676" s="1" t="s">
        <v>61</v>
      </c>
      <c r="I1676" s="1" t="s">
        <v>1815</v>
      </c>
      <c r="J1676" s="1">
        <v>1000</v>
      </c>
      <c r="K1676" s="1">
        <v>700</v>
      </c>
      <c r="L1676" s="3">
        <v>0.3</v>
      </c>
      <c r="N1676" t="s">
        <v>3763</v>
      </c>
      <c r="S1676" s="4" t="e">
        <f t="shared" si="106"/>
        <v>#NUM!</v>
      </c>
      <c r="T1676" s="4" t="str">
        <f t="shared" si="104"/>
        <v/>
      </c>
      <c r="U1676" s="4" t="s">
        <v>3763</v>
      </c>
    </row>
    <row r="1677" spans="1:21" x14ac:dyDescent="0.3">
      <c r="A1677" t="s">
        <v>2263</v>
      </c>
      <c r="B1677" s="1" t="s">
        <v>174</v>
      </c>
      <c r="C1677" s="1" t="s">
        <v>175</v>
      </c>
      <c r="D1677" s="1" t="s">
        <v>13</v>
      </c>
      <c r="E1677" s="2">
        <v>42403</v>
      </c>
      <c r="F1677" s="2" t="b">
        <f t="shared" si="107"/>
        <v>1</v>
      </c>
      <c r="G1677" s="2">
        <f t="shared" si="105"/>
        <v>42403</v>
      </c>
      <c r="H1677" s="1" t="s">
        <v>41</v>
      </c>
      <c r="I1677" s="1" t="s">
        <v>1456</v>
      </c>
      <c r="J1677" s="1">
        <v>30</v>
      </c>
      <c r="K1677" s="1">
        <v>29</v>
      </c>
      <c r="L1677" s="3">
        <v>3.3300000000000003E-2</v>
      </c>
      <c r="N1677" t="s">
        <v>3763</v>
      </c>
      <c r="S1677" s="4" t="e">
        <f t="shared" si="106"/>
        <v>#NUM!</v>
      </c>
      <c r="T1677" s="4" t="str">
        <f t="shared" si="104"/>
        <v/>
      </c>
      <c r="U1677" s="4" t="s">
        <v>3763</v>
      </c>
    </row>
    <row r="1678" spans="1:21" x14ac:dyDescent="0.3">
      <c r="A1678" t="s">
        <v>2264</v>
      </c>
      <c r="B1678" s="1" t="s">
        <v>95</v>
      </c>
      <c r="C1678" s="1" t="s">
        <v>96</v>
      </c>
      <c r="D1678" s="1" t="s">
        <v>13</v>
      </c>
      <c r="E1678" s="2">
        <v>41945</v>
      </c>
      <c r="F1678" s="2" t="b">
        <f t="shared" si="107"/>
        <v>1</v>
      </c>
      <c r="G1678" s="2">
        <f t="shared" si="105"/>
        <v>41945</v>
      </c>
      <c r="H1678" s="1" t="s">
        <v>61</v>
      </c>
      <c r="I1678" s="1" t="s">
        <v>97</v>
      </c>
      <c r="J1678" s="1">
        <v>1000</v>
      </c>
      <c r="K1678" s="1">
        <v>910</v>
      </c>
      <c r="L1678" s="3">
        <v>0.09</v>
      </c>
      <c r="N1678" t="s">
        <v>3763</v>
      </c>
      <c r="S1678" s="4" t="e">
        <f t="shared" si="106"/>
        <v>#NUM!</v>
      </c>
      <c r="T1678" s="4" t="str">
        <f t="shared" si="104"/>
        <v/>
      </c>
      <c r="U1678" s="4" t="s">
        <v>3763</v>
      </c>
    </row>
    <row r="1679" spans="1:21" x14ac:dyDescent="0.3">
      <c r="A1679" t="s">
        <v>2265</v>
      </c>
      <c r="B1679" s="1" t="s">
        <v>49</v>
      </c>
      <c r="C1679" s="1" t="s">
        <v>50</v>
      </c>
      <c r="D1679" s="1" t="s">
        <v>24</v>
      </c>
      <c r="E1679" s="2" t="s">
        <v>3405</v>
      </c>
      <c r="F1679" s="2" t="b">
        <f t="shared" si="107"/>
        <v>0</v>
      </c>
      <c r="G1679" s="2">
        <f t="shared" si="105"/>
        <v>42640</v>
      </c>
      <c r="H1679" s="1" t="s">
        <v>55</v>
      </c>
      <c r="I1679" s="1" t="s">
        <v>699</v>
      </c>
      <c r="J1679" s="1">
        <v>800</v>
      </c>
      <c r="K1679" s="1">
        <v>448</v>
      </c>
      <c r="L1679" s="3">
        <v>0.44</v>
      </c>
      <c r="N1679" t="s">
        <v>3405</v>
      </c>
      <c r="P1679">
        <v>9</v>
      </c>
      <c r="Q1679">
        <v>27</v>
      </c>
      <c r="R1679">
        <v>2016</v>
      </c>
      <c r="S1679" s="4">
        <f t="shared" si="106"/>
        <v>42640</v>
      </c>
      <c r="T1679" s="4">
        <f t="shared" si="104"/>
        <v>42640</v>
      </c>
      <c r="U1679" s="4">
        <v>42640</v>
      </c>
    </row>
    <row r="1680" spans="1:21" x14ac:dyDescent="0.3">
      <c r="A1680" t="s">
        <v>2266</v>
      </c>
      <c r="B1680" s="1" t="s">
        <v>150</v>
      </c>
      <c r="C1680" s="1" t="s">
        <v>151</v>
      </c>
      <c r="D1680" s="1" t="s">
        <v>13</v>
      </c>
      <c r="E1680" s="2" t="s">
        <v>3633</v>
      </c>
      <c r="F1680" s="2" t="b">
        <f t="shared" si="107"/>
        <v>0</v>
      </c>
      <c r="G1680" s="2">
        <f t="shared" si="105"/>
        <v>42545</v>
      </c>
      <c r="H1680" s="1" t="s">
        <v>14</v>
      </c>
      <c r="I1680" s="1" t="s">
        <v>409</v>
      </c>
      <c r="J1680" s="1">
        <v>80</v>
      </c>
      <c r="K1680" s="1">
        <v>72</v>
      </c>
      <c r="L1680" s="3">
        <v>0.1</v>
      </c>
      <c r="N1680" t="s">
        <v>3633</v>
      </c>
      <c r="P1680">
        <v>6</v>
      </c>
      <c r="Q1680">
        <v>24</v>
      </c>
      <c r="R1680">
        <v>2016</v>
      </c>
      <c r="S1680" s="4">
        <f t="shared" si="106"/>
        <v>42545</v>
      </c>
      <c r="T1680" s="4">
        <f t="shared" si="104"/>
        <v>42545</v>
      </c>
      <c r="U1680" s="4">
        <v>42545</v>
      </c>
    </row>
    <row r="1681" spans="1:21" x14ac:dyDescent="0.3">
      <c r="A1681" t="s">
        <v>2267</v>
      </c>
      <c r="B1681" s="1" t="s">
        <v>124</v>
      </c>
      <c r="C1681" s="1" t="s">
        <v>40</v>
      </c>
      <c r="D1681" s="1" t="s">
        <v>35</v>
      </c>
      <c r="E1681" s="2">
        <v>42046</v>
      </c>
      <c r="F1681" s="2" t="b">
        <f t="shared" si="107"/>
        <v>1</v>
      </c>
      <c r="G1681" s="2">
        <f t="shared" si="105"/>
        <v>42046</v>
      </c>
      <c r="H1681" s="1" t="s">
        <v>41</v>
      </c>
      <c r="I1681" s="1" t="s">
        <v>1017</v>
      </c>
      <c r="J1681" s="1">
        <v>30</v>
      </c>
      <c r="K1681" s="1">
        <v>23</v>
      </c>
      <c r="L1681" s="3">
        <v>0.23330000000000001</v>
      </c>
      <c r="N1681" t="s">
        <v>3763</v>
      </c>
      <c r="S1681" s="4" t="e">
        <f t="shared" si="106"/>
        <v>#NUM!</v>
      </c>
      <c r="T1681" s="4" t="str">
        <f t="shared" si="104"/>
        <v/>
      </c>
      <c r="U1681" s="4" t="s">
        <v>3763</v>
      </c>
    </row>
    <row r="1682" spans="1:21" x14ac:dyDescent="0.3">
      <c r="A1682" t="s">
        <v>2268</v>
      </c>
      <c r="B1682" s="1" t="s">
        <v>224</v>
      </c>
      <c r="C1682" s="1" t="s">
        <v>50</v>
      </c>
      <c r="D1682" s="1" t="s">
        <v>24</v>
      </c>
      <c r="E1682" s="2" t="s">
        <v>3634</v>
      </c>
      <c r="F1682" s="2" t="b">
        <f t="shared" si="107"/>
        <v>0</v>
      </c>
      <c r="G1682" s="2">
        <f t="shared" si="105"/>
        <v>42750</v>
      </c>
      <c r="H1682" s="1" t="s">
        <v>41</v>
      </c>
      <c r="I1682" s="1" t="s">
        <v>1942</v>
      </c>
      <c r="J1682" s="1">
        <v>30</v>
      </c>
      <c r="K1682" s="1">
        <v>30</v>
      </c>
      <c r="L1682" s="3">
        <v>0</v>
      </c>
      <c r="N1682" t="s">
        <v>3634</v>
      </c>
      <c r="P1682">
        <v>1</v>
      </c>
      <c r="Q1682">
        <v>15</v>
      </c>
      <c r="R1682">
        <v>2017</v>
      </c>
      <c r="S1682" s="4">
        <f t="shared" si="106"/>
        <v>42750</v>
      </c>
      <c r="T1682" s="4">
        <f t="shared" si="104"/>
        <v>42750</v>
      </c>
      <c r="U1682" s="4">
        <v>42750</v>
      </c>
    </row>
    <row r="1683" spans="1:21" x14ac:dyDescent="0.3">
      <c r="A1683" t="s">
        <v>2269</v>
      </c>
      <c r="B1683" s="1" t="s">
        <v>146</v>
      </c>
      <c r="C1683" s="1" t="s">
        <v>147</v>
      </c>
      <c r="D1683" s="1" t="s">
        <v>13</v>
      </c>
      <c r="E1683" s="2" t="s">
        <v>3560</v>
      </c>
      <c r="F1683" s="2" t="b">
        <f t="shared" si="107"/>
        <v>0</v>
      </c>
      <c r="G1683" s="2">
        <f t="shared" si="105"/>
        <v>43205</v>
      </c>
      <c r="H1683" s="1" t="s">
        <v>41</v>
      </c>
      <c r="I1683" s="1" t="s">
        <v>1033</v>
      </c>
      <c r="J1683" s="1">
        <v>30</v>
      </c>
      <c r="K1683" s="1">
        <v>28</v>
      </c>
      <c r="L1683" s="3">
        <v>6.6699999999999995E-2</v>
      </c>
      <c r="N1683" t="s">
        <v>3560</v>
      </c>
      <c r="P1683">
        <v>4</v>
      </c>
      <c r="Q1683">
        <v>15</v>
      </c>
      <c r="R1683">
        <v>2018</v>
      </c>
      <c r="S1683" s="4">
        <f t="shared" si="106"/>
        <v>43205</v>
      </c>
      <c r="T1683" s="4">
        <f t="shared" si="104"/>
        <v>43205</v>
      </c>
      <c r="U1683" s="4">
        <v>43205</v>
      </c>
    </row>
    <row r="1684" spans="1:21" x14ac:dyDescent="0.3">
      <c r="A1684" t="s">
        <v>2270</v>
      </c>
      <c r="B1684" s="1" t="s">
        <v>70</v>
      </c>
      <c r="C1684" s="1" t="s">
        <v>71</v>
      </c>
      <c r="D1684" s="1" t="s">
        <v>35</v>
      </c>
      <c r="E1684" s="2">
        <v>41706</v>
      </c>
      <c r="F1684" s="2" t="b">
        <f t="shared" si="107"/>
        <v>1</v>
      </c>
      <c r="G1684" s="2">
        <f t="shared" si="105"/>
        <v>41706</v>
      </c>
      <c r="H1684" s="1" t="s">
        <v>115</v>
      </c>
      <c r="I1684" s="1" t="s">
        <v>142</v>
      </c>
      <c r="J1684" s="1">
        <v>250</v>
      </c>
      <c r="K1684" s="1">
        <v>220</v>
      </c>
      <c r="L1684" s="3">
        <v>0.12</v>
      </c>
      <c r="N1684" t="s">
        <v>3763</v>
      </c>
      <c r="S1684" s="4" t="e">
        <f t="shared" si="106"/>
        <v>#NUM!</v>
      </c>
      <c r="T1684" s="4" t="str">
        <f t="shared" si="104"/>
        <v/>
      </c>
      <c r="U1684" s="4" t="s">
        <v>3763</v>
      </c>
    </row>
    <row r="1685" spans="1:21" x14ac:dyDescent="0.3">
      <c r="A1685" t="s">
        <v>2271</v>
      </c>
      <c r="B1685" s="1" t="s">
        <v>221</v>
      </c>
      <c r="C1685" s="1" t="s">
        <v>40</v>
      </c>
      <c r="D1685" s="1" t="s">
        <v>35</v>
      </c>
      <c r="E1685" s="2" t="s">
        <v>3563</v>
      </c>
      <c r="F1685" s="2" t="b">
        <f t="shared" si="107"/>
        <v>0</v>
      </c>
      <c r="G1685" s="2">
        <f t="shared" si="105"/>
        <v>41772</v>
      </c>
      <c r="H1685" s="1" t="s">
        <v>115</v>
      </c>
      <c r="I1685" s="1" t="s">
        <v>1059</v>
      </c>
      <c r="J1685" s="1">
        <v>250</v>
      </c>
      <c r="K1685" s="1">
        <v>250</v>
      </c>
      <c r="L1685" s="3">
        <v>0</v>
      </c>
      <c r="N1685" t="s">
        <v>3563</v>
      </c>
      <c r="P1685">
        <v>5</v>
      </c>
      <c r="Q1685">
        <v>13</v>
      </c>
      <c r="R1685">
        <v>2014</v>
      </c>
      <c r="S1685" s="4">
        <f t="shared" si="106"/>
        <v>41772</v>
      </c>
      <c r="T1685" s="4">
        <f t="shared" si="104"/>
        <v>41772</v>
      </c>
      <c r="U1685" s="4">
        <v>41772</v>
      </c>
    </row>
    <row r="1686" spans="1:21" x14ac:dyDescent="0.3">
      <c r="A1686" t="s">
        <v>2272</v>
      </c>
      <c r="B1686" s="1" t="s">
        <v>49</v>
      </c>
      <c r="C1686" s="1" t="s">
        <v>50</v>
      </c>
      <c r="D1686" s="1" t="s">
        <v>24</v>
      </c>
      <c r="E1686" s="2" t="s">
        <v>3635</v>
      </c>
      <c r="F1686" s="2" t="b">
        <f t="shared" si="107"/>
        <v>0</v>
      </c>
      <c r="G1686" s="2">
        <f t="shared" si="105"/>
        <v>42632</v>
      </c>
      <c r="H1686" s="1" t="s">
        <v>72</v>
      </c>
      <c r="I1686" s="1" t="s">
        <v>699</v>
      </c>
      <c r="J1686" s="1">
        <v>500</v>
      </c>
      <c r="K1686" s="1">
        <v>490</v>
      </c>
      <c r="L1686" s="3">
        <v>0.02</v>
      </c>
      <c r="N1686" t="s">
        <v>3635</v>
      </c>
      <c r="P1686">
        <v>9</v>
      </c>
      <c r="Q1686">
        <v>19</v>
      </c>
      <c r="R1686">
        <v>2016</v>
      </c>
      <c r="S1686" s="4">
        <f t="shared" si="106"/>
        <v>42632</v>
      </c>
      <c r="T1686" s="4">
        <f t="shared" si="104"/>
        <v>42632</v>
      </c>
      <c r="U1686" s="4">
        <v>42632</v>
      </c>
    </row>
    <row r="1687" spans="1:21" x14ac:dyDescent="0.3">
      <c r="A1687" t="s">
        <v>2273</v>
      </c>
      <c r="B1687" s="1" t="s">
        <v>154</v>
      </c>
      <c r="C1687" s="1" t="s">
        <v>108</v>
      </c>
      <c r="D1687" s="1" t="s">
        <v>19</v>
      </c>
      <c r="E1687" s="2" t="s">
        <v>3289</v>
      </c>
      <c r="F1687" s="2" t="b">
        <f t="shared" si="107"/>
        <v>0</v>
      </c>
      <c r="G1687" s="2">
        <f t="shared" si="105"/>
        <v>43267</v>
      </c>
      <c r="H1687" s="1" t="s">
        <v>25</v>
      </c>
      <c r="I1687" s="1" t="s">
        <v>155</v>
      </c>
      <c r="J1687" s="1">
        <v>700</v>
      </c>
      <c r="K1687" s="1">
        <v>637</v>
      </c>
      <c r="L1687" s="3">
        <v>0.09</v>
      </c>
      <c r="N1687" t="s">
        <v>3289</v>
      </c>
      <c r="P1687">
        <v>6</v>
      </c>
      <c r="Q1687">
        <v>16</v>
      </c>
      <c r="R1687">
        <v>2018</v>
      </c>
      <c r="S1687" s="4">
        <f t="shared" si="106"/>
        <v>43267</v>
      </c>
      <c r="T1687" s="4">
        <f t="shared" si="104"/>
        <v>43267</v>
      </c>
      <c r="U1687" s="4">
        <v>43267</v>
      </c>
    </row>
    <row r="1688" spans="1:21" x14ac:dyDescent="0.3">
      <c r="A1688" t="s">
        <v>2274</v>
      </c>
      <c r="B1688" s="1" t="s">
        <v>221</v>
      </c>
      <c r="C1688" s="1" t="s">
        <v>40</v>
      </c>
      <c r="D1688" s="1" t="s">
        <v>35</v>
      </c>
      <c r="E1688" s="2" t="s">
        <v>3217</v>
      </c>
      <c r="F1688" s="2" t="b">
        <f t="shared" si="107"/>
        <v>0</v>
      </c>
      <c r="G1688" s="2">
        <f t="shared" si="105"/>
        <v>42946</v>
      </c>
      <c r="H1688" s="1" t="s">
        <v>25</v>
      </c>
      <c r="I1688" s="1" t="s">
        <v>245</v>
      </c>
      <c r="J1688" s="1">
        <v>700</v>
      </c>
      <c r="K1688" s="1">
        <v>679</v>
      </c>
      <c r="L1688" s="3">
        <v>0.03</v>
      </c>
      <c r="N1688" t="s">
        <v>3217</v>
      </c>
      <c r="P1688">
        <v>7</v>
      </c>
      <c r="Q1688">
        <v>30</v>
      </c>
      <c r="R1688">
        <v>2017</v>
      </c>
      <c r="S1688" s="4">
        <f t="shared" si="106"/>
        <v>42946</v>
      </c>
      <c r="T1688" s="4">
        <f t="shared" si="104"/>
        <v>42946</v>
      </c>
      <c r="U1688" s="4">
        <v>42946</v>
      </c>
    </row>
    <row r="1689" spans="1:21" x14ac:dyDescent="0.3">
      <c r="A1689" t="s">
        <v>2275</v>
      </c>
      <c r="B1689" s="1" t="s">
        <v>2191</v>
      </c>
      <c r="C1689" s="1" t="s">
        <v>108</v>
      </c>
      <c r="D1689" s="1" t="s">
        <v>19</v>
      </c>
      <c r="E1689" s="2" t="s">
        <v>3625</v>
      </c>
      <c r="F1689" s="2" t="b">
        <f t="shared" si="107"/>
        <v>0</v>
      </c>
      <c r="G1689" s="2">
        <f t="shared" si="105"/>
        <v>42689</v>
      </c>
      <c r="H1689" s="1" t="s">
        <v>41</v>
      </c>
      <c r="I1689" s="1" t="s">
        <v>2201</v>
      </c>
      <c r="J1689" s="1">
        <v>30</v>
      </c>
      <c r="K1689" s="1">
        <v>28</v>
      </c>
      <c r="L1689" s="3">
        <v>6.6699999999999995E-2</v>
      </c>
      <c r="N1689" t="s">
        <v>3625</v>
      </c>
      <c r="P1689">
        <v>11</v>
      </c>
      <c r="Q1689">
        <v>15</v>
      </c>
      <c r="R1689">
        <v>2016</v>
      </c>
      <c r="S1689" s="4">
        <f t="shared" si="106"/>
        <v>42689</v>
      </c>
      <c r="T1689" s="4">
        <f t="shared" si="104"/>
        <v>42689</v>
      </c>
      <c r="U1689" s="4">
        <v>42689</v>
      </c>
    </row>
    <row r="1690" spans="1:21" x14ac:dyDescent="0.3">
      <c r="A1690" t="s">
        <v>2276</v>
      </c>
      <c r="B1690" s="1" t="s">
        <v>81</v>
      </c>
      <c r="C1690" s="1" t="s">
        <v>82</v>
      </c>
      <c r="D1690" s="1" t="s">
        <v>13</v>
      </c>
      <c r="E1690" s="2" t="s">
        <v>3636</v>
      </c>
      <c r="F1690" s="2" t="b">
        <f t="shared" si="107"/>
        <v>0</v>
      </c>
      <c r="G1690" s="2">
        <f t="shared" si="105"/>
        <v>42695</v>
      </c>
      <c r="H1690" s="1" t="s">
        <v>14</v>
      </c>
      <c r="I1690" s="1" t="s">
        <v>83</v>
      </c>
      <c r="J1690" s="1">
        <v>80</v>
      </c>
      <c r="K1690" s="1">
        <v>70</v>
      </c>
      <c r="L1690" s="3">
        <v>0.125</v>
      </c>
      <c r="N1690" t="s">
        <v>3636</v>
      </c>
      <c r="P1690">
        <v>11</v>
      </c>
      <c r="Q1690">
        <v>21</v>
      </c>
      <c r="R1690">
        <v>2016</v>
      </c>
      <c r="S1690" s="4">
        <f t="shared" si="106"/>
        <v>42695</v>
      </c>
      <c r="T1690" s="4">
        <f t="shared" si="104"/>
        <v>42695</v>
      </c>
      <c r="U1690" s="4">
        <v>42695</v>
      </c>
    </row>
    <row r="1691" spans="1:21" x14ac:dyDescent="0.3">
      <c r="A1691" t="s">
        <v>2277</v>
      </c>
      <c r="B1691" s="1" t="s">
        <v>182</v>
      </c>
      <c r="C1691" s="1" t="s">
        <v>108</v>
      </c>
      <c r="D1691" s="1" t="s">
        <v>19</v>
      </c>
      <c r="E1691" s="2">
        <v>41792</v>
      </c>
      <c r="F1691" s="2" t="b">
        <f t="shared" si="107"/>
        <v>1</v>
      </c>
      <c r="G1691" s="2">
        <f t="shared" si="105"/>
        <v>41792</v>
      </c>
      <c r="H1691" s="1" t="s">
        <v>41</v>
      </c>
      <c r="I1691" s="1" t="s">
        <v>2235</v>
      </c>
      <c r="J1691" s="1">
        <v>30</v>
      </c>
      <c r="K1691" s="1">
        <v>26</v>
      </c>
      <c r="L1691" s="3">
        <v>0.1333</v>
      </c>
      <c r="N1691" t="s">
        <v>3763</v>
      </c>
      <c r="S1691" s="4" t="e">
        <f t="shared" si="106"/>
        <v>#NUM!</v>
      </c>
      <c r="T1691" s="4" t="str">
        <f t="shared" si="104"/>
        <v/>
      </c>
      <c r="U1691" s="4" t="s">
        <v>3763</v>
      </c>
    </row>
    <row r="1692" spans="1:21" x14ac:dyDescent="0.3">
      <c r="A1692" t="s">
        <v>2278</v>
      </c>
      <c r="B1692" s="1" t="s">
        <v>221</v>
      </c>
      <c r="C1692" s="1" t="s">
        <v>40</v>
      </c>
      <c r="D1692" s="1" t="s">
        <v>35</v>
      </c>
      <c r="E1692" s="2">
        <v>43378</v>
      </c>
      <c r="F1692" s="2" t="b">
        <f t="shared" si="107"/>
        <v>1</v>
      </c>
      <c r="G1692" s="2">
        <f t="shared" si="105"/>
        <v>43378</v>
      </c>
      <c r="H1692" s="1" t="s">
        <v>122</v>
      </c>
      <c r="I1692" s="1" t="s">
        <v>1179</v>
      </c>
      <c r="J1692" s="1">
        <v>50</v>
      </c>
      <c r="K1692" s="1">
        <v>47</v>
      </c>
      <c r="L1692" s="3">
        <v>0.06</v>
      </c>
      <c r="N1692" t="s">
        <v>3763</v>
      </c>
      <c r="S1692" s="4" t="e">
        <f t="shared" si="106"/>
        <v>#NUM!</v>
      </c>
      <c r="T1692" s="4" t="str">
        <f t="shared" si="104"/>
        <v/>
      </c>
      <c r="U1692" s="4" t="s">
        <v>3763</v>
      </c>
    </row>
    <row r="1693" spans="1:21" x14ac:dyDescent="0.3">
      <c r="A1693" t="s">
        <v>2279</v>
      </c>
      <c r="B1693" s="1" t="s">
        <v>77</v>
      </c>
      <c r="C1693" s="1" t="s">
        <v>78</v>
      </c>
      <c r="D1693" s="1" t="s">
        <v>35</v>
      </c>
      <c r="E1693" s="2" t="s">
        <v>3637</v>
      </c>
      <c r="F1693" s="2" t="b">
        <f t="shared" si="107"/>
        <v>0</v>
      </c>
      <c r="G1693" s="2">
        <f t="shared" si="105"/>
        <v>42814</v>
      </c>
      <c r="H1693" s="1" t="s">
        <v>122</v>
      </c>
      <c r="I1693" s="1" t="s">
        <v>1789</v>
      </c>
      <c r="J1693" s="1">
        <v>50</v>
      </c>
      <c r="K1693" s="1">
        <v>45</v>
      </c>
      <c r="L1693" s="3">
        <v>0.1</v>
      </c>
      <c r="N1693" t="s">
        <v>3637</v>
      </c>
      <c r="P1693">
        <v>3</v>
      </c>
      <c r="Q1693">
        <v>20</v>
      </c>
      <c r="R1693">
        <v>2017</v>
      </c>
      <c r="S1693" s="4">
        <f t="shared" si="106"/>
        <v>42814</v>
      </c>
      <c r="T1693" s="4">
        <f t="shared" si="104"/>
        <v>42814</v>
      </c>
      <c r="U1693" s="4">
        <v>42814</v>
      </c>
    </row>
    <row r="1694" spans="1:21" x14ac:dyDescent="0.3">
      <c r="A1694" t="s">
        <v>2280</v>
      </c>
      <c r="B1694" s="1" t="s">
        <v>2191</v>
      </c>
      <c r="C1694" s="1" t="s">
        <v>108</v>
      </c>
      <c r="D1694" s="1" t="s">
        <v>19</v>
      </c>
      <c r="E1694" s="2">
        <v>43107</v>
      </c>
      <c r="F1694" s="2" t="b">
        <f t="shared" si="107"/>
        <v>1</v>
      </c>
      <c r="G1694" s="2">
        <f t="shared" si="105"/>
        <v>43107</v>
      </c>
      <c r="H1694" s="1" t="s">
        <v>104</v>
      </c>
      <c r="I1694" s="1" t="s">
        <v>2281</v>
      </c>
      <c r="J1694" s="1">
        <v>70</v>
      </c>
      <c r="K1694" s="1">
        <v>69</v>
      </c>
      <c r="L1694" s="3">
        <v>1.43E-2</v>
      </c>
      <c r="N1694" t="s">
        <v>3763</v>
      </c>
      <c r="S1694" s="4" t="e">
        <f t="shared" si="106"/>
        <v>#NUM!</v>
      </c>
      <c r="T1694" s="4" t="str">
        <f t="shared" si="104"/>
        <v/>
      </c>
      <c r="U1694" s="4" t="s">
        <v>3763</v>
      </c>
    </row>
    <row r="1695" spans="1:21" x14ac:dyDescent="0.3">
      <c r="A1695" t="s">
        <v>2282</v>
      </c>
      <c r="B1695" s="1" t="s">
        <v>11</v>
      </c>
      <c r="C1695" s="1" t="s">
        <v>12</v>
      </c>
      <c r="D1695" s="1" t="s">
        <v>13</v>
      </c>
      <c r="E1695" s="2">
        <v>43443</v>
      </c>
      <c r="F1695" s="2" t="b">
        <f t="shared" si="107"/>
        <v>1</v>
      </c>
      <c r="G1695" s="2">
        <f t="shared" si="105"/>
        <v>43443</v>
      </c>
      <c r="H1695" s="1" t="s">
        <v>55</v>
      </c>
      <c r="I1695" s="1" t="s">
        <v>293</v>
      </c>
      <c r="J1695" s="1">
        <v>800</v>
      </c>
      <c r="K1695" s="1">
        <v>640</v>
      </c>
      <c r="L1695" s="3">
        <v>0.2</v>
      </c>
      <c r="N1695" t="s">
        <v>3763</v>
      </c>
      <c r="S1695" s="4" t="e">
        <f t="shared" si="106"/>
        <v>#NUM!</v>
      </c>
      <c r="T1695" s="4" t="str">
        <f t="shared" si="104"/>
        <v/>
      </c>
      <c r="U1695" s="4" t="s">
        <v>3763</v>
      </c>
    </row>
    <row r="1696" spans="1:21" x14ac:dyDescent="0.3">
      <c r="A1696" t="s">
        <v>2283</v>
      </c>
      <c r="B1696" s="1" t="s">
        <v>111</v>
      </c>
      <c r="C1696" s="1" t="s">
        <v>82</v>
      </c>
      <c r="D1696" s="1" t="s">
        <v>13</v>
      </c>
      <c r="E1696" s="2" t="s">
        <v>3054</v>
      </c>
      <c r="F1696" s="2" t="b">
        <f t="shared" si="107"/>
        <v>0</v>
      </c>
      <c r="G1696" s="2">
        <f t="shared" si="105"/>
        <v>42536</v>
      </c>
      <c r="H1696" s="1" t="s">
        <v>55</v>
      </c>
      <c r="I1696" s="1" t="s">
        <v>1688</v>
      </c>
      <c r="J1696" s="1">
        <v>800</v>
      </c>
      <c r="K1696" s="1">
        <v>744</v>
      </c>
      <c r="L1696" s="3">
        <v>7.0000000000000007E-2</v>
      </c>
      <c r="N1696" t="s">
        <v>3054</v>
      </c>
      <c r="P1696">
        <v>6</v>
      </c>
      <c r="Q1696">
        <v>15</v>
      </c>
      <c r="R1696">
        <v>2016</v>
      </c>
      <c r="S1696" s="4">
        <f t="shared" si="106"/>
        <v>42536</v>
      </c>
      <c r="T1696" s="4">
        <f t="shared" si="104"/>
        <v>42536</v>
      </c>
      <c r="U1696" s="4">
        <v>42536</v>
      </c>
    </row>
    <row r="1697" spans="1:21" x14ac:dyDescent="0.3">
      <c r="A1697" t="s">
        <v>2284</v>
      </c>
      <c r="B1697" s="1" t="s">
        <v>28</v>
      </c>
      <c r="C1697" s="1" t="s">
        <v>29</v>
      </c>
      <c r="D1697" s="1" t="s">
        <v>13</v>
      </c>
      <c r="E1697" s="2" t="s">
        <v>2976</v>
      </c>
      <c r="F1697" s="2" t="b">
        <f t="shared" si="107"/>
        <v>0</v>
      </c>
      <c r="G1697" s="2">
        <f t="shared" si="105"/>
        <v>41931</v>
      </c>
      <c r="H1697" s="1" t="s">
        <v>14</v>
      </c>
      <c r="I1697" s="1" t="s">
        <v>1743</v>
      </c>
      <c r="J1697" s="1">
        <v>80</v>
      </c>
      <c r="K1697" s="1">
        <v>74</v>
      </c>
      <c r="L1697" s="3">
        <v>7.4999999999999997E-2</v>
      </c>
      <c r="N1697" t="s">
        <v>2976</v>
      </c>
      <c r="P1697">
        <v>10</v>
      </c>
      <c r="Q1697">
        <v>19</v>
      </c>
      <c r="R1697">
        <v>2014</v>
      </c>
      <c r="S1697" s="4">
        <f t="shared" si="106"/>
        <v>41931</v>
      </c>
      <c r="T1697" s="4">
        <f t="shared" si="104"/>
        <v>41931</v>
      </c>
      <c r="U1697" s="4">
        <v>41931</v>
      </c>
    </row>
    <row r="1698" spans="1:21" x14ac:dyDescent="0.3">
      <c r="A1698" t="s">
        <v>2285</v>
      </c>
      <c r="B1698" s="1" t="s">
        <v>174</v>
      </c>
      <c r="C1698" s="1" t="s">
        <v>175</v>
      </c>
      <c r="D1698" s="1" t="s">
        <v>13</v>
      </c>
      <c r="E1698" s="2">
        <v>43378</v>
      </c>
      <c r="F1698" s="2" t="b">
        <f t="shared" si="107"/>
        <v>1</v>
      </c>
      <c r="G1698" s="2">
        <f t="shared" si="105"/>
        <v>43378</v>
      </c>
      <c r="H1698" s="1" t="s">
        <v>30</v>
      </c>
      <c r="I1698" s="1" t="s">
        <v>176</v>
      </c>
      <c r="J1698" s="1">
        <v>150</v>
      </c>
      <c r="K1698" s="1">
        <v>128</v>
      </c>
      <c r="L1698" s="3">
        <v>0.1467</v>
      </c>
      <c r="N1698" t="s">
        <v>3763</v>
      </c>
      <c r="S1698" s="4" t="e">
        <f t="shared" si="106"/>
        <v>#NUM!</v>
      </c>
      <c r="T1698" s="4" t="str">
        <f t="shared" si="104"/>
        <v/>
      </c>
      <c r="U1698" s="4" t="s">
        <v>3763</v>
      </c>
    </row>
    <row r="1699" spans="1:21" x14ac:dyDescent="0.3">
      <c r="A1699" t="s">
        <v>2286</v>
      </c>
      <c r="B1699" s="1" t="s">
        <v>49</v>
      </c>
      <c r="C1699" s="1" t="s">
        <v>50</v>
      </c>
      <c r="D1699" s="1" t="s">
        <v>24</v>
      </c>
      <c r="E1699" s="2">
        <v>43355</v>
      </c>
      <c r="F1699" s="2" t="b">
        <f t="shared" si="107"/>
        <v>1</v>
      </c>
      <c r="G1699" s="2">
        <f t="shared" si="105"/>
        <v>43355</v>
      </c>
      <c r="H1699" s="1" t="s">
        <v>122</v>
      </c>
      <c r="I1699" s="1" t="s">
        <v>2287</v>
      </c>
      <c r="J1699" s="1">
        <v>50</v>
      </c>
      <c r="K1699" s="1">
        <v>45</v>
      </c>
      <c r="L1699" s="3">
        <v>0.1</v>
      </c>
      <c r="N1699" t="s">
        <v>3763</v>
      </c>
      <c r="S1699" s="4" t="e">
        <f t="shared" si="106"/>
        <v>#NUM!</v>
      </c>
      <c r="T1699" s="4" t="str">
        <f t="shared" si="104"/>
        <v/>
      </c>
      <c r="U1699" s="4" t="s">
        <v>3763</v>
      </c>
    </row>
    <row r="1700" spans="1:21" x14ac:dyDescent="0.3">
      <c r="A1700" t="s">
        <v>2288</v>
      </c>
      <c r="B1700" s="1" t="s">
        <v>114</v>
      </c>
      <c r="C1700" s="1" t="s">
        <v>54</v>
      </c>
      <c r="D1700" s="1" t="s">
        <v>13</v>
      </c>
      <c r="E1700" s="2">
        <v>43135</v>
      </c>
      <c r="F1700" s="2" t="b">
        <f t="shared" si="107"/>
        <v>1</v>
      </c>
      <c r="G1700" s="2">
        <f t="shared" si="105"/>
        <v>43135</v>
      </c>
      <c r="H1700" s="1" t="s">
        <v>55</v>
      </c>
      <c r="I1700" s="1" t="s">
        <v>235</v>
      </c>
      <c r="J1700" s="1">
        <v>800</v>
      </c>
      <c r="K1700" s="1">
        <v>664</v>
      </c>
      <c r="L1700" s="3">
        <v>0.17</v>
      </c>
      <c r="N1700" t="s">
        <v>3763</v>
      </c>
      <c r="S1700" s="4" t="e">
        <f t="shared" si="106"/>
        <v>#NUM!</v>
      </c>
      <c r="T1700" s="4" t="str">
        <f t="shared" si="104"/>
        <v/>
      </c>
      <c r="U1700" s="4" t="s">
        <v>3763</v>
      </c>
    </row>
    <row r="1701" spans="1:21" x14ac:dyDescent="0.3">
      <c r="A1701" t="s">
        <v>2289</v>
      </c>
      <c r="B1701" s="1" t="s">
        <v>289</v>
      </c>
      <c r="C1701" s="1" t="s">
        <v>108</v>
      </c>
      <c r="D1701" s="1" t="s">
        <v>19</v>
      </c>
      <c r="E1701" s="2" t="s">
        <v>3638</v>
      </c>
      <c r="F1701" s="2" t="b">
        <f t="shared" si="107"/>
        <v>0</v>
      </c>
      <c r="G1701" s="2">
        <f t="shared" si="105"/>
        <v>42168</v>
      </c>
      <c r="H1701" s="1" t="s">
        <v>115</v>
      </c>
      <c r="I1701" s="1" t="s">
        <v>421</v>
      </c>
      <c r="J1701" s="1">
        <v>250</v>
      </c>
      <c r="K1701" s="1">
        <v>243</v>
      </c>
      <c r="L1701" s="3">
        <v>2.8000000000000001E-2</v>
      </c>
      <c r="N1701" t="s">
        <v>3638</v>
      </c>
      <c r="P1701">
        <v>6</v>
      </c>
      <c r="Q1701">
        <v>13</v>
      </c>
      <c r="R1701">
        <v>2015</v>
      </c>
      <c r="S1701" s="4">
        <f t="shared" si="106"/>
        <v>42168</v>
      </c>
      <c r="T1701" s="4">
        <f t="shared" si="104"/>
        <v>42168</v>
      </c>
      <c r="U1701" s="4">
        <v>42168</v>
      </c>
    </row>
    <row r="1702" spans="1:21" x14ac:dyDescent="0.3">
      <c r="A1702" t="s">
        <v>2290</v>
      </c>
      <c r="B1702" s="1" t="s">
        <v>22</v>
      </c>
      <c r="C1702" s="1" t="s">
        <v>23</v>
      </c>
      <c r="D1702" s="1" t="s">
        <v>24</v>
      </c>
      <c r="E1702" s="2" t="s">
        <v>3639</v>
      </c>
      <c r="F1702" s="2" t="b">
        <f t="shared" si="107"/>
        <v>0</v>
      </c>
      <c r="G1702" s="2">
        <f t="shared" si="105"/>
        <v>42704</v>
      </c>
      <c r="H1702" s="1" t="s">
        <v>104</v>
      </c>
      <c r="I1702" s="1" t="s">
        <v>310</v>
      </c>
      <c r="J1702" s="1">
        <v>70</v>
      </c>
      <c r="K1702" s="1">
        <v>69</v>
      </c>
      <c r="L1702" s="3">
        <v>1.43E-2</v>
      </c>
      <c r="N1702" t="s">
        <v>3639</v>
      </c>
      <c r="P1702">
        <v>11</v>
      </c>
      <c r="Q1702">
        <v>30</v>
      </c>
      <c r="R1702">
        <v>2016</v>
      </c>
      <c r="S1702" s="4">
        <f t="shared" si="106"/>
        <v>42704</v>
      </c>
      <c r="T1702" s="4">
        <f t="shared" si="104"/>
        <v>42704</v>
      </c>
      <c r="U1702" s="4">
        <v>42704</v>
      </c>
    </row>
    <row r="1703" spans="1:21" x14ac:dyDescent="0.3">
      <c r="A1703" t="s">
        <v>2291</v>
      </c>
      <c r="B1703" s="1" t="s">
        <v>118</v>
      </c>
      <c r="C1703" s="1" t="s">
        <v>119</v>
      </c>
      <c r="D1703" s="1" t="s">
        <v>35</v>
      </c>
      <c r="E1703" s="2">
        <v>41985</v>
      </c>
      <c r="F1703" s="2" t="b">
        <f t="shared" si="107"/>
        <v>1</v>
      </c>
      <c r="G1703" s="2">
        <f t="shared" si="105"/>
        <v>41985</v>
      </c>
      <c r="H1703" s="1" t="s">
        <v>46</v>
      </c>
      <c r="I1703" s="1" t="s">
        <v>1079</v>
      </c>
      <c r="J1703" s="1">
        <v>500</v>
      </c>
      <c r="K1703" s="1">
        <v>495</v>
      </c>
      <c r="L1703" s="3">
        <v>0.01</v>
      </c>
      <c r="N1703" t="s">
        <v>3763</v>
      </c>
      <c r="S1703" s="4" t="e">
        <f t="shared" si="106"/>
        <v>#NUM!</v>
      </c>
      <c r="T1703" s="4" t="str">
        <f t="shared" si="104"/>
        <v/>
      </c>
      <c r="U1703" s="4" t="s">
        <v>3763</v>
      </c>
    </row>
    <row r="1704" spans="1:21" x14ac:dyDescent="0.3">
      <c r="A1704" t="s">
        <v>2292</v>
      </c>
      <c r="B1704" s="1" t="s">
        <v>127</v>
      </c>
      <c r="C1704" s="1" t="s">
        <v>128</v>
      </c>
      <c r="D1704" s="1" t="s">
        <v>13</v>
      </c>
      <c r="E1704" s="2" t="s">
        <v>3606</v>
      </c>
      <c r="F1704" s="2" t="b">
        <f t="shared" si="107"/>
        <v>0</v>
      </c>
      <c r="G1704" s="2">
        <f t="shared" si="105"/>
        <v>43148</v>
      </c>
      <c r="H1704" s="1" t="s">
        <v>55</v>
      </c>
      <c r="I1704" s="1" t="s">
        <v>129</v>
      </c>
      <c r="J1704" s="1">
        <v>800</v>
      </c>
      <c r="K1704" s="1">
        <v>440</v>
      </c>
      <c r="L1704" s="3">
        <v>0.45</v>
      </c>
      <c r="N1704" t="s">
        <v>3606</v>
      </c>
      <c r="P1704">
        <v>2</v>
      </c>
      <c r="Q1704">
        <v>17</v>
      </c>
      <c r="R1704">
        <v>2018</v>
      </c>
      <c r="S1704" s="4">
        <f t="shared" si="106"/>
        <v>43148</v>
      </c>
      <c r="T1704" s="4">
        <f t="shared" si="104"/>
        <v>43148</v>
      </c>
      <c r="U1704" s="4">
        <v>43148</v>
      </c>
    </row>
    <row r="1705" spans="1:21" x14ac:dyDescent="0.3">
      <c r="A1705" t="s">
        <v>2293</v>
      </c>
      <c r="B1705" s="1" t="s">
        <v>114</v>
      </c>
      <c r="C1705" s="1" t="s">
        <v>54</v>
      </c>
      <c r="D1705" s="1" t="s">
        <v>13</v>
      </c>
      <c r="E1705" s="2">
        <v>43169</v>
      </c>
      <c r="F1705" s="2" t="b">
        <f t="shared" si="107"/>
        <v>1</v>
      </c>
      <c r="G1705" s="2">
        <f t="shared" si="105"/>
        <v>43169</v>
      </c>
      <c r="H1705" s="1" t="s">
        <v>122</v>
      </c>
      <c r="I1705" s="1" t="s">
        <v>885</v>
      </c>
      <c r="J1705" s="1">
        <v>50</v>
      </c>
      <c r="K1705" s="1">
        <v>44</v>
      </c>
      <c r="L1705" s="3">
        <v>0.12</v>
      </c>
      <c r="N1705" t="s">
        <v>3763</v>
      </c>
      <c r="S1705" s="4" t="e">
        <f t="shared" si="106"/>
        <v>#NUM!</v>
      </c>
      <c r="T1705" s="4" t="str">
        <f t="shared" si="104"/>
        <v/>
      </c>
      <c r="U1705" s="4" t="s">
        <v>3763</v>
      </c>
    </row>
    <row r="1706" spans="1:21" x14ac:dyDescent="0.3">
      <c r="A1706" t="s">
        <v>2294</v>
      </c>
      <c r="B1706" s="1" t="s">
        <v>70</v>
      </c>
      <c r="C1706" s="1" t="s">
        <v>71</v>
      </c>
      <c r="D1706" s="1" t="s">
        <v>35</v>
      </c>
      <c r="E1706" s="2" t="s">
        <v>3640</v>
      </c>
      <c r="F1706" s="2" t="b">
        <f t="shared" si="107"/>
        <v>0</v>
      </c>
      <c r="G1706" s="2">
        <f t="shared" si="105"/>
        <v>43129</v>
      </c>
      <c r="H1706" s="1" t="s">
        <v>61</v>
      </c>
      <c r="I1706" s="1" t="s">
        <v>2295</v>
      </c>
      <c r="J1706" s="1">
        <v>1000</v>
      </c>
      <c r="K1706" s="1">
        <v>790</v>
      </c>
      <c r="L1706" s="3">
        <v>0.21</v>
      </c>
      <c r="N1706" t="s">
        <v>3640</v>
      </c>
      <c r="P1706">
        <v>1</v>
      </c>
      <c r="Q1706">
        <v>29</v>
      </c>
      <c r="R1706">
        <v>2018</v>
      </c>
      <c r="S1706" s="4">
        <f t="shared" si="106"/>
        <v>43129</v>
      </c>
      <c r="T1706" s="4">
        <f t="shared" si="104"/>
        <v>43129</v>
      </c>
      <c r="U1706" s="4">
        <v>43129</v>
      </c>
    </row>
    <row r="1707" spans="1:21" x14ac:dyDescent="0.3">
      <c r="A1707" t="s">
        <v>2296</v>
      </c>
      <c r="B1707" s="1" t="s">
        <v>22</v>
      </c>
      <c r="C1707" s="1" t="s">
        <v>23</v>
      </c>
      <c r="D1707" s="1" t="s">
        <v>24</v>
      </c>
      <c r="E1707" s="2">
        <v>42438</v>
      </c>
      <c r="F1707" s="2" t="b">
        <f t="shared" si="107"/>
        <v>1</v>
      </c>
      <c r="G1707" s="2">
        <f t="shared" si="105"/>
        <v>42438</v>
      </c>
      <c r="H1707" s="1" t="s">
        <v>25</v>
      </c>
      <c r="I1707" s="1" t="s">
        <v>483</v>
      </c>
      <c r="J1707" s="1">
        <v>700</v>
      </c>
      <c r="K1707" s="1">
        <v>609</v>
      </c>
      <c r="L1707" s="3">
        <v>0.13</v>
      </c>
      <c r="N1707" t="s">
        <v>3763</v>
      </c>
      <c r="S1707" s="4" t="e">
        <f t="shared" si="106"/>
        <v>#NUM!</v>
      </c>
      <c r="T1707" s="4" t="str">
        <f t="shared" si="104"/>
        <v/>
      </c>
      <c r="U1707" s="4" t="s">
        <v>3763</v>
      </c>
    </row>
    <row r="1708" spans="1:21" x14ac:dyDescent="0.3">
      <c r="A1708" t="s">
        <v>2297</v>
      </c>
      <c r="B1708" s="1" t="s">
        <v>114</v>
      </c>
      <c r="C1708" s="1" t="s">
        <v>54</v>
      </c>
      <c r="D1708" s="1" t="s">
        <v>13</v>
      </c>
      <c r="E1708" s="2" t="s">
        <v>3442</v>
      </c>
      <c r="F1708" s="2" t="b">
        <f t="shared" si="107"/>
        <v>0</v>
      </c>
      <c r="G1708" s="2">
        <f t="shared" si="105"/>
        <v>42630</v>
      </c>
      <c r="H1708" s="1" t="s">
        <v>46</v>
      </c>
      <c r="I1708" s="1" t="s">
        <v>1068</v>
      </c>
      <c r="J1708" s="1">
        <v>500</v>
      </c>
      <c r="K1708" s="1">
        <v>425</v>
      </c>
      <c r="L1708" s="3">
        <v>0.15</v>
      </c>
      <c r="N1708" t="s">
        <v>3442</v>
      </c>
      <c r="P1708">
        <v>9</v>
      </c>
      <c r="Q1708">
        <v>17</v>
      </c>
      <c r="R1708">
        <v>2016</v>
      </c>
      <c r="S1708" s="4">
        <f t="shared" si="106"/>
        <v>42630</v>
      </c>
      <c r="T1708" s="4">
        <f t="shared" si="104"/>
        <v>42630</v>
      </c>
      <c r="U1708" s="4">
        <v>42630</v>
      </c>
    </row>
    <row r="1709" spans="1:21" x14ac:dyDescent="0.3">
      <c r="A1709" t="s">
        <v>2298</v>
      </c>
      <c r="B1709" s="1" t="s">
        <v>127</v>
      </c>
      <c r="C1709" s="1" t="s">
        <v>128</v>
      </c>
      <c r="D1709" s="1" t="s">
        <v>13</v>
      </c>
      <c r="E1709" s="2" t="s">
        <v>3349</v>
      </c>
      <c r="F1709" s="2" t="b">
        <f t="shared" si="107"/>
        <v>0</v>
      </c>
      <c r="G1709" s="2">
        <f t="shared" si="105"/>
        <v>42172</v>
      </c>
      <c r="H1709" s="1" t="s">
        <v>104</v>
      </c>
      <c r="I1709" s="1" t="s">
        <v>920</v>
      </c>
      <c r="J1709" s="1">
        <v>70</v>
      </c>
      <c r="K1709" s="1">
        <v>45</v>
      </c>
      <c r="L1709" s="3">
        <v>0.35709999999999997</v>
      </c>
      <c r="N1709" t="s">
        <v>3349</v>
      </c>
      <c r="P1709">
        <v>6</v>
      </c>
      <c r="Q1709">
        <v>17</v>
      </c>
      <c r="R1709">
        <v>2015</v>
      </c>
      <c r="S1709" s="4">
        <f t="shared" si="106"/>
        <v>42172</v>
      </c>
      <c r="T1709" s="4">
        <f t="shared" si="104"/>
        <v>42172</v>
      </c>
      <c r="U1709" s="4">
        <v>42172</v>
      </c>
    </row>
    <row r="1710" spans="1:21" x14ac:dyDescent="0.3">
      <c r="A1710" t="s">
        <v>2299</v>
      </c>
      <c r="B1710" s="1" t="s">
        <v>170</v>
      </c>
      <c r="C1710" s="1" t="s">
        <v>171</v>
      </c>
      <c r="D1710" s="1" t="s">
        <v>13</v>
      </c>
      <c r="E1710" s="2" t="s">
        <v>3641</v>
      </c>
      <c r="F1710" s="2" t="b">
        <f t="shared" si="107"/>
        <v>0</v>
      </c>
      <c r="G1710" s="2">
        <f t="shared" si="105"/>
        <v>42947</v>
      </c>
      <c r="H1710" s="1" t="s">
        <v>41</v>
      </c>
      <c r="I1710" s="1" t="s">
        <v>411</v>
      </c>
      <c r="J1710" s="1">
        <v>30</v>
      </c>
      <c r="K1710" s="1">
        <v>25</v>
      </c>
      <c r="L1710" s="3">
        <v>0.16669999999999999</v>
      </c>
      <c r="N1710" t="s">
        <v>3641</v>
      </c>
      <c r="P1710">
        <v>7</v>
      </c>
      <c r="Q1710">
        <v>31</v>
      </c>
      <c r="R1710">
        <v>2017</v>
      </c>
      <c r="S1710" s="4">
        <f t="shared" si="106"/>
        <v>42947</v>
      </c>
      <c r="T1710" s="4">
        <f t="shared" si="104"/>
        <v>42947</v>
      </c>
      <c r="U1710" s="4">
        <v>42947</v>
      </c>
    </row>
    <row r="1711" spans="1:21" x14ac:dyDescent="0.3">
      <c r="A1711" t="s">
        <v>2300</v>
      </c>
      <c r="B1711" s="1" t="s">
        <v>170</v>
      </c>
      <c r="C1711" s="1" t="s">
        <v>171</v>
      </c>
      <c r="D1711" s="1" t="s">
        <v>13</v>
      </c>
      <c r="E1711" s="2">
        <v>42096</v>
      </c>
      <c r="F1711" s="2" t="b">
        <f t="shared" si="107"/>
        <v>1</v>
      </c>
      <c r="G1711" s="2">
        <f t="shared" si="105"/>
        <v>42096</v>
      </c>
      <c r="H1711" s="1" t="s">
        <v>25</v>
      </c>
      <c r="I1711" s="1" t="s">
        <v>172</v>
      </c>
      <c r="J1711" s="1">
        <v>700</v>
      </c>
      <c r="K1711" s="1">
        <v>476</v>
      </c>
      <c r="L1711" s="3">
        <v>0.32</v>
      </c>
      <c r="N1711" t="s">
        <v>3763</v>
      </c>
      <c r="S1711" s="4" t="e">
        <f t="shared" si="106"/>
        <v>#NUM!</v>
      </c>
      <c r="T1711" s="4" t="str">
        <f t="shared" si="104"/>
        <v/>
      </c>
      <c r="U1711" s="4" t="s">
        <v>3763</v>
      </c>
    </row>
    <row r="1712" spans="1:21" x14ac:dyDescent="0.3">
      <c r="A1712" t="s">
        <v>2301</v>
      </c>
      <c r="B1712" s="1" t="s">
        <v>49</v>
      </c>
      <c r="C1712" s="1" t="s">
        <v>50</v>
      </c>
      <c r="D1712" s="1" t="s">
        <v>24</v>
      </c>
      <c r="E1712" s="2" t="s">
        <v>3642</v>
      </c>
      <c r="F1712" s="2" t="b">
        <f t="shared" si="107"/>
        <v>0</v>
      </c>
      <c r="G1712" s="2">
        <f t="shared" si="105"/>
        <v>42598</v>
      </c>
      <c r="H1712" s="1" t="s">
        <v>122</v>
      </c>
      <c r="I1712" s="1" t="s">
        <v>51</v>
      </c>
      <c r="J1712" s="1">
        <v>50</v>
      </c>
      <c r="K1712" s="1">
        <v>43</v>
      </c>
      <c r="L1712" s="3">
        <v>0.14000000000000001</v>
      </c>
      <c r="N1712" t="s">
        <v>3642</v>
      </c>
      <c r="P1712">
        <v>8</v>
      </c>
      <c r="Q1712">
        <v>16</v>
      </c>
      <c r="R1712">
        <v>2016</v>
      </c>
      <c r="S1712" s="4">
        <f t="shared" si="106"/>
        <v>42598</v>
      </c>
      <c r="T1712" s="4">
        <f t="shared" si="104"/>
        <v>42598</v>
      </c>
      <c r="U1712" s="4">
        <v>42598</v>
      </c>
    </row>
    <row r="1713" spans="1:21" x14ac:dyDescent="0.3">
      <c r="A1713" t="s">
        <v>2302</v>
      </c>
      <c r="B1713" s="1" t="s">
        <v>114</v>
      </c>
      <c r="C1713" s="1" t="s">
        <v>54</v>
      </c>
      <c r="D1713" s="1" t="s">
        <v>13</v>
      </c>
      <c r="E1713" s="2" t="s">
        <v>3643</v>
      </c>
      <c r="F1713" s="2" t="b">
        <f t="shared" si="107"/>
        <v>0</v>
      </c>
      <c r="G1713" s="2">
        <f t="shared" si="105"/>
        <v>43361</v>
      </c>
      <c r="H1713" s="1" t="s">
        <v>61</v>
      </c>
      <c r="I1713" s="1" t="s">
        <v>1221</v>
      </c>
      <c r="J1713" s="1">
        <v>1000</v>
      </c>
      <c r="K1713" s="1">
        <v>930</v>
      </c>
      <c r="L1713" s="3">
        <v>7.0000000000000007E-2</v>
      </c>
      <c r="N1713" t="s">
        <v>3643</v>
      </c>
      <c r="P1713">
        <v>9</v>
      </c>
      <c r="Q1713">
        <v>18</v>
      </c>
      <c r="R1713">
        <v>2018</v>
      </c>
      <c r="S1713" s="4">
        <f t="shared" si="106"/>
        <v>43361</v>
      </c>
      <c r="T1713" s="4">
        <f t="shared" si="104"/>
        <v>43361</v>
      </c>
      <c r="U1713" s="4">
        <v>43361</v>
      </c>
    </row>
    <row r="1714" spans="1:21" x14ac:dyDescent="0.3">
      <c r="A1714" t="s">
        <v>2303</v>
      </c>
      <c r="B1714" s="1" t="s">
        <v>49</v>
      </c>
      <c r="C1714" s="1" t="s">
        <v>50</v>
      </c>
      <c r="D1714" s="1" t="s">
        <v>24</v>
      </c>
      <c r="E1714" s="2" t="s">
        <v>3644</v>
      </c>
      <c r="F1714" s="2" t="b">
        <f t="shared" si="107"/>
        <v>0</v>
      </c>
      <c r="G1714" s="2">
        <f t="shared" si="105"/>
        <v>41930</v>
      </c>
      <c r="H1714" s="1" t="s">
        <v>36</v>
      </c>
      <c r="I1714" s="1" t="s">
        <v>68</v>
      </c>
      <c r="J1714" s="1">
        <v>50</v>
      </c>
      <c r="K1714" s="1">
        <v>43</v>
      </c>
      <c r="L1714" s="3">
        <v>0.14000000000000001</v>
      </c>
      <c r="N1714" t="s">
        <v>3644</v>
      </c>
      <c r="P1714">
        <v>10</v>
      </c>
      <c r="Q1714">
        <v>18</v>
      </c>
      <c r="R1714">
        <v>2014</v>
      </c>
      <c r="S1714" s="4">
        <f t="shared" si="106"/>
        <v>41930</v>
      </c>
      <c r="T1714" s="4">
        <f t="shared" si="104"/>
        <v>41930</v>
      </c>
      <c r="U1714" s="4">
        <v>41930</v>
      </c>
    </row>
    <row r="1715" spans="1:21" x14ac:dyDescent="0.3">
      <c r="A1715" t="s">
        <v>2304</v>
      </c>
      <c r="B1715" s="1" t="s">
        <v>187</v>
      </c>
      <c r="C1715" s="1" t="s">
        <v>188</v>
      </c>
      <c r="D1715" s="1" t="s">
        <v>13</v>
      </c>
      <c r="E1715" s="2">
        <v>42223</v>
      </c>
      <c r="F1715" s="2" t="b">
        <f t="shared" si="107"/>
        <v>1</v>
      </c>
      <c r="G1715" s="2">
        <f t="shared" si="105"/>
        <v>42223</v>
      </c>
      <c r="H1715" s="1" t="s">
        <v>36</v>
      </c>
      <c r="I1715" s="1" t="s">
        <v>741</v>
      </c>
      <c r="J1715" s="1">
        <v>50</v>
      </c>
      <c r="K1715" s="1">
        <v>34</v>
      </c>
      <c r="L1715" s="3">
        <v>0.32</v>
      </c>
      <c r="N1715" t="s">
        <v>3763</v>
      </c>
      <c r="S1715" s="4" t="e">
        <f t="shared" si="106"/>
        <v>#NUM!</v>
      </c>
      <c r="T1715" s="4" t="str">
        <f t="shared" si="104"/>
        <v/>
      </c>
      <c r="U1715" s="4" t="s">
        <v>3763</v>
      </c>
    </row>
    <row r="1716" spans="1:21" x14ac:dyDescent="0.3">
      <c r="A1716" t="s">
        <v>2305</v>
      </c>
      <c r="B1716" s="1" t="s">
        <v>154</v>
      </c>
      <c r="C1716" s="1" t="s">
        <v>108</v>
      </c>
      <c r="D1716" s="1" t="s">
        <v>19</v>
      </c>
      <c r="E1716" s="2">
        <v>41826</v>
      </c>
      <c r="F1716" s="2" t="b">
        <f t="shared" si="107"/>
        <v>1</v>
      </c>
      <c r="G1716" s="2">
        <f t="shared" si="105"/>
        <v>41826</v>
      </c>
      <c r="H1716" s="1" t="s">
        <v>36</v>
      </c>
      <c r="I1716" s="1" t="s">
        <v>490</v>
      </c>
      <c r="J1716" s="1">
        <v>50</v>
      </c>
      <c r="K1716" s="1">
        <v>46</v>
      </c>
      <c r="L1716" s="3">
        <v>0.08</v>
      </c>
      <c r="N1716" t="s">
        <v>3763</v>
      </c>
      <c r="S1716" s="4" t="e">
        <f t="shared" si="106"/>
        <v>#NUM!</v>
      </c>
      <c r="T1716" s="4" t="str">
        <f t="shared" si="104"/>
        <v/>
      </c>
      <c r="U1716" s="4" t="s">
        <v>3763</v>
      </c>
    </row>
    <row r="1717" spans="1:21" x14ac:dyDescent="0.3">
      <c r="A1717" t="s">
        <v>2306</v>
      </c>
      <c r="B1717" s="1" t="s">
        <v>22</v>
      </c>
      <c r="C1717" s="1" t="s">
        <v>23</v>
      </c>
      <c r="D1717" s="1" t="s">
        <v>24</v>
      </c>
      <c r="E1717" s="2" t="s">
        <v>3456</v>
      </c>
      <c r="F1717" s="2" t="b">
        <f t="shared" si="107"/>
        <v>0</v>
      </c>
      <c r="G1717" s="2">
        <f t="shared" si="105"/>
        <v>42137</v>
      </c>
      <c r="H1717" s="1" t="s">
        <v>46</v>
      </c>
      <c r="I1717" s="1" t="s">
        <v>26</v>
      </c>
      <c r="J1717" s="1">
        <v>500</v>
      </c>
      <c r="K1717" s="1">
        <v>355</v>
      </c>
      <c r="L1717" s="3">
        <v>0.28999999999999998</v>
      </c>
      <c r="N1717" t="s">
        <v>3456</v>
      </c>
      <c r="P1717">
        <v>5</v>
      </c>
      <c r="Q1717">
        <v>13</v>
      </c>
      <c r="R1717">
        <v>2015</v>
      </c>
      <c r="S1717" s="4">
        <f t="shared" si="106"/>
        <v>42137</v>
      </c>
      <c r="T1717" s="4">
        <f t="shared" si="104"/>
        <v>42137</v>
      </c>
      <c r="U1717" s="4">
        <v>42137</v>
      </c>
    </row>
    <row r="1718" spans="1:21" x14ac:dyDescent="0.3">
      <c r="A1718" t="s">
        <v>2307</v>
      </c>
      <c r="B1718" s="1" t="s">
        <v>28</v>
      </c>
      <c r="C1718" s="1" t="s">
        <v>29</v>
      </c>
      <c r="D1718" s="1" t="s">
        <v>13</v>
      </c>
      <c r="E1718" s="2">
        <v>42288</v>
      </c>
      <c r="F1718" s="2" t="b">
        <f t="shared" si="107"/>
        <v>1</v>
      </c>
      <c r="G1718" s="2">
        <f t="shared" si="105"/>
        <v>42288</v>
      </c>
      <c r="H1718" s="1" t="s">
        <v>36</v>
      </c>
      <c r="I1718" s="1" t="s">
        <v>445</v>
      </c>
      <c r="J1718" s="1">
        <v>50</v>
      </c>
      <c r="K1718" s="1">
        <v>40</v>
      </c>
      <c r="L1718" s="3">
        <v>0.2</v>
      </c>
      <c r="N1718" t="s">
        <v>3763</v>
      </c>
      <c r="S1718" s="4" t="e">
        <f t="shared" si="106"/>
        <v>#NUM!</v>
      </c>
      <c r="T1718" s="4" t="str">
        <f t="shared" si="104"/>
        <v/>
      </c>
      <c r="U1718" s="4" t="s">
        <v>3763</v>
      </c>
    </row>
    <row r="1719" spans="1:21" x14ac:dyDescent="0.3">
      <c r="A1719" t="s">
        <v>2308</v>
      </c>
      <c r="B1719" s="1" t="s">
        <v>59</v>
      </c>
      <c r="C1719" s="1" t="s">
        <v>60</v>
      </c>
      <c r="D1719" s="1" t="s">
        <v>13</v>
      </c>
      <c r="E1719" s="2" t="s">
        <v>2962</v>
      </c>
      <c r="F1719" s="2" t="b">
        <f t="shared" si="107"/>
        <v>0</v>
      </c>
      <c r="G1719" s="2">
        <f t="shared" si="105"/>
        <v>42485</v>
      </c>
      <c r="H1719" s="1" t="s">
        <v>46</v>
      </c>
      <c r="I1719" s="1" t="s">
        <v>62</v>
      </c>
      <c r="J1719" s="1">
        <v>500</v>
      </c>
      <c r="K1719" s="1">
        <v>450</v>
      </c>
      <c r="L1719" s="3">
        <v>0.1</v>
      </c>
      <c r="N1719" t="s">
        <v>2962</v>
      </c>
      <c r="P1719">
        <v>4</v>
      </c>
      <c r="Q1719">
        <v>25</v>
      </c>
      <c r="R1719">
        <v>2016</v>
      </c>
      <c r="S1719" s="4">
        <f t="shared" si="106"/>
        <v>42485</v>
      </c>
      <c r="T1719" s="4">
        <f t="shared" si="104"/>
        <v>42485</v>
      </c>
      <c r="U1719" s="4">
        <v>42485</v>
      </c>
    </row>
    <row r="1720" spans="1:21" x14ac:dyDescent="0.3">
      <c r="A1720" t="s">
        <v>2309</v>
      </c>
      <c r="B1720" s="1" t="s">
        <v>2243</v>
      </c>
      <c r="C1720" s="1" t="s">
        <v>108</v>
      </c>
      <c r="D1720" s="1" t="s">
        <v>19</v>
      </c>
      <c r="E1720" s="2" t="s">
        <v>3573</v>
      </c>
      <c r="F1720" s="2" t="b">
        <f t="shared" si="107"/>
        <v>0</v>
      </c>
      <c r="G1720" s="2">
        <f t="shared" si="105"/>
        <v>42879</v>
      </c>
      <c r="H1720" s="1" t="s">
        <v>122</v>
      </c>
      <c r="I1720" s="1" t="s">
        <v>2310</v>
      </c>
      <c r="J1720" s="1">
        <v>50</v>
      </c>
      <c r="K1720" s="1">
        <v>47</v>
      </c>
      <c r="L1720" s="3">
        <v>0.06</v>
      </c>
      <c r="N1720" t="s">
        <v>3573</v>
      </c>
      <c r="P1720">
        <v>5</v>
      </c>
      <c r="Q1720">
        <v>24</v>
      </c>
      <c r="R1720">
        <v>2017</v>
      </c>
      <c r="S1720" s="4">
        <f t="shared" si="106"/>
        <v>42879</v>
      </c>
      <c r="T1720" s="4">
        <f t="shared" si="104"/>
        <v>42879</v>
      </c>
      <c r="U1720" s="4">
        <v>42879</v>
      </c>
    </row>
    <row r="1721" spans="1:21" x14ac:dyDescent="0.3">
      <c r="A1721" t="s">
        <v>2311</v>
      </c>
      <c r="B1721" s="1" t="s">
        <v>85</v>
      </c>
      <c r="C1721" s="1" t="s">
        <v>86</v>
      </c>
      <c r="D1721" s="1" t="s">
        <v>13</v>
      </c>
      <c r="E1721" s="2" t="s">
        <v>3430</v>
      </c>
      <c r="F1721" s="2" t="b">
        <f t="shared" si="107"/>
        <v>0</v>
      </c>
      <c r="G1721" s="2">
        <f t="shared" si="105"/>
        <v>43272</v>
      </c>
      <c r="H1721" s="1" t="s">
        <v>55</v>
      </c>
      <c r="I1721" s="1" t="s">
        <v>340</v>
      </c>
      <c r="J1721" s="1">
        <v>800</v>
      </c>
      <c r="K1721" s="1">
        <v>456</v>
      </c>
      <c r="L1721" s="3">
        <v>0.43</v>
      </c>
      <c r="N1721" t="s">
        <v>3430</v>
      </c>
      <c r="P1721">
        <v>6</v>
      </c>
      <c r="Q1721">
        <v>21</v>
      </c>
      <c r="R1721">
        <v>2018</v>
      </c>
      <c r="S1721" s="4">
        <f t="shared" si="106"/>
        <v>43272</v>
      </c>
      <c r="T1721" s="4">
        <f t="shared" si="104"/>
        <v>43272</v>
      </c>
      <c r="U1721" s="4">
        <v>43272</v>
      </c>
    </row>
    <row r="1722" spans="1:21" x14ac:dyDescent="0.3">
      <c r="A1722" t="s">
        <v>2312</v>
      </c>
      <c r="B1722" s="1" t="s">
        <v>99</v>
      </c>
      <c r="C1722" s="1" t="s">
        <v>100</v>
      </c>
      <c r="D1722" s="1" t="s">
        <v>13</v>
      </c>
      <c r="E1722" s="2" t="s">
        <v>3387</v>
      </c>
      <c r="F1722" s="2" t="b">
        <f t="shared" si="107"/>
        <v>0</v>
      </c>
      <c r="G1722" s="2">
        <f t="shared" si="105"/>
        <v>42873</v>
      </c>
      <c r="H1722" s="1" t="s">
        <v>41</v>
      </c>
      <c r="I1722" s="1" t="s">
        <v>911</v>
      </c>
      <c r="J1722" s="1">
        <v>30</v>
      </c>
      <c r="K1722" s="1">
        <v>28</v>
      </c>
      <c r="L1722" s="3">
        <v>6.6699999999999995E-2</v>
      </c>
      <c r="N1722" t="s">
        <v>3387</v>
      </c>
      <c r="P1722">
        <v>5</v>
      </c>
      <c r="Q1722">
        <v>18</v>
      </c>
      <c r="R1722">
        <v>2017</v>
      </c>
      <c r="S1722" s="4">
        <f t="shared" si="106"/>
        <v>42873</v>
      </c>
      <c r="T1722" s="4">
        <f t="shared" si="104"/>
        <v>42873</v>
      </c>
      <c r="U1722" s="4">
        <v>42873</v>
      </c>
    </row>
    <row r="1723" spans="1:21" x14ac:dyDescent="0.3">
      <c r="A1723" t="s">
        <v>2313</v>
      </c>
      <c r="B1723" s="1" t="s">
        <v>157</v>
      </c>
      <c r="C1723" s="1" t="s">
        <v>108</v>
      </c>
      <c r="D1723" s="1" t="s">
        <v>19</v>
      </c>
      <c r="E1723" s="2" t="s">
        <v>3645</v>
      </c>
      <c r="F1723" s="2" t="b">
        <f t="shared" si="107"/>
        <v>0</v>
      </c>
      <c r="G1723" s="2">
        <f t="shared" si="105"/>
        <v>41722</v>
      </c>
      <c r="H1723" s="1" t="s">
        <v>41</v>
      </c>
      <c r="I1723" s="1" t="s">
        <v>571</v>
      </c>
      <c r="J1723" s="1">
        <v>30</v>
      </c>
      <c r="K1723" s="1">
        <v>26</v>
      </c>
      <c r="L1723" s="3">
        <v>0.1333</v>
      </c>
      <c r="N1723" t="s">
        <v>3645</v>
      </c>
      <c r="P1723">
        <v>3</v>
      </c>
      <c r="Q1723">
        <v>24</v>
      </c>
      <c r="R1723">
        <v>2014</v>
      </c>
      <c r="S1723" s="4">
        <f t="shared" si="106"/>
        <v>41722</v>
      </c>
      <c r="T1723" s="4">
        <f t="shared" si="104"/>
        <v>41722</v>
      </c>
      <c r="U1723" s="4">
        <v>41722</v>
      </c>
    </row>
    <row r="1724" spans="1:21" x14ac:dyDescent="0.3">
      <c r="A1724" t="s">
        <v>2314</v>
      </c>
      <c r="B1724" s="1" t="s">
        <v>241</v>
      </c>
      <c r="C1724" s="1" t="s">
        <v>242</v>
      </c>
      <c r="D1724" s="1" t="s">
        <v>13</v>
      </c>
      <c r="E1724" s="2">
        <v>41764</v>
      </c>
      <c r="F1724" s="2" t="b">
        <f t="shared" si="107"/>
        <v>1</v>
      </c>
      <c r="G1724" s="2">
        <f t="shared" si="105"/>
        <v>41764</v>
      </c>
      <c r="H1724" s="1" t="s">
        <v>14</v>
      </c>
      <c r="I1724" s="1" t="s">
        <v>626</v>
      </c>
      <c r="J1724" s="1">
        <v>80</v>
      </c>
      <c r="K1724" s="1">
        <v>56</v>
      </c>
      <c r="L1724" s="3">
        <v>0.3</v>
      </c>
      <c r="N1724" t="s">
        <v>3763</v>
      </c>
      <c r="S1724" s="4" t="e">
        <f t="shared" si="106"/>
        <v>#NUM!</v>
      </c>
      <c r="T1724" s="4" t="str">
        <f t="shared" si="104"/>
        <v/>
      </c>
      <c r="U1724" s="4" t="s">
        <v>3763</v>
      </c>
    </row>
    <row r="1725" spans="1:21" x14ac:dyDescent="0.3">
      <c r="A1725" t="s">
        <v>2315</v>
      </c>
      <c r="B1725" s="1" t="s">
        <v>53</v>
      </c>
      <c r="C1725" s="1" t="s">
        <v>54</v>
      </c>
      <c r="D1725" s="1" t="s">
        <v>13</v>
      </c>
      <c r="E1725" s="2">
        <v>43018</v>
      </c>
      <c r="F1725" s="2" t="b">
        <f t="shared" si="107"/>
        <v>1</v>
      </c>
      <c r="G1725" s="2">
        <f t="shared" si="105"/>
        <v>43018</v>
      </c>
      <c r="H1725" s="1" t="s">
        <v>72</v>
      </c>
      <c r="I1725" s="1" t="s">
        <v>56</v>
      </c>
      <c r="J1725" s="1">
        <v>500</v>
      </c>
      <c r="K1725" s="1">
        <v>490</v>
      </c>
      <c r="L1725" s="3">
        <v>0.02</v>
      </c>
      <c r="N1725" t="s">
        <v>3763</v>
      </c>
      <c r="S1725" s="4" t="e">
        <f t="shared" si="106"/>
        <v>#NUM!</v>
      </c>
      <c r="T1725" s="4" t="str">
        <f t="shared" si="104"/>
        <v/>
      </c>
      <c r="U1725" s="4" t="s">
        <v>3763</v>
      </c>
    </row>
    <row r="1726" spans="1:21" x14ac:dyDescent="0.3">
      <c r="A1726" t="s">
        <v>2316</v>
      </c>
      <c r="B1726" s="1" t="s">
        <v>154</v>
      </c>
      <c r="C1726" s="1" t="s">
        <v>108</v>
      </c>
      <c r="D1726" s="1" t="s">
        <v>19</v>
      </c>
      <c r="E1726" s="2" t="s">
        <v>3106</v>
      </c>
      <c r="F1726" s="2" t="b">
        <f t="shared" si="107"/>
        <v>0</v>
      </c>
      <c r="G1726" s="2">
        <f t="shared" si="105"/>
        <v>43359</v>
      </c>
      <c r="H1726" s="1" t="s">
        <v>72</v>
      </c>
      <c r="I1726" s="1" t="s">
        <v>1411</v>
      </c>
      <c r="J1726" s="1">
        <v>500</v>
      </c>
      <c r="K1726" s="1">
        <v>490</v>
      </c>
      <c r="L1726" s="3">
        <v>0.02</v>
      </c>
      <c r="N1726" t="s">
        <v>3106</v>
      </c>
      <c r="P1726">
        <v>9</v>
      </c>
      <c r="Q1726">
        <v>16</v>
      </c>
      <c r="R1726">
        <v>2018</v>
      </c>
      <c r="S1726" s="4">
        <f t="shared" si="106"/>
        <v>43359</v>
      </c>
      <c r="T1726" s="4">
        <f t="shared" si="104"/>
        <v>43359</v>
      </c>
      <c r="U1726" s="4">
        <v>43359</v>
      </c>
    </row>
    <row r="1727" spans="1:21" x14ac:dyDescent="0.3">
      <c r="A1727" t="s">
        <v>2317</v>
      </c>
      <c r="B1727" s="1" t="s">
        <v>134</v>
      </c>
      <c r="C1727" s="1" t="s">
        <v>92</v>
      </c>
      <c r="D1727" s="1" t="s">
        <v>35</v>
      </c>
      <c r="E1727" s="2" t="s">
        <v>3392</v>
      </c>
      <c r="F1727" s="2" t="b">
        <f t="shared" si="107"/>
        <v>0</v>
      </c>
      <c r="G1727" s="2">
        <f t="shared" si="105"/>
        <v>42393</v>
      </c>
      <c r="H1727" s="1" t="s">
        <v>104</v>
      </c>
      <c r="I1727" s="1" t="s">
        <v>807</v>
      </c>
      <c r="J1727" s="1">
        <v>70</v>
      </c>
      <c r="K1727" s="1">
        <v>61</v>
      </c>
      <c r="L1727" s="3">
        <v>0.12859999999999999</v>
      </c>
      <c r="N1727" t="s">
        <v>3392</v>
      </c>
      <c r="P1727">
        <v>1</v>
      </c>
      <c r="Q1727">
        <v>24</v>
      </c>
      <c r="R1727">
        <v>2016</v>
      </c>
      <c r="S1727" s="4">
        <f t="shared" si="106"/>
        <v>42393</v>
      </c>
      <c r="T1727" s="4">
        <f t="shared" si="104"/>
        <v>42393</v>
      </c>
      <c r="U1727" s="4">
        <v>42393</v>
      </c>
    </row>
    <row r="1728" spans="1:21" x14ac:dyDescent="0.3">
      <c r="A1728" t="s">
        <v>2318</v>
      </c>
      <c r="B1728" s="1" t="s">
        <v>2170</v>
      </c>
      <c r="C1728" s="1" t="s">
        <v>18</v>
      </c>
      <c r="D1728" s="1" t="s">
        <v>19</v>
      </c>
      <c r="E1728" s="2">
        <v>42013</v>
      </c>
      <c r="F1728" s="2" t="b">
        <f t="shared" si="107"/>
        <v>1</v>
      </c>
      <c r="G1728" s="2">
        <f t="shared" si="105"/>
        <v>42013</v>
      </c>
      <c r="H1728" s="1" t="s">
        <v>115</v>
      </c>
      <c r="I1728" s="1" t="s">
        <v>2238</v>
      </c>
      <c r="J1728" s="1">
        <v>250</v>
      </c>
      <c r="K1728" s="1">
        <v>220</v>
      </c>
      <c r="L1728" s="3">
        <v>0.12</v>
      </c>
      <c r="N1728" t="s">
        <v>3763</v>
      </c>
      <c r="S1728" s="4" t="e">
        <f t="shared" si="106"/>
        <v>#NUM!</v>
      </c>
      <c r="T1728" s="4" t="str">
        <f t="shared" si="104"/>
        <v/>
      </c>
      <c r="U1728" s="4" t="s">
        <v>3763</v>
      </c>
    </row>
    <row r="1729" spans="1:21" x14ac:dyDescent="0.3">
      <c r="A1729" t="s">
        <v>2319</v>
      </c>
      <c r="B1729" s="1" t="s">
        <v>434</v>
      </c>
      <c r="C1729" s="1" t="s">
        <v>435</v>
      </c>
      <c r="D1729" s="1" t="s">
        <v>24</v>
      </c>
      <c r="E1729" s="2" t="s">
        <v>3503</v>
      </c>
      <c r="F1729" s="2" t="b">
        <f t="shared" si="107"/>
        <v>0</v>
      </c>
      <c r="G1729" s="2">
        <f t="shared" si="105"/>
        <v>42428</v>
      </c>
      <c r="H1729" s="1" t="s">
        <v>104</v>
      </c>
      <c r="I1729" s="1" t="s">
        <v>858</v>
      </c>
      <c r="J1729" s="1">
        <v>70</v>
      </c>
      <c r="K1729" s="1">
        <v>67</v>
      </c>
      <c r="L1729" s="3">
        <v>4.2900000000000001E-2</v>
      </c>
      <c r="N1729" t="s">
        <v>3503</v>
      </c>
      <c r="P1729">
        <v>2</v>
      </c>
      <c r="Q1729">
        <v>28</v>
      </c>
      <c r="R1729">
        <v>2016</v>
      </c>
      <c r="S1729" s="4">
        <f t="shared" si="106"/>
        <v>42428</v>
      </c>
      <c r="T1729" s="4">
        <f t="shared" si="104"/>
        <v>42428</v>
      </c>
      <c r="U1729" s="4">
        <v>42428</v>
      </c>
    </row>
    <row r="1730" spans="1:21" x14ac:dyDescent="0.3">
      <c r="A1730" t="s">
        <v>2320</v>
      </c>
      <c r="B1730" s="1" t="s">
        <v>157</v>
      </c>
      <c r="C1730" s="1" t="s">
        <v>108</v>
      </c>
      <c r="D1730" s="1" t="s">
        <v>19</v>
      </c>
      <c r="E1730" s="2">
        <v>42861</v>
      </c>
      <c r="F1730" s="2" t="b">
        <f t="shared" si="107"/>
        <v>1</v>
      </c>
      <c r="G1730" s="2">
        <f t="shared" si="105"/>
        <v>42861</v>
      </c>
      <c r="H1730" s="1" t="s">
        <v>72</v>
      </c>
      <c r="I1730" s="1" t="s">
        <v>1870</v>
      </c>
      <c r="J1730" s="1">
        <v>500</v>
      </c>
      <c r="K1730" s="1">
        <v>495</v>
      </c>
      <c r="L1730" s="3">
        <v>0.01</v>
      </c>
      <c r="N1730" t="s">
        <v>3763</v>
      </c>
      <c r="S1730" s="4" t="e">
        <f t="shared" si="106"/>
        <v>#NUM!</v>
      </c>
      <c r="T1730" s="4" t="str">
        <f t="shared" si="104"/>
        <v/>
      </c>
      <c r="U1730" s="4" t="s">
        <v>3763</v>
      </c>
    </row>
    <row r="1731" spans="1:21" x14ac:dyDescent="0.3">
      <c r="A1731" t="s">
        <v>2321</v>
      </c>
      <c r="B1731" s="1" t="s">
        <v>39</v>
      </c>
      <c r="C1731" s="1" t="s">
        <v>40</v>
      </c>
      <c r="D1731" s="1" t="s">
        <v>35</v>
      </c>
      <c r="E1731" s="2">
        <v>41916</v>
      </c>
      <c r="F1731" s="2" t="b">
        <f t="shared" si="107"/>
        <v>1</v>
      </c>
      <c r="G1731" s="2">
        <f t="shared" si="105"/>
        <v>41916</v>
      </c>
      <c r="H1731" s="1" t="s">
        <v>46</v>
      </c>
      <c r="I1731" s="1" t="s">
        <v>1707</v>
      </c>
      <c r="J1731" s="1">
        <v>500</v>
      </c>
      <c r="K1731" s="1">
        <v>190</v>
      </c>
      <c r="L1731" s="3">
        <v>0.62</v>
      </c>
      <c r="N1731" t="s">
        <v>3763</v>
      </c>
      <c r="S1731" s="4" t="e">
        <f t="shared" si="106"/>
        <v>#NUM!</v>
      </c>
      <c r="T1731" s="4" t="str">
        <f t="shared" ref="T1731:T1794" si="108">IF(AND(P1731&lt;&gt;"",Q1731&lt;&gt;"",R1731&lt;&gt;""),IFERROR(DATE(R1731,P1731,Q1731),""),"")</f>
        <v/>
      </c>
      <c r="U1731" s="4" t="s">
        <v>3763</v>
      </c>
    </row>
    <row r="1732" spans="1:21" x14ac:dyDescent="0.3">
      <c r="A1732" t="s">
        <v>2322</v>
      </c>
      <c r="B1732" s="1" t="s">
        <v>70</v>
      </c>
      <c r="C1732" s="1" t="s">
        <v>71</v>
      </c>
      <c r="D1732" s="1" t="s">
        <v>35</v>
      </c>
      <c r="E1732" s="2">
        <v>42465</v>
      </c>
      <c r="F1732" s="2" t="b">
        <f t="shared" si="107"/>
        <v>1</v>
      </c>
      <c r="G1732" s="2">
        <f t="shared" ref="G1732:G1795" si="109">IF(F1732=TRUE,E1732,U1732)</f>
        <v>42465</v>
      </c>
      <c r="H1732" s="1" t="s">
        <v>25</v>
      </c>
      <c r="I1732" s="1" t="s">
        <v>1414</v>
      </c>
      <c r="J1732" s="1">
        <v>700</v>
      </c>
      <c r="K1732" s="1">
        <v>686</v>
      </c>
      <c r="L1732" s="3">
        <v>0.02</v>
      </c>
      <c r="N1732" t="s">
        <v>3763</v>
      </c>
      <c r="S1732" s="4" t="e">
        <f t="shared" ref="S1732:S1795" si="110">DATE(R1732,P1732,Q1732)</f>
        <v>#NUM!</v>
      </c>
      <c r="T1732" s="4" t="str">
        <f t="shared" si="108"/>
        <v/>
      </c>
      <c r="U1732" s="4" t="s">
        <v>3763</v>
      </c>
    </row>
    <row r="1733" spans="1:21" x14ac:dyDescent="0.3">
      <c r="A1733" t="s">
        <v>2323</v>
      </c>
      <c r="B1733" s="1" t="s">
        <v>53</v>
      </c>
      <c r="C1733" s="1" t="s">
        <v>54</v>
      </c>
      <c r="D1733" s="1" t="s">
        <v>13</v>
      </c>
      <c r="E1733" s="2">
        <v>42738</v>
      </c>
      <c r="F1733" s="2" t="b">
        <f t="shared" ref="F1733:F1796" si="111">ISNUMBER(E1733)</f>
        <v>1</v>
      </c>
      <c r="G1733" s="2">
        <f t="shared" si="109"/>
        <v>42738</v>
      </c>
      <c r="H1733" s="1" t="s">
        <v>115</v>
      </c>
      <c r="I1733" s="1" t="s">
        <v>404</v>
      </c>
      <c r="J1733" s="1">
        <v>250</v>
      </c>
      <c r="K1733" s="1">
        <v>240</v>
      </c>
      <c r="L1733" s="3">
        <v>0.04</v>
      </c>
      <c r="N1733" t="s">
        <v>3763</v>
      </c>
      <c r="S1733" s="4" t="e">
        <f t="shared" si="110"/>
        <v>#NUM!</v>
      </c>
      <c r="T1733" s="4" t="str">
        <f t="shared" si="108"/>
        <v/>
      </c>
      <c r="U1733" s="4" t="s">
        <v>3763</v>
      </c>
    </row>
    <row r="1734" spans="1:21" x14ac:dyDescent="0.3">
      <c r="A1734" t="s">
        <v>2324</v>
      </c>
      <c r="B1734" s="1" t="s">
        <v>224</v>
      </c>
      <c r="C1734" s="1" t="s">
        <v>50</v>
      </c>
      <c r="D1734" s="1" t="s">
        <v>24</v>
      </c>
      <c r="E1734" s="2" t="s">
        <v>3156</v>
      </c>
      <c r="F1734" s="2" t="b">
        <f t="shared" si="111"/>
        <v>0</v>
      </c>
      <c r="G1734" s="2">
        <f t="shared" si="109"/>
        <v>41964</v>
      </c>
      <c r="H1734" s="1" t="s">
        <v>61</v>
      </c>
      <c r="I1734" s="1" t="s">
        <v>1038</v>
      </c>
      <c r="J1734" s="1">
        <v>1000</v>
      </c>
      <c r="K1734" s="1">
        <v>600</v>
      </c>
      <c r="L1734" s="3">
        <v>0.4</v>
      </c>
      <c r="N1734" t="s">
        <v>3156</v>
      </c>
      <c r="P1734">
        <v>11</v>
      </c>
      <c r="Q1734">
        <v>21</v>
      </c>
      <c r="R1734">
        <v>2014</v>
      </c>
      <c r="S1734" s="4">
        <f t="shared" si="110"/>
        <v>41964</v>
      </c>
      <c r="T1734" s="4">
        <f t="shared" si="108"/>
        <v>41964</v>
      </c>
      <c r="U1734" s="4">
        <v>41964</v>
      </c>
    </row>
    <row r="1735" spans="1:21" x14ac:dyDescent="0.3">
      <c r="A1735" t="s">
        <v>2325</v>
      </c>
      <c r="B1735" s="1" t="s">
        <v>22</v>
      </c>
      <c r="C1735" s="1" t="s">
        <v>23</v>
      </c>
      <c r="D1735" s="1" t="s">
        <v>24</v>
      </c>
      <c r="E1735" s="2">
        <v>41643</v>
      </c>
      <c r="F1735" s="2" t="b">
        <f t="shared" si="111"/>
        <v>1</v>
      </c>
      <c r="G1735" s="2">
        <f t="shared" si="109"/>
        <v>41643</v>
      </c>
      <c r="H1735" s="1" t="s">
        <v>36</v>
      </c>
      <c r="I1735" s="1" t="s">
        <v>144</v>
      </c>
      <c r="J1735" s="1">
        <v>50</v>
      </c>
      <c r="K1735" s="1">
        <v>41</v>
      </c>
      <c r="L1735" s="3">
        <v>0.18</v>
      </c>
      <c r="N1735" t="s">
        <v>3763</v>
      </c>
      <c r="S1735" s="4" t="e">
        <f t="shared" si="110"/>
        <v>#NUM!</v>
      </c>
      <c r="T1735" s="4" t="str">
        <f t="shared" si="108"/>
        <v/>
      </c>
      <c r="U1735" s="4" t="s">
        <v>3763</v>
      </c>
    </row>
    <row r="1736" spans="1:21" x14ac:dyDescent="0.3">
      <c r="A1736" t="s">
        <v>2326</v>
      </c>
      <c r="B1736" s="1" t="s">
        <v>227</v>
      </c>
      <c r="C1736" s="1" t="s">
        <v>228</v>
      </c>
      <c r="D1736" s="1" t="s">
        <v>24</v>
      </c>
      <c r="E1736" s="2" t="s">
        <v>3618</v>
      </c>
      <c r="F1736" s="2" t="b">
        <f t="shared" si="111"/>
        <v>0</v>
      </c>
      <c r="G1736" s="2">
        <f t="shared" si="109"/>
        <v>42123</v>
      </c>
      <c r="H1736" s="1" t="s">
        <v>115</v>
      </c>
      <c r="I1736" s="1" t="s">
        <v>438</v>
      </c>
      <c r="J1736" s="1">
        <v>250</v>
      </c>
      <c r="K1736" s="1">
        <v>230</v>
      </c>
      <c r="L1736" s="3">
        <v>0.08</v>
      </c>
      <c r="N1736" t="s">
        <v>3618</v>
      </c>
      <c r="P1736">
        <v>4</v>
      </c>
      <c r="Q1736">
        <v>29</v>
      </c>
      <c r="R1736">
        <v>2015</v>
      </c>
      <c r="S1736" s="4">
        <f t="shared" si="110"/>
        <v>42123</v>
      </c>
      <c r="T1736" s="4">
        <f t="shared" si="108"/>
        <v>42123</v>
      </c>
      <c r="U1736" s="4">
        <v>42123</v>
      </c>
    </row>
    <row r="1737" spans="1:21" x14ac:dyDescent="0.3">
      <c r="A1737" t="s">
        <v>2327</v>
      </c>
      <c r="B1737" s="1" t="s">
        <v>111</v>
      </c>
      <c r="C1737" s="1" t="s">
        <v>82</v>
      </c>
      <c r="D1737" s="1" t="s">
        <v>13</v>
      </c>
      <c r="E1737" s="2" t="s">
        <v>3059</v>
      </c>
      <c r="F1737" s="2" t="b">
        <f t="shared" si="111"/>
        <v>0</v>
      </c>
      <c r="G1737" s="2">
        <f t="shared" si="109"/>
        <v>41696</v>
      </c>
      <c r="H1737" s="1" t="s">
        <v>46</v>
      </c>
      <c r="I1737" s="1" t="s">
        <v>610</v>
      </c>
      <c r="J1737" s="1">
        <v>500</v>
      </c>
      <c r="K1737" s="1">
        <v>380</v>
      </c>
      <c r="L1737" s="3">
        <v>0.24</v>
      </c>
      <c r="N1737" t="s">
        <v>3059</v>
      </c>
      <c r="P1737">
        <v>2</v>
      </c>
      <c r="Q1737">
        <v>26</v>
      </c>
      <c r="R1737">
        <v>2014</v>
      </c>
      <c r="S1737" s="4">
        <f t="shared" si="110"/>
        <v>41696</v>
      </c>
      <c r="T1737" s="4">
        <f t="shared" si="108"/>
        <v>41696</v>
      </c>
      <c r="U1737" s="4">
        <v>41696</v>
      </c>
    </row>
    <row r="1738" spans="1:21" x14ac:dyDescent="0.3">
      <c r="A1738" t="s">
        <v>2328</v>
      </c>
      <c r="B1738" s="1" t="s">
        <v>2243</v>
      </c>
      <c r="C1738" s="1" t="s">
        <v>108</v>
      </c>
      <c r="D1738" s="1" t="s">
        <v>19</v>
      </c>
      <c r="E1738" s="2" t="s">
        <v>3466</v>
      </c>
      <c r="F1738" s="2" t="b">
        <f t="shared" si="111"/>
        <v>0</v>
      </c>
      <c r="G1738" s="2">
        <f t="shared" si="109"/>
        <v>42667</v>
      </c>
      <c r="H1738" s="1" t="s">
        <v>122</v>
      </c>
      <c r="I1738" s="1" t="s">
        <v>2329</v>
      </c>
      <c r="J1738" s="1">
        <v>50</v>
      </c>
      <c r="K1738" s="1">
        <v>49</v>
      </c>
      <c r="L1738" s="3">
        <v>0.02</v>
      </c>
      <c r="N1738" t="s">
        <v>3466</v>
      </c>
      <c r="P1738">
        <v>10</v>
      </c>
      <c r="Q1738">
        <v>24</v>
      </c>
      <c r="R1738">
        <v>2016</v>
      </c>
      <c r="S1738" s="4">
        <f t="shared" si="110"/>
        <v>42667</v>
      </c>
      <c r="T1738" s="4">
        <f t="shared" si="108"/>
        <v>42667</v>
      </c>
      <c r="U1738" s="4">
        <v>42667</v>
      </c>
    </row>
    <row r="1739" spans="1:21" x14ac:dyDescent="0.3">
      <c r="A1739" t="s">
        <v>2330</v>
      </c>
      <c r="B1739" s="1" t="s">
        <v>103</v>
      </c>
      <c r="C1739" s="1" t="s">
        <v>71</v>
      </c>
      <c r="D1739" s="1" t="s">
        <v>35</v>
      </c>
      <c r="E1739" s="2" t="s">
        <v>3646</v>
      </c>
      <c r="F1739" s="2" t="b">
        <f t="shared" si="111"/>
        <v>0</v>
      </c>
      <c r="G1739" s="2">
        <f t="shared" si="109"/>
        <v>43370</v>
      </c>
      <c r="H1739" s="1" t="s">
        <v>41</v>
      </c>
      <c r="I1739" s="1" t="s">
        <v>603</v>
      </c>
      <c r="J1739" s="1">
        <v>30</v>
      </c>
      <c r="K1739" s="1">
        <v>26</v>
      </c>
      <c r="L1739" s="3">
        <v>0.1333</v>
      </c>
      <c r="N1739" t="s">
        <v>3646</v>
      </c>
      <c r="P1739">
        <v>9</v>
      </c>
      <c r="Q1739">
        <v>27</v>
      </c>
      <c r="R1739">
        <v>2018</v>
      </c>
      <c r="S1739" s="4">
        <f t="shared" si="110"/>
        <v>43370</v>
      </c>
      <c r="T1739" s="4">
        <f t="shared" si="108"/>
        <v>43370</v>
      </c>
      <c r="U1739" s="4">
        <v>43370</v>
      </c>
    </row>
    <row r="1740" spans="1:21" x14ac:dyDescent="0.3">
      <c r="A1740" t="s">
        <v>2331</v>
      </c>
      <c r="B1740" s="1" t="s">
        <v>154</v>
      </c>
      <c r="C1740" s="1" t="s">
        <v>108</v>
      </c>
      <c r="D1740" s="1" t="s">
        <v>19</v>
      </c>
      <c r="E1740" s="2">
        <v>42926</v>
      </c>
      <c r="F1740" s="2" t="b">
        <f t="shared" si="111"/>
        <v>1</v>
      </c>
      <c r="G1740" s="2">
        <f t="shared" si="109"/>
        <v>42926</v>
      </c>
      <c r="H1740" s="1" t="s">
        <v>30</v>
      </c>
      <c r="I1740" s="1" t="s">
        <v>1185</v>
      </c>
      <c r="J1740" s="1">
        <v>150</v>
      </c>
      <c r="K1740" s="1">
        <v>141</v>
      </c>
      <c r="L1740" s="3">
        <v>0.06</v>
      </c>
      <c r="N1740" t="s">
        <v>3763</v>
      </c>
      <c r="S1740" s="4" t="e">
        <f t="shared" si="110"/>
        <v>#NUM!</v>
      </c>
      <c r="T1740" s="4" t="str">
        <f t="shared" si="108"/>
        <v/>
      </c>
      <c r="U1740" s="4" t="s">
        <v>3763</v>
      </c>
    </row>
    <row r="1741" spans="1:21" x14ac:dyDescent="0.3">
      <c r="A1741" t="s">
        <v>2332</v>
      </c>
      <c r="B1741" s="1" t="s">
        <v>255</v>
      </c>
      <c r="C1741" s="1" t="s">
        <v>256</v>
      </c>
      <c r="D1741" s="1" t="s">
        <v>13</v>
      </c>
      <c r="E1741" s="2">
        <v>42805</v>
      </c>
      <c r="F1741" s="2" t="b">
        <f t="shared" si="111"/>
        <v>1</v>
      </c>
      <c r="G1741" s="2">
        <f t="shared" si="109"/>
        <v>42805</v>
      </c>
      <c r="H1741" s="1" t="s">
        <v>61</v>
      </c>
      <c r="I1741" s="1" t="s">
        <v>805</v>
      </c>
      <c r="J1741" s="1">
        <v>1000</v>
      </c>
      <c r="K1741" s="1">
        <v>960</v>
      </c>
      <c r="L1741" s="3">
        <v>0.04</v>
      </c>
      <c r="N1741" t="s">
        <v>3763</v>
      </c>
      <c r="S1741" s="4" t="e">
        <f t="shared" si="110"/>
        <v>#NUM!</v>
      </c>
      <c r="T1741" s="4" t="str">
        <f t="shared" si="108"/>
        <v/>
      </c>
      <c r="U1741" s="4" t="s">
        <v>3763</v>
      </c>
    </row>
    <row r="1742" spans="1:21" x14ac:dyDescent="0.3">
      <c r="A1742" t="s">
        <v>2333</v>
      </c>
      <c r="B1742" s="1" t="s">
        <v>77</v>
      </c>
      <c r="C1742" s="1" t="s">
        <v>78</v>
      </c>
      <c r="D1742" s="1" t="s">
        <v>35</v>
      </c>
      <c r="E1742" s="2">
        <v>42463</v>
      </c>
      <c r="F1742" s="2" t="b">
        <f t="shared" si="111"/>
        <v>1</v>
      </c>
      <c r="G1742" s="2">
        <f t="shared" si="109"/>
        <v>42463</v>
      </c>
      <c r="H1742" s="1" t="s">
        <v>122</v>
      </c>
      <c r="I1742" s="1" t="s">
        <v>2334</v>
      </c>
      <c r="J1742" s="1">
        <v>50</v>
      </c>
      <c r="K1742" s="1">
        <v>48</v>
      </c>
      <c r="L1742" s="3">
        <v>0.04</v>
      </c>
      <c r="N1742" t="s">
        <v>3763</v>
      </c>
      <c r="S1742" s="4" t="e">
        <f t="shared" si="110"/>
        <v>#NUM!</v>
      </c>
      <c r="T1742" s="4" t="str">
        <f t="shared" si="108"/>
        <v/>
      </c>
      <c r="U1742" s="4" t="s">
        <v>3763</v>
      </c>
    </row>
    <row r="1743" spans="1:21" x14ac:dyDescent="0.3">
      <c r="A1743" t="s">
        <v>2335</v>
      </c>
      <c r="B1743" s="1" t="s">
        <v>221</v>
      </c>
      <c r="C1743" s="1" t="s">
        <v>40</v>
      </c>
      <c r="D1743" s="1" t="s">
        <v>35</v>
      </c>
      <c r="E1743" s="2">
        <v>41761</v>
      </c>
      <c r="F1743" s="2" t="b">
        <f t="shared" si="111"/>
        <v>1</v>
      </c>
      <c r="G1743" s="2">
        <f t="shared" si="109"/>
        <v>41761</v>
      </c>
      <c r="H1743" s="1" t="s">
        <v>41</v>
      </c>
      <c r="I1743" s="1" t="s">
        <v>2336</v>
      </c>
      <c r="J1743" s="1">
        <v>30</v>
      </c>
      <c r="K1743" s="1">
        <v>26</v>
      </c>
      <c r="L1743" s="3">
        <v>0.1333</v>
      </c>
      <c r="N1743" t="s">
        <v>3763</v>
      </c>
      <c r="S1743" s="4" t="e">
        <f t="shared" si="110"/>
        <v>#NUM!</v>
      </c>
      <c r="T1743" s="4" t="str">
        <f t="shared" si="108"/>
        <v/>
      </c>
      <c r="U1743" s="4" t="s">
        <v>3763</v>
      </c>
    </row>
    <row r="1744" spans="1:21" x14ac:dyDescent="0.3">
      <c r="A1744" t="s">
        <v>2337</v>
      </c>
      <c r="B1744" s="1" t="s">
        <v>107</v>
      </c>
      <c r="C1744" s="1" t="s">
        <v>108</v>
      </c>
      <c r="D1744" s="1" t="s">
        <v>19</v>
      </c>
      <c r="E1744" s="2">
        <v>42616</v>
      </c>
      <c r="F1744" s="2" t="b">
        <f t="shared" si="111"/>
        <v>1</v>
      </c>
      <c r="G1744" s="2">
        <f t="shared" si="109"/>
        <v>42616</v>
      </c>
      <c r="H1744" s="1" t="s">
        <v>30</v>
      </c>
      <c r="I1744" s="1" t="s">
        <v>354</v>
      </c>
      <c r="J1744" s="1">
        <v>150</v>
      </c>
      <c r="K1744" s="1">
        <v>128</v>
      </c>
      <c r="L1744" s="3">
        <v>0.1467</v>
      </c>
      <c r="N1744" t="s">
        <v>3763</v>
      </c>
      <c r="S1744" s="4" t="e">
        <f t="shared" si="110"/>
        <v>#NUM!</v>
      </c>
      <c r="T1744" s="4" t="str">
        <f t="shared" si="108"/>
        <v/>
      </c>
      <c r="U1744" s="4" t="s">
        <v>3763</v>
      </c>
    </row>
    <row r="1745" spans="1:21" x14ac:dyDescent="0.3">
      <c r="A1745" t="s">
        <v>2338</v>
      </c>
      <c r="B1745" s="1" t="s">
        <v>131</v>
      </c>
      <c r="C1745" s="1" t="s">
        <v>108</v>
      </c>
      <c r="D1745" s="1" t="s">
        <v>19</v>
      </c>
      <c r="E1745" s="2" t="s">
        <v>3011</v>
      </c>
      <c r="F1745" s="2" t="b">
        <f t="shared" si="111"/>
        <v>0</v>
      </c>
      <c r="G1745" s="2">
        <f t="shared" si="109"/>
        <v>42613</v>
      </c>
      <c r="H1745" s="1" t="s">
        <v>41</v>
      </c>
      <c r="I1745" s="1" t="s">
        <v>793</v>
      </c>
      <c r="J1745" s="1">
        <v>30</v>
      </c>
      <c r="K1745" s="1">
        <v>30</v>
      </c>
      <c r="L1745" s="3">
        <v>0</v>
      </c>
      <c r="N1745" t="s">
        <v>3011</v>
      </c>
      <c r="P1745">
        <v>8</v>
      </c>
      <c r="Q1745">
        <v>31</v>
      </c>
      <c r="R1745">
        <v>2016</v>
      </c>
      <c r="S1745" s="4">
        <f t="shared" si="110"/>
        <v>42613</v>
      </c>
      <c r="T1745" s="4">
        <f t="shared" si="108"/>
        <v>42613</v>
      </c>
      <c r="U1745" s="4">
        <v>42613</v>
      </c>
    </row>
    <row r="1746" spans="1:21" x14ac:dyDescent="0.3">
      <c r="A1746" t="s">
        <v>2339</v>
      </c>
      <c r="B1746" s="1" t="s">
        <v>28</v>
      </c>
      <c r="C1746" s="1" t="s">
        <v>29</v>
      </c>
      <c r="D1746" s="1" t="s">
        <v>13</v>
      </c>
      <c r="E1746" s="2" t="s">
        <v>3381</v>
      </c>
      <c r="F1746" s="2" t="b">
        <f t="shared" si="111"/>
        <v>0</v>
      </c>
      <c r="G1746" s="2">
        <f t="shared" si="109"/>
        <v>43115</v>
      </c>
      <c r="H1746" s="1" t="s">
        <v>122</v>
      </c>
      <c r="I1746" s="1" t="s">
        <v>249</v>
      </c>
      <c r="J1746" s="1">
        <v>50</v>
      </c>
      <c r="K1746" s="1">
        <v>45</v>
      </c>
      <c r="L1746" s="3">
        <v>0.1</v>
      </c>
      <c r="N1746" t="s">
        <v>3381</v>
      </c>
      <c r="P1746">
        <v>1</v>
      </c>
      <c r="Q1746">
        <v>15</v>
      </c>
      <c r="R1746">
        <v>2018</v>
      </c>
      <c r="S1746" s="4">
        <f t="shared" si="110"/>
        <v>43115</v>
      </c>
      <c r="T1746" s="4">
        <f t="shared" si="108"/>
        <v>43115</v>
      </c>
      <c r="U1746" s="4">
        <v>43115</v>
      </c>
    </row>
    <row r="1747" spans="1:21" x14ac:dyDescent="0.3">
      <c r="A1747" t="s">
        <v>2340</v>
      </c>
      <c r="B1747" s="1" t="s">
        <v>70</v>
      </c>
      <c r="C1747" s="1" t="s">
        <v>71</v>
      </c>
      <c r="D1747" s="1" t="s">
        <v>35</v>
      </c>
      <c r="E1747" s="2" t="s">
        <v>3647</v>
      </c>
      <c r="F1747" s="2" t="b">
        <f t="shared" si="111"/>
        <v>0</v>
      </c>
      <c r="G1747" s="2">
        <f t="shared" si="109"/>
        <v>43239</v>
      </c>
      <c r="H1747" s="1" t="s">
        <v>46</v>
      </c>
      <c r="I1747" s="1" t="s">
        <v>670</v>
      </c>
      <c r="J1747" s="1">
        <v>500</v>
      </c>
      <c r="K1747" s="1">
        <v>445</v>
      </c>
      <c r="L1747" s="3">
        <v>0.11</v>
      </c>
      <c r="N1747" t="s">
        <v>3647</v>
      </c>
      <c r="P1747">
        <v>5</v>
      </c>
      <c r="Q1747">
        <v>19</v>
      </c>
      <c r="R1747">
        <v>2018</v>
      </c>
      <c r="S1747" s="4">
        <f t="shared" si="110"/>
        <v>43239</v>
      </c>
      <c r="T1747" s="4">
        <f t="shared" si="108"/>
        <v>43239</v>
      </c>
      <c r="U1747" s="4">
        <v>43239</v>
      </c>
    </row>
    <row r="1748" spans="1:21" x14ac:dyDescent="0.3">
      <c r="A1748" t="s">
        <v>2341</v>
      </c>
      <c r="B1748" s="1" t="s">
        <v>99</v>
      </c>
      <c r="C1748" s="1" t="s">
        <v>100</v>
      </c>
      <c r="D1748" s="1" t="s">
        <v>13</v>
      </c>
      <c r="E1748" s="2">
        <v>42736</v>
      </c>
      <c r="F1748" s="2" t="b">
        <f t="shared" si="111"/>
        <v>1</v>
      </c>
      <c r="G1748" s="2">
        <f t="shared" si="109"/>
        <v>42736</v>
      </c>
      <c r="H1748" s="1" t="s">
        <v>115</v>
      </c>
      <c r="I1748" s="1" t="s">
        <v>1825</v>
      </c>
      <c r="J1748" s="1">
        <v>250</v>
      </c>
      <c r="K1748" s="1">
        <v>228</v>
      </c>
      <c r="L1748" s="3">
        <v>8.7999999999999995E-2</v>
      </c>
      <c r="N1748" t="s">
        <v>3763</v>
      </c>
      <c r="S1748" s="4" t="e">
        <f t="shared" si="110"/>
        <v>#NUM!</v>
      </c>
      <c r="T1748" s="4" t="str">
        <f t="shared" si="108"/>
        <v/>
      </c>
      <c r="U1748" s="4" t="s">
        <v>3763</v>
      </c>
    </row>
    <row r="1749" spans="1:21" x14ac:dyDescent="0.3">
      <c r="A1749" t="s">
        <v>2342</v>
      </c>
      <c r="B1749" s="1" t="s">
        <v>270</v>
      </c>
      <c r="C1749" s="1" t="s">
        <v>271</v>
      </c>
      <c r="D1749" s="1" t="s">
        <v>35</v>
      </c>
      <c r="E1749" s="2" t="s">
        <v>3577</v>
      </c>
      <c r="F1749" s="2" t="b">
        <f t="shared" si="111"/>
        <v>0</v>
      </c>
      <c r="G1749" s="2">
        <f t="shared" si="109"/>
        <v>42268</v>
      </c>
      <c r="H1749" s="1" t="s">
        <v>104</v>
      </c>
      <c r="I1749" s="1" t="s">
        <v>1827</v>
      </c>
      <c r="J1749" s="1">
        <v>70</v>
      </c>
      <c r="K1749" s="1">
        <v>47</v>
      </c>
      <c r="L1749" s="3">
        <v>0.3286</v>
      </c>
      <c r="N1749" t="s">
        <v>3577</v>
      </c>
      <c r="P1749">
        <v>9</v>
      </c>
      <c r="Q1749">
        <v>21</v>
      </c>
      <c r="R1749">
        <v>2015</v>
      </c>
      <c r="S1749" s="4">
        <f t="shared" si="110"/>
        <v>42268</v>
      </c>
      <c r="T1749" s="4">
        <f t="shared" si="108"/>
        <v>42268</v>
      </c>
      <c r="U1749" s="4">
        <v>42268</v>
      </c>
    </row>
    <row r="1750" spans="1:21" x14ac:dyDescent="0.3">
      <c r="A1750" t="s">
        <v>2343</v>
      </c>
      <c r="B1750" s="1" t="s">
        <v>270</v>
      </c>
      <c r="C1750" s="1" t="s">
        <v>271</v>
      </c>
      <c r="D1750" s="1" t="s">
        <v>35</v>
      </c>
      <c r="E1750" s="2" t="s">
        <v>3298</v>
      </c>
      <c r="F1750" s="2" t="b">
        <f t="shared" si="111"/>
        <v>0</v>
      </c>
      <c r="G1750" s="2">
        <f t="shared" si="109"/>
        <v>42022</v>
      </c>
      <c r="H1750" s="1" t="s">
        <v>122</v>
      </c>
      <c r="I1750" s="1" t="s">
        <v>1827</v>
      </c>
      <c r="J1750" s="1">
        <v>50</v>
      </c>
      <c r="K1750" s="1">
        <v>36</v>
      </c>
      <c r="L1750" s="3">
        <v>0.28000000000000003</v>
      </c>
      <c r="N1750" t="s">
        <v>3298</v>
      </c>
      <c r="P1750">
        <v>1</v>
      </c>
      <c r="Q1750">
        <v>18</v>
      </c>
      <c r="R1750">
        <v>2015</v>
      </c>
      <c r="S1750" s="4">
        <f t="shared" si="110"/>
        <v>42022</v>
      </c>
      <c r="T1750" s="4">
        <f t="shared" si="108"/>
        <v>42022</v>
      </c>
      <c r="U1750" s="4">
        <v>42022</v>
      </c>
    </row>
    <row r="1751" spans="1:21" x14ac:dyDescent="0.3">
      <c r="A1751" t="s">
        <v>2344</v>
      </c>
      <c r="B1751" s="1" t="s">
        <v>241</v>
      </c>
      <c r="C1751" s="1" t="s">
        <v>242</v>
      </c>
      <c r="D1751" s="1" t="s">
        <v>13</v>
      </c>
      <c r="E1751" s="2">
        <v>42376</v>
      </c>
      <c r="F1751" s="2" t="b">
        <f t="shared" si="111"/>
        <v>1</v>
      </c>
      <c r="G1751" s="2">
        <f t="shared" si="109"/>
        <v>42376</v>
      </c>
      <c r="H1751" s="1" t="s">
        <v>72</v>
      </c>
      <c r="I1751" s="1" t="s">
        <v>331</v>
      </c>
      <c r="J1751" s="1">
        <v>500</v>
      </c>
      <c r="K1751" s="1">
        <v>500</v>
      </c>
      <c r="L1751" s="3">
        <v>0</v>
      </c>
      <c r="N1751" t="s">
        <v>3763</v>
      </c>
      <c r="S1751" s="4" t="e">
        <f t="shared" si="110"/>
        <v>#NUM!</v>
      </c>
      <c r="T1751" s="4" t="str">
        <f t="shared" si="108"/>
        <v/>
      </c>
      <c r="U1751" s="4" t="s">
        <v>3763</v>
      </c>
    </row>
    <row r="1752" spans="1:21" x14ac:dyDescent="0.3">
      <c r="A1752" t="s">
        <v>2345</v>
      </c>
      <c r="B1752" s="1" t="s">
        <v>70</v>
      </c>
      <c r="C1752" s="1" t="s">
        <v>71</v>
      </c>
      <c r="D1752" s="1" t="s">
        <v>35</v>
      </c>
      <c r="E1752" s="2" t="s">
        <v>3648</v>
      </c>
      <c r="F1752" s="2" t="b">
        <f t="shared" si="111"/>
        <v>0</v>
      </c>
      <c r="G1752" s="2">
        <f t="shared" si="109"/>
        <v>42507</v>
      </c>
      <c r="H1752" s="1" t="s">
        <v>104</v>
      </c>
      <c r="I1752" s="1" t="s">
        <v>1810</v>
      </c>
      <c r="J1752" s="1">
        <v>70</v>
      </c>
      <c r="K1752" s="1">
        <v>68</v>
      </c>
      <c r="L1752" s="3">
        <v>2.86E-2</v>
      </c>
      <c r="N1752" t="s">
        <v>3648</v>
      </c>
      <c r="P1752">
        <v>5</v>
      </c>
      <c r="Q1752">
        <v>17</v>
      </c>
      <c r="R1752">
        <v>2016</v>
      </c>
      <c r="S1752" s="4">
        <f t="shared" si="110"/>
        <v>42507</v>
      </c>
      <c r="T1752" s="4">
        <f t="shared" si="108"/>
        <v>42507</v>
      </c>
      <c r="U1752" s="4">
        <v>42507</v>
      </c>
    </row>
    <row r="1753" spans="1:21" x14ac:dyDescent="0.3">
      <c r="A1753" t="s">
        <v>2346</v>
      </c>
      <c r="B1753" s="1" t="s">
        <v>264</v>
      </c>
      <c r="C1753" s="1" t="s">
        <v>265</v>
      </c>
      <c r="D1753" s="1" t="s">
        <v>13</v>
      </c>
      <c r="E1753" s="2" t="s">
        <v>3021</v>
      </c>
      <c r="F1753" s="2" t="b">
        <f t="shared" si="111"/>
        <v>0</v>
      </c>
      <c r="G1753" s="2">
        <f t="shared" si="109"/>
        <v>42050</v>
      </c>
      <c r="H1753" s="1" t="s">
        <v>25</v>
      </c>
      <c r="I1753" s="1" t="s">
        <v>308</v>
      </c>
      <c r="J1753" s="1">
        <v>700</v>
      </c>
      <c r="K1753" s="1">
        <v>567</v>
      </c>
      <c r="L1753" s="3">
        <v>0.19</v>
      </c>
      <c r="N1753" t="s">
        <v>3021</v>
      </c>
      <c r="P1753">
        <v>2</v>
      </c>
      <c r="Q1753">
        <v>15</v>
      </c>
      <c r="R1753">
        <v>2015</v>
      </c>
      <c r="S1753" s="4">
        <f t="shared" si="110"/>
        <v>42050</v>
      </c>
      <c r="T1753" s="4">
        <f t="shared" si="108"/>
        <v>42050</v>
      </c>
      <c r="U1753" s="4">
        <v>42050</v>
      </c>
    </row>
    <row r="1754" spans="1:21" x14ac:dyDescent="0.3">
      <c r="A1754" t="s">
        <v>2347</v>
      </c>
      <c r="B1754" s="1" t="s">
        <v>154</v>
      </c>
      <c r="C1754" s="1" t="s">
        <v>108</v>
      </c>
      <c r="D1754" s="1" t="s">
        <v>19</v>
      </c>
      <c r="E1754" s="2" t="s">
        <v>3250</v>
      </c>
      <c r="F1754" s="2" t="b">
        <f t="shared" si="111"/>
        <v>0</v>
      </c>
      <c r="G1754" s="2">
        <f t="shared" si="109"/>
        <v>42757</v>
      </c>
      <c r="H1754" s="1" t="s">
        <v>41</v>
      </c>
      <c r="I1754" s="1" t="s">
        <v>1411</v>
      </c>
      <c r="J1754" s="1">
        <v>30</v>
      </c>
      <c r="K1754" s="1">
        <v>29</v>
      </c>
      <c r="L1754" s="3">
        <v>3.3300000000000003E-2</v>
      </c>
      <c r="N1754" t="s">
        <v>3250</v>
      </c>
      <c r="P1754">
        <v>1</v>
      </c>
      <c r="Q1754">
        <v>22</v>
      </c>
      <c r="R1754">
        <v>2017</v>
      </c>
      <c r="S1754" s="4">
        <f t="shared" si="110"/>
        <v>42757</v>
      </c>
      <c r="T1754" s="4">
        <f t="shared" si="108"/>
        <v>42757</v>
      </c>
      <c r="U1754" s="4">
        <v>42757</v>
      </c>
    </row>
    <row r="1755" spans="1:21" x14ac:dyDescent="0.3">
      <c r="A1755" t="s">
        <v>2348</v>
      </c>
      <c r="B1755" s="1" t="s">
        <v>22</v>
      </c>
      <c r="C1755" s="1" t="s">
        <v>23</v>
      </c>
      <c r="D1755" s="1" t="s">
        <v>24</v>
      </c>
      <c r="E1755" s="2">
        <v>42349</v>
      </c>
      <c r="F1755" s="2" t="b">
        <f t="shared" si="111"/>
        <v>1</v>
      </c>
      <c r="G1755" s="2">
        <f t="shared" si="109"/>
        <v>42349</v>
      </c>
      <c r="H1755" s="1" t="s">
        <v>14</v>
      </c>
      <c r="I1755" s="1" t="s">
        <v>144</v>
      </c>
      <c r="J1755" s="1">
        <v>80</v>
      </c>
      <c r="K1755" s="1">
        <v>52</v>
      </c>
      <c r="L1755" s="3">
        <v>0.35</v>
      </c>
      <c r="N1755" t="s">
        <v>3763</v>
      </c>
      <c r="S1755" s="4" t="e">
        <f t="shared" si="110"/>
        <v>#NUM!</v>
      </c>
      <c r="T1755" s="4" t="str">
        <f t="shared" si="108"/>
        <v/>
      </c>
      <c r="U1755" s="4" t="s">
        <v>3763</v>
      </c>
    </row>
    <row r="1756" spans="1:21" x14ac:dyDescent="0.3">
      <c r="A1756" t="s">
        <v>2349</v>
      </c>
      <c r="B1756" s="1" t="s">
        <v>434</v>
      </c>
      <c r="C1756" s="1" t="s">
        <v>435</v>
      </c>
      <c r="D1756" s="1" t="s">
        <v>24</v>
      </c>
      <c r="E1756" s="2" t="s">
        <v>3649</v>
      </c>
      <c r="F1756" s="2" t="b">
        <f t="shared" si="111"/>
        <v>0</v>
      </c>
      <c r="G1756" s="2">
        <f t="shared" si="109"/>
        <v>42513</v>
      </c>
      <c r="H1756" s="1" t="s">
        <v>46</v>
      </c>
      <c r="I1756" s="1" t="s">
        <v>436</v>
      </c>
      <c r="J1756" s="1">
        <v>500</v>
      </c>
      <c r="K1756" s="1">
        <v>440</v>
      </c>
      <c r="L1756" s="3">
        <v>0.12</v>
      </c>
      <c r="N1756" t="s">
        <v>3649</v>
      </c>
      <c r="P1756">
        <v>5</v>
      </c>
      <c r="Q1756">
        <v>23</v>
      </c>
      <c r="R1756">
        <v>2016</v>
      </c>
      <c r="S1756" s="4">
        <f t="shared" si="110"/>
        <v>42513</v>
      </c>
      <c r="T1756" s="4">
        <f t="shared" si="108"/>
        <v>42513</v>
      </c>
      <c r="U1756" s="4">
        <v>42513</v>
      </c>
    </row>
    <row r="1757" spans="1:21" x14ac:dyDescent="0.3">
      <c r="A1757" t="s">
        <v>2350</v>
      </c>
      <c r="B1757" s="1" t="s">
        <v>91</v>
      </c>
      <c r="C1757" s="1" t="s">
        <v>92</v>
      </c>
      <c r="D1757" s="1" t="s">
        <v>35</v>
      </c>
      <c r="E1757" s="2">
        <v>41827</v>
      </c>
      <c r="F1757" s="2" t="b">
        <f t="shared" si="111"/>
        <v>1</v>
      </c>
      <c r="G1757" s="2">
        <f t="shared" si="109"/>
        <v>41827</v>
      </c>
      <c r="H1757" s="1" t="s">
        <v>25</v>
      </c>
      <c r="I1757" s="1" t="s">
        <v>2351</v>
      </c>
      <c r="J1757" s="1">
        <v>700</v>
      </c>
      <c r="K1757" s="1">
        <v>147</v>
      </c>
      <c r="L1757" s="3">
        <v>0.79</v>
      </c>
      <c r="N1757" t="s">
        <v>3763</v>
      </c>
      <c r="S1757" s="4" t="e">
        <f t="shared" si="110"/>
        <v>#NUM!</v>
      </c>
      <c r="T1757" s="4" t="str">
        <f t="shared" si="108"/>
        <v/>
      </c>
      <c r="U1757" s="4" t="s">
        <v>3763</v>
      </c>
    </row>
    <row r="1758" spans="1:21" x14ac:dyDescent="0.3">
      <c r="A1758" t="s">
        <v>2352</v>
      </c>
      <c r="B1758" s="1" t="s">
        <v>17</v>
      </c>
      <c r="C1758" s="1" t="s">
        <v>18</v>
      </c>
      <c r="D1758" s="1" t="s">
        <v>19</v>
      </c>
      <c r="E1758" s="2" t="s">
        <v>3650</v>
      </c>
      <c r="F1758" s="2" t="b">
        <f t="shared" si="111"/>
        <v>0</v>
      </c>
      <c r="G1758" s="2">
        <f t="shared" si="109"/>
        <v>42094</v>
      </c>
      <c r="H1758" s="1" t="s">
        <v>46</v>
      </c>
      <c r="I1758" s="1" t="s">
        <v>913</v>
      </c>
      <c r="J1758" s="1">
        <v>500</v>
      </c>
      <c r="K1758" s="1">
        <v>400</v>
      </c>
      <c r="L1758" s="3">
        <v>0.2</v>
      </c>
      <c r="N1758" t="s">
        <v>3650</v>
      </c>
      <c r="P1758">
        <v>3</v>
      </c>
      <c r="Q1758">
        <v>31</v>
      </c>
      <c r="R1758">
        <v>2015</v>
      </c>
      <c r="S1758" s="4">
        <f t="shared" si="110"/>
        <v>42094</v>
      </c>
      <c r="T1758" s="4">
        <f t="shared" si="108"/>
        <v>42094</v>
      </c>
      <c r="U1758" s="4">
        <v>42094</v>
      </c>
    </row>
    <row r="1759" spans="1:21" x14ac:dyDescent="0.3">
      <c r="A1759" t="s">
        <v>2353</v>
      </c>
      <c r="B1759" s="1" t="s">
        <v>434</v>
      </c>
      <c r="C1759" s="1" t="s">
        <v>435</v>
      </c>
      <c r="D1759" s="1" t="s">
        <v>24</v>
      </c>
      <c r="E1759" s="2" t="s">
        <v>3350</v>
      </c>
      <c r="F1759" s="2" t="b">
        <f t="shared" si="111"/>
        <v>0</v>
      </c>
      <c r="G1759" s="2">
        <f t="shared" si="109"/>
        <v>42424</v>
      </c>
      <c r="H1759" s="1" t="s">
        <v>30</v>
      </c>
      <c r="I1759" s="1" t="s">
        <v>550</v>
      </c>
      <c r="J1759" s="1">
        <v>150</v>
      </c>
      <c r="K1759" s="1">
        <v>140</v>
      </c>
      <c r="L1759" s="3">
        <v>6.6699999999999995E-2</v>
      </c>
      <c r="N1759" t="s">
        <v>3350</v>
      </c>
      <c r="P1759">
        <v>2</v>
      </c>
      <c r="Q1759">
        <v>24</v>
      </c>
      <c r="R1759">
        <v>2016</v>
      </c>
      <c r="S1759" s="4">
        <f t="shared" si="110"/>
        <v>42424</v>
      </c>
      <c r="T1759" s="4">
        <f t="shared" si="108"/>
        <v>42424</v>
      </c>
      <c r="U1759" s="4">
        <v>42424</v>
      </c>
    </row>
    <row r="1760" spans="1:21" x14ac:dyDescent="0.3">
      <c r="A1760" t="s">
        <v>2354</v>
      </c>
      <c r="B1760" s="1" t="s">
        <v>434</v>
      </c>
      <c r="C1760" s="1" t="s">
        <v>435</v>
      </c>
      <c r="D1760" s="1" t="s">
        <v>24</v>
      </c>
      <c r="E1760" s="2">
        <v>42562</v>
      </c>
      <c r="F1760" s="2" t="b">
        <f t="shared" si="111"/>
        <v>1</v>
      </c>
      <c r="G1760" s="2">
        <f t="shared" si="109"/>
        <v>42562</v>
      </c>
      <c r="H1760" s="1" t="s">
        <v>46</v>
      </c>
      <c r="I1760" s="1" t="s">
        <v>828</v>
      </c>
      <c r="J1760" s="1">
        <v>500</v>
      </c>
      <c r="K1760" s="1">
        <v>450</v>
      </c>
      <c r="L1760" s="3">
        <v>0.1</v>
      </c>
      <c r="N1760" t="s">
        <v>3763</v>
      </c>
      <c r="S1760" s="4" t="e">
        <f t="shared" si="110"/>
        <v>#NUM!</v>
      </c>
      <c r="T1760" s="4" t="str">
        <f t="shared" si="108"/>
        <v/>
      </c>
      <c r="U1760" s="4" t="s">
        <v>3763</v>
      </c>
    </row>
    <row r="1761" spans="1:21" x14ac:dyDescent="0.3">
      <c r="A1761" t="s">
        <v>2355</v>
      </c>
      <c r="B1761" s="1" t="s">
        <v>224</v>
      </c>
      <c r="C1761" s="1" t="s">
        <v>50</v>
      </c>
      <c r="D1761" s="1" t="s">
        <v>24</v>
      </c>
      <c r="E1761" s="2">
        <v>42950</v>
      </c>
      <c r="F1761" s="2" t="b">
        <f t="shared" si="111"/>
        <v>1</v>
      </c>
      <c r="G1761" s="2">
        <f t="shared" si="109"/>
        <v>42950</v>
      </c>
      <c r="H1761" s="1" t="s">
        <v>25</v>
      </c>
      <c r="I1761" s="1" t="s">
        <v>1038</v>
      </c>
      <c r="J1761" s="1">
        <v>700</v>
      </c>
      <c r="K1761" s="1">
        <v>679</v>
      </c>
      <c r="L1761" s="3">
        <v>0.03</v>
      </c>
      <c r="N1761" t="s">
        <v>3763</v>
      </c>
      <c r="S1761" s="4" t="e">
        <f t="shared" si="110"/>
        <v>#NUM!</v>
      </c>
      <c r="T1761" s="4" t="str">
        <f t="shared" si="108"/>
        <v/>
      </c>
      <c r="U1761" s="4" t="s">
        <v>3763</v>
      </c>
    </row>
    <row r="1762" spans="1:21" x14ac:dyDescent="0.3">
      <c r="A1762" t="s">
        <v>2356</v>
      </c>
      <c r="B1762" s="1" t="s">
        <v>131</v>
      </c>
      <c r="C1762" s="1" t="s">
        <v>108</v>
      </c>
      <c r="D1762" s="1" t="s">
        <v>19</v>
      </c>
      <c r="E1762" s="2">
        <v>42896</v>
      </c>
      <c r="F1762" s="2" t="b">
        <f t="shared" si="111"/>
        <v>1</v>
      </c>
      <c r="G1762" s="2">
        <f t="shared" si="109"/>
        <v>42896</v>
      </c>
      <c r="H1762" s="1" t="s">
        <v>104</v>
      </c>
      <c r="I1762" s="1" t="s">
        <v>793</v>
      </c>
      <c r="J1762" s="1">
        <v>70</v>
      </c>
      <c r="K1762" s="1">
        <v>69</v>
      </c>
      <c r="L1762" s="3">
        <v>1.43E-2</v>
      </c>
      <c r="N1762" t="s">
        <v>3763</v>
      </c>
      <c r="S1762" s="4" t="e">
        <f t="shared" si="110"/>
        <v>#NUM!</v>
      </c>
      <c r="T1762" s="4" t="str">
        <f t="shared" si="108"/>
        <v/>
      </c>
      <c r="U1762" s="4" t="s">
        <v>3763</v>
      </c>
    </row>
    <row r="1763" spans="1:21" x14ac:dyDescent="0.3">
      <c r="A1763" t="s">
        <v>2357</v>
      </c>
      <c r="B1763" s="1" t="s">
        <v>33</v>
      </c>
      <c r="C1763" s="1" t="s">
        <v>34</v>
      </c>
      <c r="D1763" s="1" t="s">
        <v>35</v>
      </c>
      <c r="E1763" s="2">
        <v>42248</v>
      </c>
      <c r="F1763" s="2" t="b">
        <f t="shared" si="111"/>
        <v>1</v>
      </c>
      <c r="G1763" s="2">
        <f t="shared" si="109"/>
        <v>42248</v>
      </c>
      <c r="H1763" s="1" t="s">
        <v>72</v>
      </c>
      <c r="I1763" s="1" t="s">
        <v>160</v>
      </c>
      <c r="J1763" s="1">
        <v>500</v>
      </c>
      <c r="K1763" s="1">
        <v>495</v>
      </c>
      <c r="L1763" s="3">
        <v>0.01</v>
      </c>
      <c r="N1763" t="s">
        <v>3763</v>
      </c>
      <c r="S1763" s="4" t="e">
        <f t="shared" si="110"/>
        <v>#NUM!</v>
      </c>
      <c r="T1763" s="4" t="str">
        <f t="shared" si="108"/>
        <v/>
      </c>
      <c r="U1763" s="4" t="s">
        <v>3763</v>
      </c>
    </row>
    <row r="1764" spans="1:21" x14ac:dyDescent="0.3">
      <c r="A1764" t="s">
        <v>2358</v>
      </c>
      <c r="B1764" s="1" t="s">
        <v>99</v>
      </c>
      <c r="C1764" s="1" t="s">
        <v>100</v>
      </c>
      <c r="D1764" s="1" t="s">
        <v>13</v>
      </c>
      <c r="E1764" s="2" t="s">
        <v>3651</v>
      </c>
      <c r="F1764" s="2" t="b">
        <f t="shared" si="111"/>
        <v>0</v>
      </c>
      <c r="G1764" s="2">
        <f t="shared" si="109"/>
        <v>43155</v>
      </c>
      <c r="H1764" s="1" t="s">
        <v>46</v>
      </c>
      <c r="I1764" s="1" t="s">
        <v>1090</v>
      </c>
      <c r="J1764" s="1">
        <v>500</v>
      </c>
      <c r="K1764" s="1">
        <v>455</v>
      </c>
      <c r="L1764" s="3">
        <v>0.09</v>
      </c>
      <c r="N1764" t="s">
        <v>3651</v>
      </c>
      <c r="P1764">
        <v>2</v>
      </c>
      <c r="Q1764">
        <v>24</v>
      </c>
      <c r="R1764">
        <v>2018</v>
      </c>
      <c r="S1764" s="4">
        <f t="shared" si="110"/>
        <v>43155</v>
      </c>
      <c r="T1764" s="4">
        <f t="shared" si="108"/>
        <v>43155</v>
      </c>
      <c r="U1764" s="4">
        <v>43155</v>
      </c>
    </row>
    <row r="1765" spans="1:21" x14ac:dyDescent="0.3">
      <c r="A1765" t="s">
        <v>2359</v>
      </c>
      <c r="B1765" s="1" t="s">
        <v>17</v>
      </c>
      <c r="C1765" s="1" t="s">
        <v>18</v>
      </c>
      <c r="D1765" s="1" t="s">
        <v>19</v>
      </c>
      <c r="E1765" s="2" t="s">
        <v>3652</v>
      </c>
      <c r="F1765" s="2" t="b">
        <f t="shared" si="111"/>
        <v>0</v>
      </c>
      <c r="G1765" s="2">
        <f t="shared" si="109"/>
        <v>41987</v>
      </c>
      <c r="H1765" s="1" t="s">
        <v>104</v>
      </c>
      <c r="I1765" s="1" t="s">
        <v>178</v>
      </c>
      <c r="J1765" s="1">
        <v>70</v>
      </c>
      <c r="K1765" s="1">
        <v>56</v>
      </c>
      <c r="L1765" s="3">
        <v>0.2</v>
      </c>
      <c r="N1765" t="s">
        <v>3652</v>
      </c>
      <c r="P1765">
        <v>12</v>
      </c>
      <c r="Q1765">
        <v>14</v>
      </c>
      <c r="R1765">
        <v>2014</v>
      </c>
      <c r="S1765" s="4">
        <f t="shared" si="110"/>
        <v>41987</v>
      </c>
      <c r="T1765" s="4">
        <f t="shared" si="108"/>
        <v>41987</v>
      </c>
      <c r="U1765" s="4">
        <v>41987</v>
      </c>
    </row>
    <row r="1766" spans="1:21" x14ac:dyDescent="0.3">
      <c r="A1766" t="s">
        <v>2360</v>
      </c>
      <c r="B1766" s="1" t="s">
        <v>59</v>
      </c>
      <c r="C1766" s="1" t="s">
        <v>60</v>
      </c>
      <c r="D1766" s="1" t="s">
        <v>13</v>
      </c>
      <c r="E1766" s="2" t="s">
        <v>3437</v>
      </c>
      <c r="F1766" s="2" t="b">
        <f t="shared" si="111"/>
        <v>0</v>
      </c>
      <c r="G1766" s="2">
        <f t="shared" si="109"/>
        <v>42668</v>
      </c>
      <c r="H1766" s="1" t="s">
        <v>104</v>
      </c>
      <c r="I1766" s="1" t="s">
        <v>1014</v>
      </c>
      <c r="J1766" s="1">
        <v>70</v>
      </c>
      <c r="K1766" s="1">
        <v>62</v>
      </c>
      <c r="L1766" s="3">
        <v>0.1143</v>
      </c>
      <c r="N1766" t="s">
        <v>3437</v>
      </c>
      <c r="P1766">
        <v>10</v>
      </c>
      <c r="Q1766">
        <v>25</v>
      </c>
      <c r="R1766">
        <v>2016</v>
      </c>
      <c r="S1766" s="4">
        <f t="shared" si="110"/>
        <v>42668</v>
      </c>
      <c r="T1766" s="4">
        <f t="shared" si="108"/>
        <v>42668</v>
      </c>
      <c r="U1766" s="4">
        <v>42668</v>
      </c>
    </row>
    <row r="1767" spans="1:21" x14ac:dyDescent="0.3">
      <c r="A1767" t="s">
        <v>2361</v>
      </c>
      <c r="B1767" s="1" t="s">
        <v>157</v>
      </c>
      <c r="C1767" s="1" t="s">
        <v>108</v>
      </c>
      <c r="D1767" s="1" t="s">
        <v>19</v>
      </c>
      <c r="E1767" s="2" t="s">
        <v>3064</v>
      </c>
      <c r="F1767" s="2" t="b">
        <f t="shared" si="111"/>
        <v>0</v>
      </c>
      <c r="G1767" s="2">
        <f t="shared" si="109"/>
        <v>43116</v>
      </c>
      <c r="H1767" s="1" t="s">
        <v>30</v>
      </c>
      <c r="I1767" s="1" t="s">
        <v>1286</v>
      </c>
      <c r="J1767" s="1">
        <v>150</v>
      </c>
      <c r="K1767" s="1">
        <v>128</v>
      </c>
      <c r="L1767" s="3">
        <v>0.1467</v>
      </c>
      <c r="N1767" t="s">
        <v>3064</v>
      </c>
      <c r="P1767">
        <v>1</v>
      </c>
      <c r="Q1767">
        <v>16</v>
      </c>
      <c r="R1767">
        <v>2018</v>
      </c>
      <c r="S1767" s="4">
        <f t="shared" si="110"/>
        <v>43116</v>
      </c>
      <c r="T1767" s="4">
        <f t="shared" si="108"/>
        <v>43116</v>
      </c>
      <c r="U1767" s="4">
        <v>43116</v>
      </c>
    </row>
    <row r="1768" spans="1:21" x14ac:dyDescent="0.3">
      <c r="A1768" t="s">
        <v>2362</v>
      </c>
      <c r="B1768" s="1" t="s">
        <v>2170</v>
      </c>
      <c r="C1768" s="1" t="s">
        <v>18</v>
      </c>
      <c r="D1768" s="1" t="s">
        <v>19</v>
      </c>
      <c r="E1768" s="2">
        <v>43313</v>
      </c>
      <c r="F1768" s="2" t="b">
        <f t="shared" si="111"/>
        <v>1</v>
      </c>
      <c r="G1768" s="2">
        <f t="shared" si="109"/>
        <v>43313</v>
      </c>
      <c r="H1768" s="1" t="s">
        <v>30</v>
      </c>
      <c r="I1768" s="1" t="s">
        <v>2363</v>
      </c>
      <c r="J1768" s="1">
        <v>150</v>
      </c>
      <c r="K1768" s="1">
        <v>131</v>
      </c>
      <c r="L1768" s="3">
        <v>0.12670000000000001</v>
      </c>
      <c r="N1768" t="s">
        <v>3763</v>
      </c>
      <c r="S1768" s="4" t="e">
        <f t="shared" si="110"/>
        <v>#NUM!</v>
      </c>
      <c r="T1768" s="4" t="str">
        <f t="shared" si="108"/>
        <v/>
      </c>
      <c r="U1768" s="4" t="s">
        <v>3763</v>
      </c>
    </row>
    <row r="1769" spans="1:21" x14ac:dyDescent="0.3">
      <c r="A1769" t="s">
        <v>2364</v>
      </c>
      <c r="B1769" s="1" t="s">
        <v>182</v>
      </c>
      <c r="C1769" s="1" t="s">
        <v>108</v>
      </c>
      <c r="D1769" s="1" t="s">
        <v>19</v>
      </c>
      <c r="E1769" s="2">
        <v>43161</v>
      </c>
      <c r="F1769" s="2" t="b">
        <f t="shared" si="111"/>
        <v>1</v>
      </c>
      <c r="G1769" s="2">
        <f t="shared" si="109"/>
        <v>43161</v>
      </c>
      <c r="H1769" s="1" t="s">
        <v>41</v>
      </c>
      <c r="I1769" s="1" t="s">
        <v>2235</v>
      </c>
      <c r="J1769" s="1">
        <v>30</v>
      </c>
      <c r="K1769" s="1">
        <v>30</v>
      </c>
      <c r="L1769" s="3">
        <v>0</v>
      </c>
      <c r="N1769" t="s">
        <v>3763</v>
      </c>
      <c r="S1769" s="4" t="e">
        <f t="shared" si="110"/>
        <v>#NUM!</v>
      </c>
      <c r="T1769" s="4" t="str">
        <f t="shared" si="108"/>
        <v/>
      </c>
      <c r="U1769" s="4" t="s">
        <v>3763</v>
      </c>
    </row>
    <row r="1770" spans="1:21" x14ac:dyDescent="0.3">
      <c r="A1770" t="s">
        <v>2365</v>
      </c>
      <c r="B1770" s="1" t="s">
        <v>22</v>
      </c>
      <c r="C1770" s="1" t="s">
        <v>23</v>
      </c>
      <c r="D1770" s="1" t="s">
        <v>24</v>
      </c>
      <c r="E1770" s="2" t="s">
        <v>3237</v>
      </c>
      <c r="F1770" s="2" t="b">
        <f t="shared" si="111"/>
        <v>0</v>
      </c>
      <c r="G1770" s="2">
        <f t="shared" si="109"/>
        <v>42207</v>
      </c>
      <c r="H1770" s="1" t="s">
        <v>46</v>
      </c>
      <c r="I1770" s="1" t="s">
        <v>483</v>
      </c>
      <c r="J1770" s="1">
        <v>500</v>
      </c>
      <c r="K1770" s="1">
        <v>460</v>
      </c>
      <c r="L1770" s="3">
        <v>0.08</v>
      </c>
      <c r="N1770" t="s">
        <v>3237</v>
      </c>
      <c r="P1770">
        <v>7</v>
      </c>
      <c r="Q1770">
        <v>22</v>
      </c>
      <c r="R1770">
        <v>2015</v>
      </c>
      <c r="S1770" s="4">
        <f t="shared" si="110"/>
        <v>42207</v>
      </c>
      <c r="T1770" s="4">
        <f t="shared" si="108"/>
        <v>42207</v>
      </c>
      <c r="U1770" s="4">
        <v>42207</v>
      </c>
    </row>
    <row r="1771" spans="1:21" x14ac:dyDescent="0.3">
      <c r="A1771" t="s">
        <v>2366</v>
      </c>
      <c r="B1771" s="1" t="s">
        <v>270</v>
      </c>
      <c r="C1771" s="1" t="s">
        <v>271</v>
      </c>
      <c r="D1771" s="1" t="s">
        <v>35</v>
      </c>
      <c r="E1771" s="2" t="s">
        <v>3253</v>
      </c>
      <c r="F1771" s="2" t="b">
        <f t="shared" si="111"/>
        <v>0</v>
      </c>
      <c r="G1771" s="2">
        <f t="shared" si="109"/>
        <v>42115</v>
      </c>
      <c r="H1771" s="1" t="s">
        <v>30</v>
      </c>
      <c r="I1771" s="1" t="s">
        <v>713</v>
      </c>
      <c r="J1771" s="1">
        <v>150</v>
      </c>
      <c r="K1771" s="1">
        <v>120</v>
      </c>
      <c r="L1771" s="3">
        <v>0.2</v>
      </c>
      <c r="N1771" t="s">
        <v>3253</v>
      </c>
      <c r="P1771">
        <v>4</v>
      </c>
      <c r="Q1771">
        <v>21</v>
      </c>
      <c r="R1771">
        <v>2015</v>
      </c>
      <c r="S1771" s="4">
        <f t="shared" si="110"/>
        <v>42115</v>
      </c>
      <c r="T1771" s="4">
        <f t="shared" si="108"/>
        <v>42115</v>
      </c>
      <c r="U1771" s="4">
        <v>42115</v>
      </c>
    </row>
    <row r="1772" spans="1:21" x14ac:dyDescent="0.3">
      <c r="A1772" t="s">
        <v>2367</v>
      </c>
      <c r="B1772" s="1" t="s">
        <v>182</v>
      </c>
      <c r="C1772" s="1" t="s">
        <v>108</v>
      </c>
      <c r="D1772" s="1" t="s">
        <v>19</v>
      </c>
      <c r="E1772" s="2">
        <v>43382</v>
      </c>
      <c r="F1772" s="2" t="b">
        <f t="shared" si="111"/>
        <v>1</v>
      </c>
      <c r="G1772" s="2">
        <f t="shared" si="109"/>
        <v>43382</v>
      </c>
      <c r="H1772" s="1" t="s">
        <v>55</v>
      </c>
      <c r="I1772" s="1" t="s">
        <v>1432</v>
      </c>
      <c r="J1772" s="1">
        <v>800</v>
      </c>
      <c r="K1772" s="1">
        <v>544</v>
      </c>
      <c r="L1772" s="3">
        <v>0.32</v>
      </c>
      <c r="N1772" t="s">
        <v>3763</v>
      </c>
      <c r="S1772" s="4" t="e">
        <f t="shared" si="110"/>
        <v>#NUM!</v>
      </c>
      <c r="T1772" s="4" t="str">
        <f t="shared" si="108"/>
        <v/>
      </c>
      <c r="U1772" s="4" t="s">
        <v>3763</v>
      </c>
    </row>
    <row r="1773" spans="1:21" x14ac:dyDescent="0.3">
      <c r="A1773" t="s">
        <v>2368</v>
      </c>
      <c r="B1773" s="1" t="s">
        <v>241</v>
      </c>
      <c r="C1773" s="1" t="s">
        <v>242</v>
      </c>
      <c r="D1773" s="1" t="s">
        <v>13</v>
      </c>
      <c r="E1773" s="2">
        <v>42132</v>
      </c>
      <c r="F1773" s="2" t="b">
        <f t="shared" si="111"/>
        <v>1</v>
      </c>
      <c r="G1773" s="2">
        <f t="shared" si="109"/>
        <v>42132</v>
      </c>
      <c r="H1773" s="1" t="s">
        <v>30</v>
      </c>
      <c r="I1773" s="1" t="s">
        <v>1152</v>
      </c>
      <c r="J1773" s="1">
        <v>150</v>
      </c>
      <c r="K1773" s="1">
        <v>132</v>
      </c>
      <c r="L1773" s="3">
        <v>0.12</v>
      </c>
      <c r="N1773" t="s">
        <v>3763</v>
      </c>
      <c r="S1773" s="4" t="e">
        <f t="shared" si="110"/>
        <v>#NUM!</v>
      </c>
      <c r="T1773" s="4" t="str">
        <f t="shared" si="108"/>
        <v/>
      </c>
      <c r="U1773" s="4" t="s">
        <v>3763</v>
      </c>
    </row>
    <row r="1774" spans="1:21" x14ac:dyDescent="0.3">
      <c r="A1774" t="s">
        <v>2369</v>
      </c>
      <c r="B1774" s="1" t="s">
        <v>111</v>
      </c>
      <c r="C1774" s="1" t="s">
        <v>82</v>
      </c>
      <c r="D1774" s="1" t="s">
        <v>13</v>
      </c>
      <c r="E1774" s="2" t="s">
        <v>3629</v>
      </c>
      <c r="F1774" s="2" t="b">
        <f t="shared" si="111"/>
        <v>0</v>
      </c>
      <c r="G1774" s="2">
        <f t="shared" si="109"/>
        <v>42726</v>
      </c>
      <c r="H1774" s="1" t="s">
        <v>46</v>
      </c>
      <c r="I1774" s="1" t="s">
        <v>610</v>
      </c>
      <c r="J1774" s="1">
        <v>500</v>
      </c>
      <c r="K1774" s="1">
        <v>435</v>
      </c>
      <c r="L1774" s="3">
        <v>0.13</v>
      </c>
      <c r="N1774" t="s">
        <v>3629</v>
      </c>
      <c r="P1774">
        <v>12</v>
      </c>
      <c r="Q1774">
        <v>22</v>
      </c>
      <c r="R1774">
        <v>2016</v>
      </c>
      <c r="S1774" s="4">
        <f t="shared" si="110"/>
        <v>42726</v>
      </c>
      <c r="T1774" s="4">
        <f t="shared" si="108"/>
        <v>42726</v>
      </c>
      <c r="U1774" s="4">
        <v>42726</v>
      </c>
    </row>
    <row r="1775" spans="1:21" x14ac:dyDescent="0.3">
      <c r="A1775" t="s">
        <v>2370</v>
      </c>
      <c r="B1775" s="1" t="s">
        <v>2170</v>
      </c>
      <c r="C1775" s="1" t="s">
        <v>18</v>
      </c>
      <c r="D1775" s="1" t="s">
        <v>19</v>
      </c>
      <c r="E1775" s="2">
        <v>42136</v>
      </c>
      <c r="F1775" s="2" t="b">
        <f t="shared" si="111"/>
        <v>1</v>
      </c>
      <c r="G1775" s="2">
        <f t="shared" si="109"/>
        <v>42136</v>
      </c>
      <c r="H1775" s="1" t="s">
        <v>55</v>
      </c>
      <c r="I1775" s="1" t="s">
        <v>2371</v>
      </c>
      <c r="J1775" s="1">
        <v>800</v>
      </c>
      <c r="K1775" s="1">
        <v>448</v>
      </c>
      <c r="L1775" s="3">
        <v>0.44</v>
      </c>
      <c r="N1775" t="s">
        <v>3763</v>
      </c>
      <c r="S1775" s="4" t="e">
        <f t="shared" si="110"/>
        <v>#NUM!</v>
      </c>
      <c r="T1775" s="4" t="str">
        <f t="shared" si="108"/>
        <v/>
      </c>
      <c r="U1775" s="4" t="s">
        <v>3763</v>
      </c>
    </row>
    <row r="1776" spans="1:21" x14ac:dyDescent="0.3">
      <c r="A1776" t="s">
        <v>2372</v>
      </c>
      <c r="B1776" s="1" t="s">
        <v>131</v>
      </c>
      <c r="C1776" s="1" t="s">
        <v>108</v>
      </c>
      <c r="D1776" s="1" t="s">
        <v>19</v>
      </c>
      <c r="E1776" s="2" t="s">
        <v>3377</v>
      </c>
      <c r="F1776" s="2" t="b">
        <f t="shared" si="111"/>
        <v>0</v>
      </c>
      <c r="G1776" s="2">
        <f t="shared" si="109"/>
        <v>43300</v>
      </c>
      <c r="H1776" s="1" t="s">
        <v>72</v>
      </c>
      <c r="I1776" s="1" t="s">
        <v>382</v>
      </c>
      <c r="J1776" s="1">
        <v>500</v>
      </c>
      <c r="K1776" s="1">
        <v>500</v>
      </c>
      <c r="L1776" s="3">
        <v>0</v>
      </c>
      <c r="N1776" t="s">
        <v>3377</v>
      </c>
      <c r="P1776">
        <v>7</v>
      </c>
      <c r="Q1776">
        <v>19</v>
      </c>
      <c r="R1776">
        <v>2018</v>
      </c>
      <c r="S1776" s="4">
        <f t="shared" si="110"/>
        <v>43300</v>
      </c>
      <c r="T1776" s="4">
        <f t="shared" si="108"/>
        <v>43300</v>
      </c>
      <c r="U1776" s="4">
        <v>43300</v>
      </c>
    </row>
    <row r="1777" spans="1:21" x14ac:dyDescent="0.3">
      <c r="A1777" t="s">
        <v>2373</v>
      </c>
      <c r="B1777" s="1" t="s">
        <v>224</v>
      </c>
      <c r="C1777" s="1" t="s">
        <v>50</v>
      </c>
      <c r="D1777" s="1" t="s">
        <v>24</v>
      </c>
      <c r="E1777" s="2" t="s">
        <v>3113</v>
      </c>
      <c r="F1777" s="2" t="b">
        <f t="shared" si="111"/>
        <v>0</v>
      </c>
      <c r="G1777" s="2">
        <f t="shared" si="109"/>
        <v>42875</v>
      </c>
      <c r="H1777" s="1" t="s">
        <v>122</v>
      </c>
      <c r="I1777" s="1" t="s">
        <v>1239</v>
      </c>
      <c r="J1777" s="1">
        <v>50</v>
      </c>
      <c r="K1777" s="1">
        <v>47</v>
      </c>
      <c r="L1777" s="3">
        <v>0.06</v>
      </c>
      <c r="N1777" t="s">
        <v>3113</v>
      </c>
      <c r="P1777">
        <v>5</v>
      </c>
      <c r="Q1777">
        <v>20</v>
      </c>
      <c r="R1777">
        <v>2017</v>
      </c>
      <c r="S1777" s="4">
        <f t="shared" si="110"/>
        <v>42875</v>
      </c>
      <c r="T1777" s="4">
        <f t="shared" si="108"/>
        <v>42875</v>
      </c>
      <c r="U1777" s="4">
        <v>42875</v>
      </c>
    </row>
    <row r="1778" spans="1:21" x14ac:dyDescent="0.3">
      <c r="A1778" t="s">
        <v>2374</v>
      </c>
      <c r="B1778" s="1" t="s">
        <v>182</v>
      </c>
      <c r="C1778" s="1" t="s">
        <v>108</v>
      </c>
      <c r="D1778" s="1" t="s">
        <v>19</v>
      </c>
      <c r="E1778" s="2" t="s">
        <v>3653</v>
      </c>
      <c r="F1778" s="2" t="b">
        <f t="shared" si="111"/>
        <v>0</v>
      </c>
      <c r="G1778" s="2">
        <f t="shared" si="109"/>
        <v>42847</v>
      </c>
      <c r="H1778" s="1" t="s">
        <v>36</v>
      </c>
      <c r="I1778" s="1" t="s">
        <v>183</v>
      </c>
      <c r="J1778" s="1">
        <v>50</v>
      </c>
      <c r="K1778" s="1">
        <v>46</v>
      </c>
      <c r="L1778" s="3">
        <v>0.08</v>
      </c>
      <c r="N1778" t="s">
        <v>3653</v>
      </c>
      <c r="P1778">
        <v>4</v>
      </c>
      <c r="Q1778">
        <v>22</v>
      </c>
      <c r="R1778">
        <v>2017</v>
      </c>
      <c r="S1778" s="4">
        <f t="shared" si="110"/>
        <v>42847</v>
      </c>
      <c r="T1778" s="4">
        <f t="shared" si="108"/>
        <v>42847</v>
      </c>
      <c r="U1778" s="4">
        <v>42847</v>
      </c>
    </row>
    <row r="1779" spans="1:21" x14ac:dyDescent="0.3">
      <c r="A1779" t="s">
        <v>2375</v>
      </c>
      <c r="B1779" s="1" t="s">
        <v>49</v>
      </c>
      <c r="C1779" s="1" t="s">
        <v>50</v>
      </c>
      <c r="D1779" s="1" t="s">
        <v>24</v>
      </c>
      <c r="E1779" s="2" t="s">
        <v>3654</v>
      </c>
      <c r="F1779" s="2" t="b">
        <f t="shared" si="111"/>
        <v>0</v>
      </c>
      <c r="G1779" s="2">
        <f t="shared" si="109"/>
        <v>41869</v>
      </c>
      <c r="H1779" s="1" t="s">
        <v>30</v>
      </c>
      <c r="I1779" s="1" t="s">
        <v>1000</v>
      </c>
      <c r="J1779" s="1">
        <v>150</v>
      </c>
      <c r="K1779" s="1">
        <v>126</v>
      </c>
      <c r="L1779" s="3">
        <v>0.16</v>
      </c>
      <c r="N1779" t="s">
        <v>3654</v>
      </c>
      <c r="P1779">
        <v>8</v>
      </c>
      <c r="Q1779">
        <v>18</v>
      </c>
      <c r="R1779">
        <v>2014</v>
      </c>
      <c r="S1779" s="4">
        <f t="shared" si="110"/>
        <v>41869</v>
      </c>
      <c r="T1779" s="4">
        <f t="shared" si="108"/>
        <v>41869</v>
      </c>
      <c r="U1779" s="4">
        <v>41869</v>
      </c>
    </row>
    <row r="1780" spans="1:21" x14ac:dyDescent="0.3">
      <c r="A1780" t="s">
        <v>2376</v>
      </c>
      <c r="B1780" s="1" t="s">
        <v>174</v>
      </c>
      <c r="C1780" s="1" t="s">
        <v>175</v>
      </c>
      <c r="D1780" s="1" t="s">
        <v>13</v>
      </c>
      <c r="E1780" s="2">
        <v>41887</v>
      </c>
      <c r="F1780" s="2" t="b">
        <f t="shared" si="111"/>
        <v>1</v>
      </c>
      <c r="G1780" s="2">
        <f t="shared" si="109"/>
        <v>41887</v>
      </c>
      <c r="H1780" s="1" t="s">
        <v>41</v>
      </c>
      <c r="I1780" s="1" t="s">
        <v>788</v>
      </c>
      <c r="J1780" s="1">
        <v>30</v>
      </c>
      <c r="K1780" s="1">
        <v>23</v>
      </c>
      <c r="L1780" s="3">
        <v>0.23330000000000001</v>
      </c>
      <c r="N1780" t="s">
        <v>3763</v>
      </c>
      <c r="S1780" s="4" t="e">
        <f t="shared" si="110"/>
        <v>#NUM!</v>
      </c>
      <c r="T1780" s="4" t="str">
        <f t="shared" si="108"/>
        <v/>
      </c>
      <c r="U1780" s="4" t="s">
        <v>3763</v>
      </c>
    </row>
    <row r="1781" spans="1:21" x14ac:dyDescent="0.3">
      <c r="A1781" t="s">
        <v>2377</v>
      </c>
      <c r="B1781" s="1" t="s">
        <v>227</v>
      </c>
      <c r="C1781" s="1" t="s">
        <v>228</v>
      </c>
      <c r="D1781" s="1" t="s">
        <v>24</v>
      </c>
      <c r="E1781" s="2">
        <v>42223</v>
      </c>
      <c r="F1781" s="2" t="b">
        <f t="shared" si="111"/>
        <v>1</v>
      </c>
      <c r="G1781" s="2">
        <f t="shared" si="109"/>
        <v>42223</v>
      </c>
      <c r="H1781" s="1" t="s">
        <v>115</v>
      </c>
      <c r="I1781" s="1" t="s">
        <v>2378</v>
      </c>
      <c r="J1781" s="1">
        <v>250</v>
      </c>
      <c r="K1781" s="1">
        <v>230</v>
      </c>
      <c r="L1781" s="3">
        <v>0.08</v>
      </c>
      <c r="N1781" t="s">
        <v>3763</v>
      </c>
      <c r="S1781" s="4" t="e">
        <f t="shared" si="110"/>
        <v>#NUM!</v>
      </c>
      <c r="T1781" s="4" t="str">
        <f t="shared" si="108"/>
        <v/>
      </c>
      <c r="U1781" s="4" t="s">
        <v>3763</v>
      </c>
    </row>
    <row r="1782" spans="1:21" x14ac:dyDescent="0.3">
      <c r="A1782" t="s">
        <v>2379</v>
      </c>
      <c r="B1782" s="1" t="s">
        <v>241</v>
      </c>
      <c r="C1782" s="1" t="s">
        <v>242</v>
      </c>
      <c r="D1782" s="1" t="s">
        <v>13</v>
      </c>
      <c r="E1782" s="2" t="s">
        <v>3582</v>
      </c>
      <c r="F1782" s="2" t="b">
        <f t="shared" si="111"/>
        <v>0</v>
      </c>
      <c r="G1782" s="2">
        <f t="shared" si="109"/>
        <v>41747</v>
      </c>
      <c r="H1782" s="1" t="s">
        <v>41</v>
      </c>
      <c r="I1782" s="1" t="s">
        <v>331</v>
      </c>
      <c r="J1782" s="1">
        <v>30</v>
      </c>
      <c r="K1782" s="1">
        <v>29</v>
      </c>
      <c r="L1782" s="3">
        <v>3.3300000000000003E-2</v>
      </c>
      <c r="N1782" t="s">
        <v>3582</v>
      </c>
      <c r="P1782">
        <v>4</v>
      </c>
      <c r="Q1782">
        <v>18</v>
      </c>
      <c r="R1782">
        <v>2014</v>
      </c>
      <c r="S1782" s="4">
        <f t="shared" si="110"/>
        <v>41747</v>
      </c>
      <c r="T1782" s="4">
        <f t="shared" si="108"/>
        <v>41747</v>
      </c>
      <c r="U1782" s="4">
        <v>41747</v>
      </c>
    </row>
    <row r="1783" spans="1:21" x14ac:dyDescent="0.3">
      <c r="A1783" t="s">
        <v>2380</v>
      </c>
      <c r="B1783" s="1" t="s">
        <v>114</v>
      </c>
      <c r="C1783" s="1" t="s">
        <v>54</v>
      </c>
      <c r="D1783" s="1" t="s">
        <v>13</v>
      </c>
      <c r="E1783" s="2">
        <v>41741</v>
      </c>
      <c r="F1783" s="2" t="b">
        <f t="shared" si="111"/>
        <v>1</v>
      </c>
      <c r="G1783" s="2">
        <f t="shared" si="109"/>
        <v>41741</v>
      </c>
      <c r="H1783" s="1" t="s">
        <v>41</v>
      </c>
      <c r="I1783" s="1" t="s">
        <v>885</v>
      </c>
      <c r="J1783" s="1">
        <v>30</v>
      </c>
      <c r="K1783" s="1">
        <v>24</v>
      </c>
      <c r="L1783" s="3">
        <v>0.2</v>
      </c>
      <c r="N1783" t="s">
        <v>3763</v>
      </c>
      <c r="S1783" s="4" t="e">
        <f t="shared" si="110"/>
        <v>#NUM!</v>
      </c>
      <c r="T1783" s="4" t="str">
        <f t="shared" si="108"/>
        <v/>
      </c>
      <c r="U1783" s="4" t="s">
        <v>3763</v>
      </c>
    </row>
    <row r="1784" spans="1:21" x14ac:dyDescent="0.3">
      <c r="A1784" t="s">
        <v>2381</v>
      </c>
      <c r="B1784" s="1" t="s">
        <v>134</v>
      </c>
      <c r="C1784" s="1" t="s">
        <v>92</v>
      </c>
      <c r="D1784" s="1" t="s">
        <v>35</v>
      </c>
      <c r="E1784" s="2" t="s">
        <v>3367</v>
      </c>
      <c r="F1784" s="2" t="b">
        <f t="shared" si="111"/>
        <v>0</v>
      </c>
      <c r="G1784" s="2">
        <f t="shared" si="109"/>
        <v>43456</v>
      </c>
      <c r="H1784" s="1" t="s">
        <v>46</v>
      </c>
      <c r="I1784" s="1" t="s">
        <v>538</v>
      </c>
      <c r="J1784" s="1">
        <v>500</v>
      </c>
      <c r="K1784" s="1">
        <v>490</v>
      </c>
      <c r="L1784" s="3">
        <v>0.02</v>
      </c>
      <c r="N1784" t="s">
        <v>3367</v>
      </c>
      <c r="P1784">
        <v>12</v>
      </c>
      <c r="Q1784">
        <v>22</v>
      </c>
      <c r="R1784">
        <v>2018</v>
      </c>
      <c r="S1784" s="4">
        <f t="shared" si="110"/>
        <v>43456</v>
      </c>
      <c r="T1784" s="4">
        <f t="shared" si="108"/>
        <v>43456</v>
      </c>
      <c r="U1784" s="4">
        <v>43456</v>
      </c>
    </row>
    <row r="1785" spans="1:21" x14ac:dyDescent="0.3">
      <c r="A1785" t="s">
        <v>2382</v>
      </c>
      <c r="B1785" s="1" t="s">
        <v>400</v>
      </c>
      <c r="C1785" s="1" t="s">
        <v>401</v>
      </c>
      <c r="D1785" s="1" t="s">
        <v>13</v>
      </c>
      <c r="E1785" s="2">
        <v>43232</v>
      </c>
      <c r="F1785" s="2" t="b">
        <f t="shared" si="111"/>
        <v>1</v>
      </c>
      <c r="G1785" s="2">
        <f t="shared" si="109"/>
        <v>43232</v>
      </c>
      <c r="H1785" s="1" t="s">
        <v>36</v>
      </c>
      <c r="I1785" s="1" t="s">
        <v>711</v>
      </c>
      <c r="J1785" s="1">
        <v>50</v>
      </c>
      <c r="K1785" s="1">
        <v>47</v>
      </c>
      <c r="L1785" s="3">
        <v>0.06</v>
      </c>
      <c r="N1785" t="s">
        <v>3763</v>
      </c>
      <c r="S1785" s="4" t="e">
        <f t="shared" si="110"/>
        <v>#NUM!</v>
      </c>
      <c r="T1785" s="4" t="str">
        <f t="shared" si="108"/>
        <v/>
      </c>
      <c r="U1785" s="4" t="s">
        <v>3763</v>
      </c>
    </row>
    <row r="1786" spans="1:21" x14ac:dyDescent="0.3">
      <c r="A1786" t="s">
        <v>2383</v>
      </c>
      <c r="B1786" s="1" t="s">
        <v>70</v>
      </c>
      <c r="C1786" s="1" t="s">
        <v>71</v>
      </c>
      <c r="D1786" s="1" t="s">
        <v>35</v>
      </c>
      <c r="E1786" s="2">
        <v>43257</v>
      </c>
      <c r="F1786" s="2" t="b">
        <f t="shared" si="111"/>
        <v>1</v>
      </c>
      <c r="G1786" s="2">
        <f t="shared" si="109"/>
        <v>43257</v>
      </c>
      <c r="H1786" s="1" t="s">
        <v>61</v>
      </c>
      <c r="I1786" s="1" t="s">
        <v>1414</v>
      </c>
      <c r="J1786" s="1">
        <v>1000</v>
      </c>
      <c r="K1786" s="1">
        <v>740</v>
      </c>
      <c r="L1786" s="3">
        <v>0.26</v>
      </c>
      <c r="N1786" t="s">
        <v>3763</v>
      </c>
      <c r="S1786" s="4" t="e">
        <f t="shared" si="110"/>
        <v>#NUM!</v>
      </c>
      <c r="T1786" s="4" t="str">
        <f t="shared" si="108"/>
        <v/>
      </c>
      <c r="U1786" s="4" t="s">
        <v>3763</v>
      </c>
    </row>
    <row r="1787" spans="1:21" x14ac:dyDescent="0.3">
      <c r="A1787" t="s">
        <v>2384</v>
      </c>
      <c r="B1787" s="1" t="s">
        <v>107</v>
      </c>
      <c r="C1787" s="1" t="s">
        <v>108</v>
      </c>
      <c r="D1787" s="1" t="s">
        <v>19</v>
      </c>
      <c r="E1787" s="2" t="s">
        <v>3655</v>
      </c>
      <c r="F1787" s="2" t="b">
        <f t="shared" si="111"/>
        <v>0</v>
      </c>
      <c r="G1787" s="2">
        <f t="shared" si="109"/>
        <v>43387</v>
      </c>
      <c r="H1787" s="1" t="s">
        <v>122</v>
      </c>
      <c r="I1787" s="1" t="s">
        <v>109</v>
      </c>
      <c r="J1787" s="1">
        <v>50</v>
      </c>
      <c r="K1787" s="1">
        <v>45</v>
      </c>
      <c r="L1787" s="3">
        <v>0.1</v>
      </c>
      <c r="N1787" t="s">
        <v>3655</v>
      </c>
      <c r="P1787">
        <v>10</v>
      </c>
      <c r="Q1787">
        <v>14</v>
      </c>
      <c r="R1787">
        <v>2018</v>
      </c>
      <c r="S1787" s="4">
        <f t="shared" si="110"/>
        <v>43387</v>
      </c>
      <c r="T1787" s="4">
        <f t="shared" si="108"/>
        <v>43387</v>
      </c>
      <c r="U1787" s="4">
        <v>43387</v>
      </c>
    </row>
    <row r="1788" spans="1:21" x14ac:dyDescent="0.3">
      <c r="A1788" t="s">
        <v>2385</v>
      </c>
      <c r="B1788" s="1" t="s">
        <v>2243</v>
      </c>
      <c r="C1788" s="1" t="s">
        <v>108</v>
      </c>
      <c r="D1788" s="1" t="s">
        <v>19</v>
      </c>
      <c r="E1788" s="2" t="s">
        <v>3162</v>
      </c>
      <c r="F1788" s="2" t="b">
        <f t="shared" si="111"/>
        <v>0</v>
      </c>
      <c r="G1788" s="2">
        <f t="shared" si="109"/>
        <v>43233</v>
      </c>
      <c r="H1788" s="1" t="s">
        <v>25</v>
      </c>
      <c r="I1788" s="1" t="s">
        <v>2386</v>
      </c>
      <c r="J1788" s="1">
        <v>700</v>
      </c>
      <c r="K1788" s="1">
        <v>658</v>
      </c>
      <c r="L1788" s="3">
        <v>0.06</v>
      </c>
      <c r="N1788" t="s">
        <v>3162</v>
      </c>
      <c r="P1788">
        <v>5</v>
      </c>
      <c r="Q1788">
        <v>13</v>
      </c>
      <c r="R1788">
        <v>2018</v>
      </c>
      <c r="S1788" s="4">
        <f t="shared" si="110"/>
        <v>43233</v>
      </c>
      <c r="T1788" s="4">
        <f t="shared" si="108"/>
        <v>43233</v>
      </c>
      <c r="U1788" s="4">
        <v>43233</v>
      </c>
    </row>
    <row r="1789" spans="1:21" x14ac:dyDescent="0.3">
      <c r="A1789" t="s">
        <v>2387</v>
      </c>
      <c r="B1789" s="1" t="s">
        <v>157</v>
      </c>
      <c r="C1789" s="1" t="s">
        <v>108</v>
      </c>
      <c r="D1789" s="1" t="s">
        <v>19</v>
      </c>
      <c r="E1789" s="2">
        <v>41792</v>
      </c>
      <c r="F1789" s="2" t="b">
        <f t="shared" si="111"/>
        <v>1</v>
      </c>
      <c r="G1789" s="2">
        <f t="shared" si="109"/>
        <v>41792</v>
      </c>
      <c r="H1789" s="1" t="s">
        <v>41</v>
      </c>
      <c r="I1789" s="1" t="s">
        <v>158</v>
      </c>
      <c r="J1789" s="1">
        <v>30</v>
      </c>
      <c r="K1789" s="1">
        <v>26</v>
      </c>
      <c r="L1789" s="3">
        <v>0.1333</v>
      </c>
      <c r="N1789" t="s">
        <v>3763</v>
      </c>
      <c r="S1789" s="4" t="e">
        <f t="shared" si="110"/>
        <v>#NUM!</v>
      </c>
      <c r="T1789" s="4" t="str">
        <f t="shared" si="108"/>
        <v/>
      </c>
      <c r="U1789" s="4" t="s">
        <v>3763</v>
      </c>
    </row>
    <row r="1790" spans="1:21" x14ac:dyDescent="0.3">
      <c r="A1790" t="s">
        <v>2388</v>
      </c>
      <c r="B1790" s="1" t="s">
        <v>33</v>
      </c>
      <c r="C1790" s="1" t="s">
        <v>34</v>
      </c>
      <c r="D1790" s="1" t="s">
        <v>35</v>
      </c>
      <c r="E1790" s="2">
        <v>42405</v>
      </c>
      <c r="F1790" s="2" t="b">
        <f t="shared" si="111"/>
        <v>1</v>
      </c>
      <c r="G1790" s="2">
        <f t="shared" si="109"/>
        <v>42405</v>
      </c>
      <c r="H1790" s="1" t="s">
        <v>72</v>
      </c>
      <c r="I1790" s="1" t="s">
        <v>160</v>
      </c>
      <c r="J1790" s="1">
        <v>500</v>
      </c>
      <c r="K1790" s="1">
        <v>500</v>
      </c>
      <c r="L1790" s="3">
        <v>0</v>
      </c>
      <c r="N1790" t="s">
        <v>3763</v>
      </c>
      <c r="S1790" s="4" t="e">
        <f t="shared" si="110"/>
        <v>#NUM!</v>
      </c>
      <c r="T1790" s="4" t="str">
        <f t="shared" si="108"/>
        <v/>
      </c>
      <c r="U1790" s="4" t="s">
        <v>3763</v>
      </c>
    </row>
    <row r="1791" spans="1:21" x14ac:dyDescent="0.3">
      <c r="A1791" t="s">
        <v>2389</v>
      </c>
      <c r="B1791" s="1" t="s">
        <v>11</v>
      </c>
      <c r="C1791" s="1" t="s">
        <v>12</v>
      </c>
      <c r="D1791" s="1" t="s">
        <v>13</v>
      </c>
      <c r="E1791" s="2" t="s">
        <v>3436</v>
      </c>
      <c r="F1791" s="2" t="b">
        <f t="shared" si="111"/>
        <v>0</v>
      </c>
      <c r="G1791" s="2">
        <f t="shared" si="109"/>
        <v>43419</v>
      </c>
      <c r="H1791" s="1" t="s">
        <v>55</v>
      </c>
      <c r="I1791" s="1" t="s">
        <v>137</v>
      </c>
      <c r="J1791" s="1">
        <v>800</v>
      </c>
      <c r="K1791" s="1">
        <v>480</v>
      </c>
      <c r="L1791" s="3">
        <v>0.4</v>
      </c>
      <c r="N1791" t="s">
        <v>3436</v>
      </c>
      <c r="P1791">
        <v>11</v>
      </c>
      <c r="Q1791">
        <v>15</v>
      </c>
      <c r="R1791">
        <v>2018</v>
      </c>
      <c r="S1791" s="4">
        <f t="shared" si="110"/>
        <v>43419</v>
      </c>
      <c r="T1791" s="4">
        <f t="shared" si="108"/>
        <v>43419</v>
      </c>
      <c r="U1791" s="4">
        <v>43419</v>
      </c>
    </row>
    <row r="1792" spans="1:21" x14ac:dyDescent="0.3">
      <c r="A1792" t="s">
        <v>2390</v>
      </c>
      <c r="B1792" s="1" t="s">
        <v>205</v>
      </c>
      <c r="C1792" s="1" t="s">
        <v>206</v>
      </c>
      <c r="D1792" s="1" t="s">
        <v>24</v>
      </c>
      <c r="E1792" s="2" t="s">
        <v>3096</v>
      </c>
      <c r="F1792" s="2" t="b">
        <f t="shared" si="111"/>
        <v>0</v>
      </c>
      <c r="G1792" s="2">
        <f t="shared" si="109"/>
        <v>42216</v>
      </c>
      <c r="H1792" s="1" t="s">
        <v>41</v>
      </c>
      <c r="I1792" s="1" t="s">
        <v>635</v>
      </c>
      <c r="J1792" s="1">
        <v>30</v>
      </c>
      <c r="K1792" s="1">
        <v>21</v>
      </c>
      <c r="L1792" s="3">
        <v>0.3</v>
      </c>
      <c r="N1792" t="s">
        <v>3096</v>
      </c>
      <c r="P1792">
        <v>7</v>
      </c>
      <c r="Q1792">
        <v>31</v>
      </c>
      <c r="R1792">
        <v>2015</v>
      </c>
      <c r="S1792" s="4">
        <f t="shared" si="110"/>
        <v>42216</v>
      </c>
      <c r="T1792" s="4">
        <f t="shared" si="108"/>
        <v>42216</v>
      </c>
      <c r="U1792" s="4">
        <v>42216</v>
      </c>
    </row>
    <row r="1793" spans="1:21" x14ac:dyDescent="0.3">
      <c r="A1793" t="s">
        <v>2391</v>
      </c>
      <c r="B1793" s="1" t="s">
        <v>103</v>
      </c>
      <c r="C1793" s="1" t="s">
        <v>71</v>
      </c>
      <c r="D1793" s="1" t="s">
        <v>35</v>
      </c>
      <c r="E1793" s="2">
        <v>42681</v>
      </c>
      <c r="F1793" s="2" t="b">
        <f t="shared" si="111"/>
        <v>1</v>
      </c>
      <c r="G1793" s="2">
        <f t="shared" si="109"/>
        <v>42681</v>
      </c>
      <c r="H1793" s="1" t="s">
        <v>14</v>
      </c>
      <c r="I1793" s="1" t="s">
        <v>727</v>
      </c>
      <c r="J1793" s="1">
        <v>80</v>
      </c>
      <c r="K1793" s="1">
        <v>79</v>
      </c>
      <c r="L1793" s="3">
        <v>1.2500000000000001E-2</v>
      </c>
      <c r="N1793" t="s">
        <v>3763</v>
      </c>
      <c r="S1793" s="4" t="e">
        <f t="shared" si="110"/>
        <v>#NUM!</v>
      </c>
      <c r="T1793" s="4" t="str">
        <f t="shared" si="108"/>
        <v/>
      </c>
      <c r="U1793" s="4" t="s">
        <v>3763</v>
      </c>
    </row>
    <row r="1794" spans="1:21" x14ac:dyDescent="0.3">
      <c r="A1794" t="s">
        <v>2392</v>
      </c>
      <c r="B1794" s="1" t="s">
        <v>99</v>
      </c>
      <c r="C1794" s="1" t="s">
        <v>100</v>
      </c>
      <c r="D1794" s="1" t="s">
        <v>13</v>
      </c>
      <c r="E1794" s="2">
        <v>42189</v>
      </c>
      <c r="F1794" s="2" t="b">
        <f t="shared" si="111"/>
        <v>1</v>
      </c>
      <c r="G1794" s="2">
        <f t="shared" si="109"/>
        <v>42189</v>
      </c>
      <c r="H1794" s="1" t="s">
        <v>30</v>
      </c>
      <c r="I1794" s="1" t="s">
        <v>1090</v>
      </c>
      <c r="J1794" s="1">
        <v>150</v>
      </c>
      <c r="K1794" s="1">
        <v>149</v>
      </c>
      <c r="L1794" s="3">
        <v>6.7000000000000002E-3</v>
      </c>
      <c r="N1794" t="s">
        <v>3763</v>
      </c>
      <c r="S1794" s="4" t="e">
        <f t="shared" si="110"/>
        <v>#NUM!</v>
      </c>
      <c r="T1794" s="4" t="str">
        <f t="shared" si="108"/>
        <v/>
      </c>
      <c r="U1794" s="4" t="s">
        <v>3763</v>
      </c>
    </row>
    <row r="1795" spans="1:21" x14ac:dyDescent="0.3">
      <c r="A1795" t="s">
        <v>2393</v>
      </c>
      <c r="B1795" s="1" t="s">
        <v>11</v>
      </c>
      <c r="C1795" s="1" t="s">
        <v>12</v>
      </c>
      <c r="D1795" s="1" t="s">
        <v>13</v>
      </c>
      <c r="E1795" s="2">
        <v>42133</v>
      </c>
      <c r="F1795" s="2" t="b">
        <f t="shared" si="111"/>
        <v>1</v>
      </c>
      <c r="G1795" s="2">
        <f t="shared" si="109"/>
        <v>42133</v>
      </c>
      <c r="H1795" s="1" t="s">
        <v>25</v>
      </c>
      <c r="I1795" s="1" t="s">
        <v>348</v>
      </c>
      <c r="J1795" s="1">
        <v>700</v>
      </c>
      <c r="K1795" s="1">
        <v>700</v>
      </c>
      <c r="L1795" s="3">
        <v>0</v>
      </c>
      <c r="N1795" t="s">
        <v>3763</v>
      </c>
      <c r="S1795" s="4" t="e">
        <f t="shared" si="110"/>
        <v>#NUM!</v>
      </c>
      <c r="T1795" s="4" t="str">
        <f t="shared" ref="T1795:T1858" si="112">IF(AND(P1795&lt;&gt;"",Q1795&lt;&gt;"",R1795&lt;&gt;""),IFERROR(DATE(R1795,P1795,Q1795),""),"")</f>
        <v/>
      </c>
      <c r="U1795" s="4" t="s">
        <v>3763</v>
      </c>
    </row>
    <row r="1796" spans="1:21" x14ac:dyDescent="0.3">
      <c r="A1796" t="s">
        <v>2394</v>
      </c>
      <c r="B1796" s="1" t="s">
        <v>49</v>
      </c>
      <c r="C1796" s="1" t="s">
        <v>50</v>
      </c>
      <c r="D1796" s="1" t="s">
        <v>24</v>
      </c>
      <c r="E1796" s="2" t="s">
        <v>3656</v>
      </c>
      <c r="F1796" s="2" t="b">
        <f t="shared" si="111"/>
        <v>0</v>
      </c>
      <c r="G1796" s="2">
        <f t="shared" ref="G1796:G1859" si="113">IF(F1796=TRUE,E1796,U1796)</f>
        <v>43248</v>
      </c>
      <c r="H1796" s="1" t="s">
        <v>61</v>
      </c>
      <c r="I1796" s="1" t="s">
        <v>398</v>
      </c>
      <c r="J1796" s="1">
        <v>1000</v>
      </c>
      <c r="K1796" s="1">
        <v>920</v>
      </c>
      <c r="L1796" s="3">
        <v>0.08</v>
      </c>
      <c r="N1796" t="s">
        <v>3656</v>
      </c>
      <c r="P1796">
        <v>5</v>
      </c>
      <c r="Q1796">
        <v>28</v>
      </c>
      <c r="R1796">
        <v>2018</v>
      </c>
      <c r="S1796" s="4">
        <f t="shared" ref="S1796:S1859" si="114">DATE(R1796,P1796,Q1796)</f>
        <v>43248</v>
      </c>
      <c r="T1796" s="4">
        <f t="shared" si="112"/>
        <v>43248</v>
      </c>
      <c r="U1796" s="4">
        <v>43248</v>
      </c>
    </row>
    <row r="1797" spans="1:21" x14ac:dyDescent="0.3">
      <c r="A1797" t="s">
        <v>2395</v>
      </c>
      <c r="B1797" s="1" t="s">
        <v>270</v>
      </c>
      <c r="C1797" s="1" t="s">
        <v>271</v>
      </c>
      <c r="D1797" s="1" t="s">
        <v>35</v>
      </c>
      <c r="E1797" s="2">
        <v>42104</v>
      </c>
      <c r="F1797" s="2" t="b">
        <f t="shared" ref="F1797:F1860" si="115">ISNUMBER(E1797)</f>
        <v>1</v>
      </c>
      <c r="G1797" s="2">
        <f t="shared" si="113"/>
        <v>42104</v>
      </c>
      <c r="H1797" s="1" t="s">
        <v>122</v>
      </c>
      <c r="I1797" s="1" t="s">
        <v>713</v>
      </c>
      <c r="J1797" s="1">
        <v>50</v>
      </c>
      <c r="K1797" s="1">
        <v>40</v>
      </c>
      <c r="L1797" s="3">
        <v>0.2</v>
      </c>
      <c r="N1797" t="s">
        <v>3763</v>
      </c>
      <c r="S1797" s="4" t="e">
        <f t="shared" si="114"/>
        <v>#NUM!</v>
      </c>
      <c r="T1797" s="4" t="str">
        <f t="shared" si="112"/>
        <v/>
      </c>
      <c r="U1797" s="4" t="s">
        <v>3763</v>
      </c>
    </row>
    <row r="1798" spans="1:21" x14ac:dyDescent="0.3">
      <c r="A1798" t="s">
        <v>2396</v>
      </c>
      <c r="B1798" s="1" t="s">
        <v>241</v>
      </c>
      <c r="C1798" s="1" t="s">
        <v>242</v>
      </c>
      <c r="D1798" s="1" t="s">
        <v>13</v>
      </c>
      <c r="E1798" s="2">
        <v>42007</v>
      </c>
      <c r="F1798" s="2" t="b">
        <f t="shared" si="115"/>
        <v>1</v>
      </c>
      <c r="G1798" s="2">
        <f t="shared" si="113"/>
        <v>42007</v>
      </c>
      <c r="H1798" s="1" t="s">
        <v>55</v>
      </c>
      <c r="I1798" s="1" t="s">
        <v>779</v>
      </c>
      <c r="J1798" s="1">
        <v>800</v>
      </c>
      <c r="K1798" s="1">
        <v>784</v>
      </c>
      <c r="L1798" s="3">
        <v>0.02</v>
      </c>
      <c r="N1798" t="s">
        <v>3763</v>
      </c>
      <c r="S1798" s="4" t="e">
        <f t="shared" si="114"/>
        <v>#NUM!</v>
      </c>
      <c r="T1798" s="4" t="str">
        <f t="shared" si="112"/>
        <v/>
      </c>
      <c r="U1798" s="4" t="s">
        <v>3763</v>
      </c>
    </row>
    <row r="1799" spans="1:21" x14ac:dyDescent="0.3">
      <c r="A1799" t="s">
        <v>2397</v>
      </c>
      <c r="B1799" s="1" t="s">
        <v>70</v>
      </c>
      <c r="C1799" s="1" t="s">
        <v>71</v>
      </c>
      <c r="D1799" s="1" t="s">
        <v>35</v>
      </c>
      <c r="E1799" s="2" t="s">
        <v>3657</v>
      </c>
      <c r="F1799" s="2" t="b">
        <f t="shared" si="115"/>
        <v>0</v>
      </c>
      <c r="G1799" s="2">
        <f t="shared" si="113"/>
        <v>41937</v>
      </c>
      <c r="H1799" s="1" t="s">
        <v>55</v>
      </c>
      <c r="I1799" s="1" t="s">
        <v>142</v>
      </c>
      <c r="J1799" s="1">
        <v>800</v>
      </c>
      <c r="K1799" s="1">
        <v>488</v>
      </c>
      <c r="L1799" s="3">
        <v>0.39</v>
      </c>
      <c r="N1799" t="s">
        <v>3657</v>
      </c>
      <c r="P1799">
        <v>10</v>
      </c>
      <c r="Q1799">
        <v>25</v>
      </c>
      <c r="R1799">
        <v>2014</v>
      </c>
      <c r="S1799" s="4">
        <f t="shared" si="114"/>
        <v>41937</v>
      </c>
      <c r="T1799" s="4">
        <f t="shared" si="112"/>
        <v>41937</v>
      </c>
      <c r="U1799" s="4">
        <v>41937</v>
      </c>
    </row>
    <row r="1800" spans="1:21" x14ac:dyDescent="0.3">
      <c r="A1800" t="s">
        <v>2398</v>
      </c>
      <c r="B1800" s="1" t="s">
        <v>154</v>
      </c>
      <c r="C1800" s="1" t="s">
        <v>108</v>
      </c>
      <c r="D1800" s="1" t="s">
        <v>19</v>
      </c>
      <c r="E1800" s="2" t="s">
        <v>3474</v>
      </c>
      <c r="F1800" s="2" t="b">
        <f t="shared" si="115"/>
        <v>0</v>
      </c>
      <c r="G1800" s="2">
        <f t="shared" si="113"/>
        <v>42505</v>
      </c>
      <c r="H1800" s="1" t="s">
        <v>46</v>
      </c>
      <c r="I1800" s="1" t="s">
        <v>490</v>
      </c>
      <c r="J1800" s="1">
        <v>500</v>
      </c>
      <c r="K1800" s="1">
        <v>450</v>
      </c>
      <c r="L1800" s="3">
        <v>0.1</v>
      </c>
      <c r="N1800" t="s">
        <v>3474</v>
      </c>
      <c r="P1800">
        <v>5</v>
      </c>
      <c r="Q1800">
        <v>15</v>
      </c>
      <c r="R1800">
        <v>2016</v>
      </c>
      <c r="S1800" s="4">
        <f t="shared" si="114"/>
        <v>42505</v>
      </c>
      <c r="T1800" s="4">
        <f t="shared" si="112"/>
        <v>42505</v>
      </c>
      <c r="U1800" s="4">
        <v>42505</v>
      </c>
    </row>
    <row r="1801" spans="1:21" x14ac:dyDescent="0.3">
      <c r="A1801" t="s">
        <v>2399</v>
      </c>
      <c r="B1801" s="1" t="s">
        <v>264</v>
      </c>
      <c r="C1801" s="1" t="s">
        <v>265</v>
      </c>
      <c r="D1801" s="1" t="s">
        <v>13</v>
      </c>
      <c r="E1801" s="2">
        <v>43192</v>
      </c>
      <c r="F1801" s="2" t="b">
        <f t="shared" si="115"/>
        <v>1</v>
      </c>
      <c r="G1801" s="2">
        <f t="shared" si="113"/>
        <v>43192</v>
      </c>
      <c r="H1801" s="1" t="s">
        <v>41</v>
      </c>
      <c r="I1801" s="1" t="s">
        <v>308</v>
      </c>
      <c r="J1801" s="1">
        <v>30</v>
      </c>
      <c r="K1801" s="1">
        <v>29</v>
      </c>
      <c r="L1801" s="3">
        <v>3.3300000000000003E-2</v>
      </c>
      <c r="N1801" t="s">
        <v>3763</v>
      </c>
      <c r="S1801" s="4" t="e">
        <f t="shared" si="114"/>
        <v>#NUM!</v>
      </c>
      <c r="T1801" s="4" t="str">
        <f t="shared" si="112"/>
        <v/>
      </c>
      <c r="U1801" s="4" t="s">
        <v>3763</v>
      </c>
    </row>
    <row r="1802" spans="1:21" x14ac:dyDescent="0.3">
      <c r="A1802" t="s">
        <v>2400</v>
      </c>
      <c r="B1802" s="1" t="s">
        <v>33</v>
      </c>
      <c r="C1802" s="1" t="s">
        <v>34</v>
      </c>
      <c r="D1802" s="1" t="s">
        <v>35</v>
      </c>
      <c r="E1802" s="2" t="s">
        <v>3536</v>
      </c>
      <c r="F1802" s="2" t="b">
        <f t="shared" si="115"/>
        <v>0</v>
      </c>
      <c r="G1802" s="2">
        <f t="shared" si="113"/>
        <v>43063</v>
      </c>
      <c r="H1802" s="1" t="s">
        <v>72</v>
      </c>
      <c r="I1802" s="1" t="s">
        <v>1243</v>
      </c>
      <c r="J1802" s="1">
        <v>500</v>
      </c>
      <c r="K1802" s="1">
        <v>490</v>
      </c>
      <c r="L1802" s="3">
        <v>0.02</v>
      </c>
      <c r="N1802" t="s">
        <v>3536</v>
      </c>
      <c r="P1802">
        <v>11</v>
      </c>
      <c r="Q1802">
        <v>24</v>
      </c>
      <c r="R1802">
        <v>2017</v>
      </c>
      <c r="S1802" s="4">
        <f t="shared" si="114"/>
        <v>43063</v>
      </c>
      <c r="T1802" s="4">
        <f t="shared" si="112"/>
        <v>43063</v>
      </c>
      <c r="U1802" s="4">
        <v>43063</v>
      </c>
    </row>
    <row r="1803" spans="1:21" x14ac:dyDescent="0.3">
      <c r="A1803" t="s">
        <v>2401</v>
      </c>
      <c r="B1803" s="1" t="s">
        <v>70</v>
      </c>
      <c r="C1803" s="1" t="s">
        <v>71</v>
      </c>
      <c r="D1803" s="1" t="s">
        <v>35</v>
      </c>
      <c r="E1803" s="2">
        <v>43380</v>
      </c>
      <c r="F1803" s="2" t="b">
        <f t="shared" si="115"/>
        <v>1</v>
      </c>
      <c r="G1803" s="2">
        <f t="shared" si="113"/>
        <v>43380</v>
      </c>
      <c r="H1803" s="1" t="s">
        <v>115</v>
      </c>
      <c r="I1803" s="1" t="s">
        <v>73</v>
      </c>
      <c r="J1803" s="1">
        <v>250</v>
      </c>
      <c r="K1803" s="1">
        <v>240</v>
      </c>
      <c r="L1803" s="3">
        <v>0.04</v>
      </c>
      <c r="N1803" t="s">
        <v>3763</v>
      </c>
      <c r="S1803" s="4" t="e">
        <f t="shared" si="114"/>
        <v>#NUM!</v>
      </c>
      <c r="T1803" s="4" t="str">
        <f t="shared" si="112"/>
        <v/>
      </c>
      <c r="U1803" s="4" t="s">
        <v>3763</v>
      </c>
    </row>
    <row r="1804" spans="1:21" x14ac:dyDescent="0.3">
      <c r="A1804" t="s">
        <v>2402</v>
      </c>
      <c r="B1804" s="1" t="s">
        <v>434</v>
      </c>
      <c r="C1804" s="1" t="s">
        <v>435</v>
      </c>
      <c r="D1804" s="1" t="s">
        <v>24</v>
      </c>
      <c r="E1804" s="2" t="s">
        <v>3373</v>
      </c>
      <c r="F1804" s="2" t="b">
        <f t="shared" si="115"/>
        <v>0</v>
      </c>
      <c r="G1804" s="2">
        <f t="shared" si="113"/>
        <v>43451</v>
      </c>
      <c r="H1804" s="1" t="s">
        <v>41</v>
      </c>
      <c r="I1804" s="1" t="s">
        <v>585</v>
      </c>
      <c r="J1804" s="1">
        <v>30</v>
      </c>
      <c r="K1804" s="1">
        <v>29</v>
      </c>
      <c r="L1804" s="3">
        <v>3.3300000000000003E-2</v>
      </c>
      <c r="N1804" t="s">
        <v>3373</v>
      </c>
      <c r="P1804">
        <v>12</v>
      </c>
      <c r="Q1804">
        <v>17</v>
      </c>
      <c r="R1804">
        <v>2018</v>
      </c>
      <c r="S1804" s="4">
        <f t="shared" si="114"/>
        <v>43451</v>
      </c>
      <c r="T1804" s="4">
        <f t="shared" si="112"/>
        <v>43451</v>
      </c>
      <c r="U1804" s="4">
        <v>43451</v>
      </c>
    </row>
    <row r="1805" spans="1:21" x14ac:dyDescent="0.3">
      <c r="A1805" t="s">
        <v>2403</v>
      </c>
      <c r="B1805" s="1" t="s">
        <v>81</v>
      </c>
      <c r="C1805" s="1" t="s">
        <v>82</v>
      </c>
      <c r="D1805" s="1" t="s">
        <v>13</v>
      </c>
      <c r="E1805" s="2">
        <v>42465</v>
      </c>
      <c r="F1805" s="2" t="b">
        <f t="shared" si="115"/>
        <v>1</v>
      </c>
      <c r="G1805" s="2">
        <f t="shared" si="113"/>
        <v>42465</v>
      </c>
      <c r="H1805" s="1" t="s">
        <v>115</v>
      </c>
      <c r="I1805" s="1" t="s">
        <v>282</v>
      </c>
      <c r="J1805" s="1">
        <v>250</v>
      </c>
      <c r="K1805" s="1">
        <v>240</v>
      </c>
      <c r="L1805" s="3">
        <v>0.04</v>
      </c>
      <c r="N1805" t="s">
        <v>3763</v>
      </c>
      <c r="S1805" s="4" t="e">
        <f t="shared" si="114"/>
        <v>#NUM!</v>
      </c>
      <c r="T1805" s="4" t="str">
        <f t="shared" si="112"/>
        <v/>
      </c>
      <c r="U1805" s="4" t="s">
        <v>3763</v>
      </c>
    </row>
    <row r="1806" spans="1:21" x14ac:dyDescent="0.3">
      <c r="A1806" t="s">
        <v>2404</v>
      </c>
      <c r="B1806" s="1" t="s">
        <v>324</v>
      </c>
      <c r="C1806" s="1" t="s">
        <v>325</v>
      </c>
      <c r="D1806" s="1" t="s">
        <v>13</v>
      </c>
      <c r="E1806" s="2" t="s">
        <v>3658</v>
      </c>
      <c r="F1806" s="2" t="b">
        <f t="shared" si="115"/>
        <v>0</v>
      </c>
      <c r="G1806" s="2">
        <f t="shared" si="113"/>
        <v>41729</v>
      </c>
      <c r="H1806" s="1" t="s">
        <v>61</v>
      </c>
      <c r="I1806" s="1" t="s">
        <v>1192</v>
      </c>
      <c r="J1806" s="1">
        <v>1000</v>
      </c>
      <c r="K1806" s="1">
        <v>670</v>
      </c>
      <c r="L1806" s="3">
        <v>0.33</v>
      </c>
      <c r="N1806" t="s">
        <v>3658</v>
      </c>
      <c r="P1806">
        <v>3</v>
      </c>
      <c r="Q1806">
        <v>31</v>
      </c>
      <c r="R1806">
        <v>2014</v>
      </c>
      <c r="S1806" s="4">
        <f t="shared" si="114"/>
        <v>41729</v>
      </c>
      <c r="T1806" s="4">
        <f t="shared" si="112"/>
        <v>41729</v>
      </c>
      <c r="U1806" s="4">
        <v>41729</v>
      </c>
    </row>
    <row r="1807" spans="1:21" x14ac:dyDescent="0.3">
      <c r="A1807" t="s">
        <v>2405</v>
      </c>
      <c r="B1807" s="1" t="s">
        <v>103</v>
      </c>
      <c r="C1807" s="1" t="s">
        <v>71</v>
      </c>
      <c r="D1807" s="1" t="s">
        <v>35</v>
      </c>
      <c r="E1807" s="2">
        <v>43076</v>
      </c>
      <c r="F1807" s="2" t="b">
        <f t="shared" si="115"/>
        <v>1</v>
      </c>
      <c r="G1807" s="2">
        <f t="shared" si="113"/>
        <v>43076</v>
      </c>
      <c r="H1807" s="1" t="s">
        <v>55</v>
      </c>
      <c r="I1807" s="1" t="s">
        <v>247</v>
      </c>
      <c r="J1807" s="1">
        <v>800</v>
      </c>
      <c r="K1807" s="1">
        <v>448</v>
      </c>
      <c r="L1807" s="3">
        <v>0.44</v>
      </c>
      <c r="N1807" t="s">
        <v>3763</v>
      </c>
      <c r="S1807" s="4" t="e">
        <f t="shared" si="114"/>
        <v>#NUM!</v>
      </c>
      <c r="T1807" s="4" t="str">
        <f t="shared" si="112"/>
        <v/>
      </c>
      <c r="U1807" s="4" t="s">
        <v>3763</v>
      </c>
    </row>
    <row r="1808" spans="1:21" x14ac:dyDescent="0.3">
      <c r="A1808" t="s">
        <v>2406</v>
      </c>
      <c r="B1808" s="1" t="s">
        <v>28</v>
      </c>
      <c r="C1808" s="1" t="s">
        <v>29</v>
      </c>
      <c r="D1808" s="1" t="s">
        <v>13</v>
      </c>
      <c r="E1808" s="2" t="s">
        <v>3409</v>
      </c>
      <c r="F1808" s="2" t="b">
        <f t="shared" si="115"/>
        <v>0</v>
      </c>
      <c r="G1808" s="2">
        <f t="shared" si="113"/>
        <v>42264</v>
      </c>
      <c r="H1808" s="1" t="s">
        <v>36</v>
      </c>
      <c r="I1808" s="1" t="s">
        <v>445</v>
      </c>
      <c r="J1808" s="1">
        <v>50</v>
      </c>
      <c r="K1808" s="1">
        <v>31</v>
      </c>
      <c r="L1808" s="3">
        <v>0.38</v>
      </c>
      <c r="N1808" t="s">
        <v>3409</v>
      </c>
      <c r="P1808">
        <v>9</v>
      </c>
      <c r="Q1808">
        <v>17</v>
      </c>
      <c r="R1808">
        <v>2015</v>
      </c>
      <c r="S1808" s="4">
        <f t="shared" si="114"/>
        <v>42264</v>
      </c>
      <c r="T1808" s="4">
        <f t="shared" si="112"/>
        <v>42264</v>
      </c>
      <c r="U1808" s="4">
        <v>42264</v>
      </c>
    </row>
    <row r="1809" spans="1:21" x14ac:dyDescent="0.3">
      <c r="A1809" t="s">
        <v>2407</v>
      </c>
      <c r="B1809" s="1" t="s">
        <v>270</v>
      </c>
      <c r="C1809" s="1" t="s">
        <v>271</v>
      </c>
      <c r="D1809" s="1" t="s">
        <v>35</v>
      </c>
      <c r="E1809" s="2">
        <v>42741</v>
      </c>
      <c r="F1809" s="2" t="b">
        <f t="shared" si="115"/>
        <v>1</v>
      </c>
      <c r="G1809" s="2">
        <f t="shared" si="113"/>
        <v>42741</v>
      </c>
      <c r="H1809" s="1" t="s">
        <v>36</v>
      </c>
      <c r="I1809" s="1" t="s">
        <v>713</v>
      </c>
      <c r="J1809" s="1">
        <v>50</v>
      </c>
      <c r="K1809" s="1">
        <v>46</v>
      </c>
      <c r="L1809" s="3">
        <v>0.08</v>
      </c>
      <c r="N1809" t="s">
        <v>3763</v>
      </c>
      <c r="S1809" s="4" t="e">
        <f t="shared" si="114"/>
        <v>#NUM!</v>
      </c>
      <c r="T1809" s="4" t="str">
        <f t="shared" si="112"/>
        <v/>
      </c>
      <c r="U1809" s="4" t="s">
        <v>3763</v>
      </c>
    </row>
    <row r="1810" spans="1:21" x14ac:dyDescent="0.3">
      <c r="A1810" t="s">
        <v>2408</v>
      </c>
      <c r="B1810" s="1" t="s">
        <v>118</v>
      </c>
      <c r="C1810" s="1" t="s">
        <v>119</v>
      </c>
      <c r="D1810" s="1" t="s">
        <v>35</v>
      </c>
      <c r="E1810" s="2" t="s">
        <v>3659</v>
      </c>
      <c r="F1810" s="2" t="b">
        <f t="shared" si="115"/>
        <v>0</v>
      </c>
      <c r="G1810" s="2">
        <f t="shared" si="113"/>
        <v>42236</v>
      </c>
      <c r="H1810" s="1" t="s">
        <v>122</v>
      </c>
      <c r="I1810" s="1" t="s">
        <v>1110</v>
      </c>
      <c r="J1810" s="1">
        <v>50</v>
      </c>
      <c r="K1810" s="1">
        <v>49</v>
      </c>
      <c r="L1810" s="3">
        <v>0.02</v>
      </c>
      <c r="N1810" t="s">
        <v>3659</v>
      </c>
      <c r="P1810">
        <v>8</v>
      </c>
      <c r="Q1810">
        <v>20</v>
      </c>
      <c r="R1810">
        <v>2015</v>
      </c>
      <c r="S1810" s="4">
        <f t="shared" si="114"/>
        <v>42236</v>
      </c>
      <c r="T1810" s="4">
        <f t="shared" si="112"/>
        <v>42236</v>
      </c>
      <c r="U1810" s="4">
        <v>42236</v>
      </c>
    </row>
    <row r="1811" spans="1:21" x14ac:dyDescent="0.3">
      <c r="A1811" t="s">
        <v>2409</v>
      </c>
      <c r="B1811" s="1" t="s">
        <v>59</v>
      </c>
      <c r="C1811" s="1" t="s">
        <v>60</v>
      </c>
      <c r="D1811" s="1" t="s">
        <v>13</v>
      </c>
      <c r="E1811" s="2" t="s">
        <v>3599</v>
      </c>
      <c r="F1811" s="2" t="b">
        <f t="shared" si="115"/>
        <v>0</v>
      </c>
      <c r="G1811" s="2">
        <f t="shared" si="113"/>
        <v>42966</v>
      </c>
      <c r="H1811" s="1" t="s">
        <v>104</v>
      </c>
      <c r="I1811" s="1" t="s">
        <v>1750</v>
      </c>
      <c r="J1811" s="1">
        <v>70</v>
      </c>
      <c r="K1811" s="1">
        <v>63</v>
      </c>
      <c r="L1811" s="3">
        <v>0.1</v>
      </c>
      <c r="N1811" t="s">
        <v>3599</v>
      </c>
      <c r="P1811">
        <v>8</v>
      </c>
      <c r="Q1811">
        <v>19</v>
      </c>
      <c r="R1811">
        <v>2017</v>
      </c>
      <c r="S1811" s="4">
        <f t="shared" si="114"/>
        <v>42966</v>
      </c>
      <c r="T1811" s="4">
        <f t="shared" si="112"/>
        <v>42966</v>
      </c>
      <c r="U1811" s="4">
        <v>42966</v>
      </c>
    </row>
    <row r="1812" spans="1:21" x14ac:dyDescent="0.3">
      <c r="A1812" t="s">
        <v>2410</v>
      </c>
      <c r="B1812" s="1" t="s">
        <v>99</v>
      </c>
      <c r="C1812" s="1" t="s">
        <v>100</v>
      </c>
      <c r="D1812" s="1" t="s">
        <v>13</v>
      </c>
      <c r="E1812" s="2" t="s">
        <v>3008</v>
      </c>
      <c r="F1812" s="2" t="b">
        <f t="shared" si="115"/>
        <v>0</v>
      </c>
      <c r="G1812" s="2">
        <f t="shared" si="113"/>
        <v>42854</v>
      </c>
      <c r="H1812" s="1" t="s">
        <v>25</v>
      </c>
      <c r="I1812" s="1" t="s">
        <v>911</v>
      </c>
      <c r="J1812" s="1">
        <v>700</v>
      </c>
      <c r="K1812" s="1">
        <v>686</v>
      </c>
      <c r="L1812" s="3">
        <v>0.02</v>
      </c>
      <c r="N1812" t="s">
        <v>3008</v>
      </c>
      <c r="P1812">
        <v>4</v>
      </c>
      <c r="Q1812">
        <v>29</v>
      </c>
      <c r="R1812">
        <v>2017</v>
      </c>
      <c r="S1812" s="4">
        <f t="shared" si="114"/>
        <v>42854</v>
      </c>
      <c r="T1812" s="4">
        <f t="shared" si="112"/>
        <v>42854</v>
      </c>
      <c r="U1812" s="4">
        <v>42854</v>
      </c>
    </row>
    <row r="1813" spans="1:21" x14ac:dyDescent="0.3">
      <c r="A1813" t="s">
        <v>2411</v>
      </c>
      <c r="B1813" s="1" t="s">
        <v>17</v>
      </c>
      <c r="C1813" s="1" t="s">
        <v>18</v>
      </c>
      <c r="D1813" s="1" t="s">
        <v>19</v>
      </c>
      <c r="E1813" s="2">
        <v>43348</v>
      </c>
      <c r="F1813" s="2" t="b">
        <f t="shared" si="115"/>
        <v>1</v>
      </c>
      <c r="G1813" s="2">
        <f t="shared" si="113"/>
        <v>43348</v>
      </c>
      <c r="H1813" s="1" t="s">
        <v>46</v>
      </c>
      <c r="I1813" s="1" t="s">
        <v>20</v>
      </c>
      <c r="J1813" s="1">
        <v>500</v>
      </c>
      <c r="K1813" s="1">
        <v>425</v>
      </c>
      <c r="L1813" s="3">
        <v>0.15</v>
      </c>
      <c r="N1813" t="s">
        <v>3763</v>
      </c>
      <c r="S1813" s="4" t="e">
        <f t="shared" si="114"/>
        <v>#NUM!</v>
      </c>
      <c r="T1813" s="4" t="str">
        <f t="shared" si="112"/>
        <v/>
      </c>
      <c r="U1813" s="4" t="s">
        <v>3763</v>
      </c>
    </row>
    <row r="1814" spans="1:21" x14ac:dyDescent="0.3">
      <c r="A1814" t="s">
        <v>2412</v>
      </c>
      <c r="B1814" s="1" t="s">
        <v>33</v>
      </c>
      <c r="C1814" s="1" t="s">
        <v>34</v>
      </c>
      <c r="D1814" s="1" t="s">
        <v>35</v>
      </c>
      <c r="E1814" s="2" t="s">
        <v>3494</v>
      </c>
      <c r="F1814" s="2" t="b">
        <f t="shared" si="115"/>
        <v>0</v>
      </c>
      <c r="G1814" s="2">
        <f t="shared" si="113"/>
        <v>42535</v>
      </c>
      <c r="H1814" s="1" t="s">
        <v>55</v>
      </c>
      <c r="I1814" s="1" t="s">
        <v>75</v>
      </c>
      <c r="J1814" s="1">
        <v>800</v>
      </c>
      <c r="K1814" s="1">
        <v>784</v>
      </c>
      <c r="L1814" s="3">
        <v>0.02</v>
      </c>
      <c r="N1814" t="s">
        <v>3494</v>
      </c>
      <c r="P1814">
        <v>6</v>
      </c>
      <c r="Q1814">
        <v>14</v>
      </c>
      <c r="R1814">
        <v>2016</v>
      </c>
      <c r="S1814" s="4">
        <f t="shared" si="114"/>
        <v>42535</v>
      </c>
      <c r="T1814" s="4">
        <f t="shared" si="112"/>
        <v>42535</v>
      </c>
      <c r="U1814" s="4">
        <v>42535</v>
      </c>
    </row>
    <row r="1815" spans="1:21" x14ac:dyDescent="0.3">
      <c r="A1815" t="s">
        <v>2413</v>
      </c>
      <c r="B1815" s="1" t="s">
        <v>205</v>
      </c>
      <c r="C1815" s="1" t="s">
        <v>206</v>
      </c>
      <c r="D1815" s="1" t="s">
        <v>24</v>
      </c>
      <c r="E1815" s="2" t="s">
        <v>3660</v>
      </c>
      <c r="F1815" s="2" t="b">
        <f t="shared" si="115"/>
        <v>0</v>
      </c>
      <c r="G1815" s="2">
        <f t="shared" si="113"/>
        <v>42079</v>
      </c>
      <c r="H1815" s="1" t="s">
        <v>122</v>
      </c>
      <c r="I1815" s="1" t="s">
        <v>1478</v>
      </c>
      <c r="J1815" s="1">
        <v>50</v>
      </c>
      <c r="K1815" s="1">
        <v>43</v>
      </c>
      <c r="L1815" s="3">
        <v>0.14000000000000001</v>
      </c>
      <c r="N1815" t="s">
        <v>3660</v>
      </c>
      <c r="P1815">
        <v>3</v>
      </c>
      <c r="Q1815">
        <v>16</v>
      </c>
      <c r="R1815">
        <v>2015</v>
      </c>
      <c r="S1815" s="4">
        <f t="shared" si="114"/>
        <v>42079</v>
      </c>
      <c r="T1815" s="4">
        <f t="shared" si="112"/>
        <v>42079</v>
      </c>
      <c r="U1815" s="4">
        <v>42079</v>
      </c>
    </row>
    <row r="1816" spans="1:21" x14ac:dyDescent="0.3">
      <c r="A1816" t="s">
        <v>2414</v>
      </c>
      <c r="B1816" s="1" t="s">
        <v>205</v>
      </c>
      <c r="C1816" s="1" t="s">
        <v>206</v>
      </c>
      <c r="D1816" s="1" t="s">
        <v>24</v>
      </c>
      <c r="E1816" s="2" t="s">
        <v>3536</v>
      </c>
      <c r="F1816" s="2" t="b">
        <f t="shared" si="115"/>
        <v>0</v>
      </c>
      <c r="G1816" s="2">
        <f t="shared" si="113"/>
        <v>43063</v>
      </c>
      <c r="H1816" s="1" t="s">
        <v>14</v>
      </c>
      <c r="I1816" s="1" t="s">
        <v>361</v>
      </c>
      <c r="J1816" s="1">
        <v>80</v>
      </c>
      <c r="K1816" s="1">
        <v>74</v>
      </c>
      <c r="L1816" s="3">
        <v>7.4999999999999997E-2</v>
      </c>
      <c r="N1816" t="s">
        <v>3536</v>
      </c>
      <c r="P1816">
        <v>11</v>
      </c>
      <c r="Q1816">
        <v>24</v>
      </c>
      <c r="R1816">
        <v>2017</v>
      </c>
      <c r="S1816" s="4">
        <f t="shared" si="114"/>
        <v>43063</v>
      </c>
      <c r="T1816" s="4">
        <f t="shared" si="112"/>
        <v>43063</v>
      </c>
      <c r="U1816" s="4">
        <v>43063</v>
      </c>
    </row>
    <row r="1817" spans="1:21" x14ac:dyDescent="0.3">
      <c r="A1817" t="s">
        <v>2415</v>
      </c>
      <c r="B1817" s="1" t="s">
        <v>59</v>
      </c>
      <c r="C1817" s="1" t="s">
        <v>60</v>
      </c>
      <c r="D1817" s="1" t="s">
        <v>13</v>
      </c>
      <c r="E1817" s="2">
        <v>42101</v>
      </c>
      <c r="F1817" s="2" t="b">
        <f t="shared" si="115"/>
        <v>1</v>
      </c>
      <c r="G1817" s="2">
        <f t="shared" si="113"/>
        <v>42101</v>
      </c>
      <c r="H1817" s="1" t="s">
        <v>36</v>
      </c>
      <c r="I1817" s="1" t="s">
        <v>1778</v>
      </c>
      <c r="J1817" s="1">
        <v>50</v>
      </c>
      <c r="K1817" s="1">
        <v>46</v>
      </c>
      <c r="L1817" s="3">
        <v>0.08</v>
      </c>
      <c r="N1817" t="s">
        <v>3763</v>
      </c>
      <c r="S1817" s="4" t="e">
        <f t="shared" si="114"/>
        <v>#NUM!</v>
      </c>
      <c r="T1817" s="4" t="str">
        <f t="shared" si="112"/>
        <v/>
      </c>
      <c r="U1817" s="4" t="s">
        <v>3763</v>
      </c>
    </row>
    <row r="1818" spans="1:21" x14ac:dyDescent="0.3">
      <c r="A1818" t="s">
        <v>2416</v>
      </c>
      <c r="B1818" s="1" t="s">
        <v>114</v>
      </c>
      <c r="C1818" s="1" t="s">
        <v>54</v>
      </c>
      <c r="D1818" s="1" t="s">
        <v>13</v>
      </c>
      <c r="E1818" s="2">
        <v>41975</v>
      </c>
      <c r="F1818" s="2" t="b">
        <f t="shared" si="115"/>
        <v>1</v>
      </c>
      <c r="G1818" s="2">
        <f t="shared" si="113"/>
        <v>41975</v>
      </c>
      <c r="H1818" s="1" t="s">
        <v>115</v>
      </c>
      <c r="I1818" s="1" t="s">
        <v>887</v>
      </c>
      <c r="J1818" s="1">
        <v>250</v>
      </c>
      <c r="K1818" s="1">
        <v>223</v>
      </c>
      <c r="L1818" s="3">
        <v>0.108</v>
      </c>
      <c r="N1818" t="s">
        <v>3763</v>
      </c>
      <c r="S1818" s="4" t="e">
        <f t="shared" si="114"/>
        <v>#NUM!</v>
      </c>
      <c r="T1818" s="4" t="str">
        <f t="shared" si="112"/>
        <v/>
      </c>
      <c r="U1818" s="4" t="s">
        <v>3763</v>
      </c>
    </row>
    <row r="1819" spans="1:21" x14ac:dyDescent="0.3">
      <c r="A1819" t="s">
        <v>2417</v>
      </c>
      <c r="B1819" s="1" t="s">
        <v>187</v>
      </c>
      <c r="C1819" s="1" t="s">
        <v>188</v>
      </c>
      <c r="D1819" s="1" t="s">
        <v>13</v>
      </c>
      <c r="E1819" s="2" t="s">
        <v>3661</v>
      </c>
      <c r="F1819" s="2" t="b">
        <f t="shared" si="115"/>
        <v>0</v>
      </c>
      <c r="G1819" s="2">
        <f t="shared" si="113"/>
        <v>42367</v>
      </c>
      <c r="H1819" s="1" t="s">
        <v>115</v>
      </c>
      <c r="I1819" s="1" t="s">
        <v>791</v>
      </c>
      <c r="J1819" s="1">
        <v>250</v>
      </c>
      <c r="K1819" s="1">
        <v>225</v>
      </c>
      <c r="L1819" s="3">
        <v>0.1</v>
      </c>
      <c r="N1819" t="s">
        <v>3661</v>
      </c>
      <c r="P1819">
        <v>12</v>
      </c>
      <c r="Q1819">
        <v>29</v>
      </c>
      <c r="R1819">
        <v>2015</v>
      </c>
      <c r="S1819" s="4">
        <f t="shared" si="114"/>
        <v>42367</v>
      </c>
      <c r="T1819" s="4">
        <f t="shared" si="112"/>
        <v>42367</v>
      </c>
      <c r="U1819" s="4">
        <v>42367</v>
      </c>
    </row>
    <row r="1820" spans="1:21" x14ac:dyDescent="0.3">
      <c r="A1820" t="s">
        <v>2418</v>
      </c>
      <c r="B1820" s="1" t="s">
        <v>146</v>
      </c>
      <c r="C1820" s="1" t="s">
        <v>147</v>
      </c>
      <c r="D1820" s="1" t="s">
        <v>13</v>
      </c>
      <c r="E1820" s="2">
        <v>42953</v>
      </c>
      <c r="F1820" s="2" t="b">
        <f t="shared" si="115"/>
        <v>1</v>
      </c>
      <c r="G1820" s="2">
        <f t="shared" si="113"/>
        <v>42953</v>
      </c>
      <c r="H1820" s="1" t="s">
        <v>104</v>
      </c>
      <c r="I1820" s="1" t="s">
        <v>830</v>
      </c>
      <c r="J1820" s="1">
        <v>70</v>
      </c>
      <c r="K1820" s="1">
        <v>69</v>
      </c>
      <c r="L1820" s="3">
        <v>1.43E-2</v>
      </c>
      <c r="N1820" t="s">
        <v>3763</v>
      </c>
      <c r="S1820" s="4" t="e">
        <f t="shared" si="114"/>
        <v>#NUM!</v>
      </c>
      <c r="T1820" s="4" t="str">
        <f t="shared" si="112"/>
        <v/>
      </c>
      <c r="U1820" s="4" t="s">
        <v>3763</v>
      </c>
    </row>
    <row r="1821" spans="1:21" x14ac:dyDescent="0.3">
      <c r="A1821" t="s">
        <v>2419</v>
      </c>
      <c r="B1821" s="1" t="s">
        <v>22</v>
      </c>
      <c r="C1821" s="1" t="s">
        <v>23</v>
      </c>
      <c r="D1821" s="1" t="s">
        <v>24</v>
      </c>
      <c r="E1821" s="2" t="s">
        <v>3511</v>
      </c>
      <c r="F1821" s="2" t="b">
        <f t="shared" si="115"/>
        <v>0</v>
      </c>
      <c r="G1821" s="2">
        <f t="shared" si="113"/>
        <v>42885</v>
      </c>
      <c r="H1821" s="1" t="s">
        <v>72</v>
      </c>
      <c r="I1821" s="1" t="s">
        <v>483</v>
      </c>
      <c r="J1821" s="1">
        <v>500</v>
      </c>
      <c r="K1821" s="1">
        <v>490</v>
      </c>
      <c r="L1821" s="3">
        <v>0.02</v>
      </c>
      <c r="N1821" t="s">
        <v>3511</v>
      </c>
      <c r="P1821">
        <v>5</v>
      </c>
      <c r="Q1821">
        <v>30</v>
      </c>
      <c r="R1821">
        <v>2017</v>
      </c>
      <c r="S1821" s="4">
        <f t="shared" si="114"/>
        <v>42885</v>
      </c>
      <c r="T1821" s="4">
        <f t="shared" si="112"/>
        <v>42885</v>
      </c>
      <c r="U1821" s="4">
        <v>42885</v>
      </c>
    </row>
    <row r="1822" spans="1:21" x14ac:dyDescent="0.3">
      <c r="A1822" t="s">
        <v>2420</v>
      </c>
      <c r="B1822" s="1" t="s">
        <v>270</v>
      </c>
      <c r="C1822" s="1" t="s">
        <v>271</v>
      </c>
      <c r="D1822" s="1" t="s">
        <v>35</v>
      </c>
      <c r="E1822" s="2" t="s">
        <v>3384</v>
      </c>
      <c r="F1822" s="2" t="b">
        <f t="shared" si="115"/>
        <v>0</v>
      </c>
      <c r="G1822" s="2">
        <f t="shared" si="113"/>
        <v>43203</v>
      </c>
      <c r="H1822" s="1" t="s">
        <v>115</v>
      </c>
      <c r="I1822" s="1" t="s">
        <v>1827</v>
      </c>
      <c r="J1822" s="1">
        <v>250</v>
      </c>
      <c r="K1822" s="1">
        <v>220</v>
      </c>
      <c r="L1822" s="3">
        <v>0.12</v>
      </c>
      <c r="N1822" t="s">
        <v>3384</v>
      </c>
      <c r="P1822">
        <v>4</v>
      </c>
      <c r="Q1822">
        <v>13</v>
      </c>
      <c r="R1822">
        <v>2018</v>
      </c>
      <c r="S1822" s="4">
        <f t="shared" si="114"/>
        <v>43203</v>
      </c>
      <c r="T1822" s="4">
        <f t="shared" si="112"/>
        <v>43203</v>
      </c>
      <c r="U1822" s="4">
        <v>43203</v>
      </c>
    </row>
    <row r="1823" spans="1:21" x14ac:dyDescent="0.3">
      <c r="A1823" t="s">
        <v>2421</v>
      </c>
      <c r="B1823" s="1" t="s">
        <v>33</v>
      </c>
      <c r="C1823" s="1" t="s">
        <v>34</v>
      </c>
      <c r="D1823" s="1" t="s">
        <v>35</v>
      </c>
      <c r="E1823" s="2">
        <v>42249</v>
      </c>
      <c r="F1823" s="2" t="b">
        <f t="shared" si="115"/>
        <v>1</v>
      </c>
      <c r="G1823" s="2">
        <f t="shared" si="113"/>
        <v>42249</v>
      </c>
      <c r="H1823" s="1" t="s">
        <v>122</v>
      </c>
      <c r="I1823" s="1" t="s">
        <v>2422</v>
      </c>
      <c r="J1823" s="1">
        <v>50</v>
      </c>
      <c r="K1823" s="1">
        <v>33</v>
      </c>
      <c r="L1823" s="3">
        <v>0.34</v>
      </c>
      <c r="N1823" t="s">
        <v>3763</v>
      </c>
      <c r="S1823" s="4" t="e">
        <f t="shared" si="114"/>
        <v>#NUM!</v>
      </c>
      <c r="T1823" s="4" t="str">
        <f t="shared" si="112"/>
        <v/>
      </c>
      <c r="U1823" s="4" t="s">
        <v>3763</v>
      </c>
    </row>
    <row r="1824" spans="1:21" x14ac:dyDescent="0.3">
      <c r="A1824" t="s">
        <v>2423</v>
      </c>
      <c r="B1824" s="1" t="s">
        <v>270</v>
      </c>
      <c r="C1824" s="1" t="s">
        <v>271</v>
      </c>
      <c r="D1824" s="1" t="s">
        <v>35</v>
      </c>
      <c r="E1824" s="2" t="s">
        <v>3119</v>
      </c>
      <c r="F1824" s="2" t="b">
        <f t="shared" si="115"/>
        <v>0</v>
      </c>
      <c r="G1824" s="2">
        <f t="shared" si="113"/>
        <v>42152</v>
      </c>
      <c r="H1824" s="1" t="s">
        <v>104</v>
      </c>
      <c r="I1824" s="1" t="s">
        <v>272</v>
      </c>
      <c r="J1824" s="1">
        <v>70</v>
      </c>
      <c r="K1824" s="1">
        <v>46</v>
      </c>
      <c r="L1824" s="3">
        <v>0.34289999999999998</v>
      </c>
      <c r="N1824" t="s">
        <v>3119</v>
      </c>
      <c r="P1824">
        <v>5</v>
      </c>
      <c r="Q1824">
        <v>28</v>
      </c>
      <c r="R1824">
        <v>2015</v>
      </c>
      <c r="S1824" s="4">
        <f t="shared" si="114"/>
        <v>42152</v>
      </c>
      <c r="T1824" s="4">
        <f t="shared" si="112"/>
        <v>42152</v>
      </c>
      <c r="U1824" s="4">
        <v>42152</v>
      </c>
    </row>
    <row r="1825" spans="1:21" x14ac:dyDescent="0.3">
      <c r="A1825" t="s">
        <v>2424</v>
      </c>
      <c r="B1825" s="1" t="s">
        <v>221</v>
      </c>
      <c r="C1825" s="1" t="s">
        <v>40</v>
      </c>
      <c r="D1825" s="1" t="s">
        <v>35</v>
      </c>
      <c r="E1825" s="2" t="s">
        <v>3621</v>
      </c>
      <c r="F1825" s="2" t="b">
        <f t="shared" si="115"/>
        <v>0</v>
      </c>
      <c r="G1825" s="2">
        <f t="shared" si="113"/>
        <v>42027</v>
      </c>
      <c r="H1825" s="1" t="s">
        <v>41</v>
      </c>
      <c r="I1825" s="1" t="s">
        <v>2425</v>
      </c>
      <c r="J1825" s="1">
        <v>30</v>
      </c>
      <c r="K1825" s="1">
        <v>20</v>
      </c>
      <c r="L1825" s="3">
        <v>0.33329999999999999</v>
      </c>
      <c r="N1825" t="s">
        <v>3621</v>
      </c>
      <c r="P1825">
        <v>1</v>
      </c>
      <c r="Q1825">
        <v>23</v>
      </c>
      <c r="R1825">
        <v>2015</v>
      </c>
      <c r="S1825" s="4">
        <f t="shared" si="114"/>
        <v>42027</v>
      </c>
      <c r="T1825" s="4">
        <f t="shared" si="112"/>
        <v>42027</v>
      </c>
      <c r="U1825" s="4">
        <v>42027</v>
      </c>
    </row>
    <row r="1826" spans="1:21" x14ac:dyDescent="0.3">
      <c r="A1826" t="s">
        <v>2426</v>
      </c>
      <c r="B1826" s="1" t="s">
        <v>107</v>
      </c>
      <c r="C1826" s="1" t="s">
        <v>108</v>
      </c>
      <c r="D1826" s="1" t="s">
        <v>19</v>
      </c>
      <c r="E1826" s="2">
        <v>43286</v>
      </c>
      <c r="F1826" s="2" t="b">
        <f t="shared" si="115"/>
        <v>1</v>
      </c>
      <c r="G1826" s="2">
        <f t="shared" si="113"/>
        <v>43286</v>
      </c>
      <c r="H1826" s="1" t="s">
        <v>72</v>
      </c>
      <c r="I1826" s="1" t="s">
        <v>239</v>
      </c>
      <c r="J1826" s="1">
        <v>500</v>
      </c>
      <c r="K1826" s="1">
        <v>500</v>
      </c>
      <c r="L1826" s="3">
        <v>0</v>
      </c>
      <c r="N1826" t="s">
        <v>3763</v>
      </c>
      <c r="S1826" s="4" t="e">
        <f t="shared" si="114"/>
        <v>#NUM!</v>
      </c>
      <c r="T1826" s="4" t="str">
        <f t="shared" si="112"/>
        <v/>
      </c>
      <c r="U1826" s="4" t="s">
        <v>3763</v>
      </c>
    </row>
    <row r="1827" spans="1:21" x14ac:dyDescent="0.3">
      <c r="A1827" t="s">
        <v>2427</v>
      </c>
      <c r="B1827" s="1" t="s">
        <v>154</v>
      </c>
      <c r="C1827" s="1" t="s">
        <v>108</v>
      </c>
      <c r="D1827" s="1" t="s">
        <v>19</v>
      </c>
      <c r="E1827" s="2">
        <v>43443</v>
      </c>
      <c r="F1827" s="2" t="b">
        <f t="shared" si="115"/>
        <v>1</v>
      </c>
      <c r="G1827" s="2">
        <f t="shared" si="113"/>
        <v>43443</v>
      </c>
      <c r="H1827" s="1" t="s">
        <v>72</v>
      </c>
      <c r="I1827" s="1" t="s">
        <v>1411</v>
      </c>
      <c r="J1827" s="1">
        <v>500</v>
      </c>
      <c r="K1827" s="1">
        <v>500</v>
      </c>
      <c r="L1827" s="3">
        <v>0</v>
      </c>
      <c r="N1827" t="s">
        <v>3763</v>
      </c>
      <c r="S1827" s="4" t="e">
        <f t="shared" si="114"/>
        <v>#NUM!</v>
      </c>
      <c r="T1827" s="4" t="str">
        <f t="shared" si="112"/>
        <v/>
      </c>
      <c r="U1827" s="4" t="s">
        <v>3763</v>
      </c>
    </row>
    <row r="1828" spans="1:21" x14ac:dyDescent="0.3">
      <c r="A1828" t="s">
        <v>2428</v>
      </c>
      <c r="B1828" s="1" t="s">
        <v>182</v>
      </c>
      <c r="C1828" s="1" t="s">
        <v>108</v>
      </c>
      <c r="D1828" s="1" t="s">
        <v>19</v>
      </c>
      <c r="E1828" s="2" t="s">
        <v>3662</v>
      </c>
      <c r="F1828" s="2" t="b">
        <f t="shared" si="115"/>
        <v>0</v>
      </c>
      <c r="G1828" s="2">
        <f t="shared" si="113"/>
        <v>41687</v>
      </c>
      <c r="H1828" s="1" t="s">
        <v>46</v>
      </c>
      <c r="I1828" s="1" t="s">
        <v>1043</v>
      </c>
      <c r="J1828" s="1">
        <v>500</v>
      </c>
      <c r="K1828" s="1">
        <v>350</v>
      </c>
      <c r="L1828" s="3">
        <v>0.3</v>
      </c>
      <c r="N1828" t="s">
        <v>3662</v>
      </c>
      <c r="P1828">
        <v>2</v>
      </c>
      <c r="Q1828">
        <v>17</v>
      </c>
      <c r="R1828">
        <v>2014</v>
      </c>
      <c r="S1828" s="4">
        <f t="shared" si="114"/>
        <v>41687</v>
      </c>
      <c r="T1828" s="4">
        <f t="shared" si="112"/>
        <v>41687</v>
      </c>
      <c r="U1828" s="4">
        <v>41687</v>
      </c>
    </row>
    <row r="1829" spans="1:21" x14ac:dyDescent="0.3">
      <c r="A1829" t="s">
        <v>2429</v>
      </c>
      <c r="B1829" s="1" t="s">
        <v>17</v>
      </c>
      <c r="C1829" s="1" t="s">
        <v>18</v>
      </c>
      <c r="D1829" s="1" t="s">
        <v>19</v>
      </c>
      <c r="E1829" s="2">
        <v>41674</v>
      </c>
      <c r="F1829" s="2" t="b">
        <f t="shared" si="115"/>
        <v>1</v>
      </c>
      <c r="G1829" s="2">
        <f t="shared" si="113"/>
        <v>41674</v>
      </c>
      <c r="H1829" s="1" t="s">
        <v>72</v>
      </c>
      <c r="I1829" s="1" t="s">
        <v>913</v>
      </c>
      <c r="J1829" s="1">
        <v>500</v>
      </c>
      <c r="K1829" s="1">
        <v>500</v>
      </c>
      <c r="L1829" s="3">
        <v>0</v>
      </c>
      <c r="N1829" t="s">
        <v>3763</v>
      </c>
      <c r="S1829" s="4" t="e">
        <f t="shared" si="114"/>
        <v>#NUM!</v>
      </c>
      <c r="T1829" s="4" t="str">
        <f t="shared" si="112"/>
        <v/>
      </c>
      <c r="U1829" s="4" t="s">
        <v>3763</v>
      </c>
    </row>
    <row r="1830" spans="1:21" x14ac:dyDescent="0.3">
      <c r="A1830" t="s">
        <v>2430</v>
      </c>
      <c r="B1830" s="1" t="s">
        <v>81</v>
      </c>
      <c r="C1830" s="1" t="s">
        <v>82</v>
      </c>
      <c r="D1830" s="1" t="s">
        <v>13</v>
      </c>
      <c r="E1830" s="2" t="s">
        <v>2961</v>
      </c>
      <c r="F1830" s="2" t="b">
        <f t="shared" si="115"/>
        <v>0</v>
      </c>
      <c r="G1830" s="2">
        <f t="shared" si="113"/>
        <v>43326</v>
      </c>
      <c r="H1830" s="1" t="s">
        <v>41</v>
      </c>
      <c r="I1830" s="1" t="s">
        <v>195</v>
      </c>
      <c r="J1830" s="1">
        <v>30</v>
      </c>
      <c r="K1830" s="1">
        <v>29</v>
      </c>
      <c r="L1830" s="3">
        <v>3.3300000000000003E-2</v>
      </c>
      <c r="N1830" t="s">
        <v>2961</v>
      </c>
      <c r="P1830">
        <v>8</v>
      </c>
      <c r="Q1830">
        <v>14</v>
      </c>
      <c r="R1830">
        <v>2018</v>
      </c>
      <c r="S1830" s="4">
        <f t="shared" si="114"/>
        <v>43326</v>
      </c>
      <c r="T1830" s="4">
        <f t="shared" si="112"/>
        <v>43326</v>
      </c>
      <c r="U1830" s="4">
        <v>43326</v>
      </c>
    </row>
    <row r="1831" spans="1:21" x14ac:dyDescent="0.3">
      <c r="A1831" t="s">
        <v>2431</v>
      </c>
      <c r="B1831" s="1" t="s">
        <v>400</v>
      </c>
      <c r="C1831" s="1" t="s">
        <v>401</v>
      </c>
      <c r="D1831" s="1" t="s">
        <v>13</v>
      </c>
      <c r="E1831" s="2">
        <v>41976</v>
      </c>
      <c r="F1831" s="2" t="b">
        <f t="shared" si="115"/>
        <v>1</v>
      </c>
      <c r="G1831" s="2">
        <f t="shared" si="113"/>
        <v>41976</v>
      </c>
      <c r="H1831" s="1" t="s">
        <v>46</v>
      </c>
      <c r="I1831" s="1" t="s">
        <v>443</v>
      </c>
      <c r="J1831" s="1">
        <v>500</v>
      </c>
      <c r="K1831" s="1">
        <v>300</v>
      </c>
      <c r="L1831" s="3">
        <v>0.4</v>
      </c>
      <c r="N1831" t="s">
        <v>3763</v>
      </c>
      <c r="S1831" s="4" t="e">
        <f t="shared" si="114"/>
        <v>#NUM!</v>
      </c>
      <c r="T1831" s="4" t="str">
        <f t="shared" si="112"/>
        <v/>
      </c>
      <c r="U1831" s="4" t="s">
        <v>3763</v>
      </c>
    </row>
    <row r="1832" spans="1:21" x14ac:dyDescent="0.3">
      <c r="A1832" t="s">
        <v>2432</v>
      </c>
      <c r="B1832" s="1" t="s">
        <v>39</v>
      </c>
      <c r="C1832" s="1" t="s">
        <v>40</v>
      </c>
      <c r="D1832" s="1" t="s">
        <v>35</v>
      </c>
      <c r="E1832" s="2" t="s">
        <v>3389</v>
      </c>
      <c r="F1832" s="2" t="b">
        <f t="shared" si="115"/>
        <v>0</v>
      </c>
      <c r="G1832" s="2">
        <f t="shared" si="113"/>
        <v>42945</v>
      </c>
      <c r="H1832" s="1" t="s">
        <v>104</v>
      </c>
      <c r="I1832" s="1" t="s">
        <v>1631</v>
      </c>
      <c r="J1832" s="1">
        <v>70</v>
      </c>
      <c r="K1832" s="1">
        <v>67</v>
      </c>
      <c r="L1832" s="3">
        <v>4.2900000000000001E-2</v>
      </c>
      <c r="N1832" t="s">
        <v>3389</v>
      </c>
      <c r="P1832">
        <v>7</v>
      </c>
      <c r="Q1832">
        <v>29</v>
      </c>
      <c r="R1832">
        <v>2017</v>
      </c>
      <c r="S1832" s="4">
        <f t="shared" si="114"/>
        <v>42945</v>
      </c>
      <c r="T1832" s="4">
        <f t="shared" si="112"/>
        <v>42945</v>
      </c>
      <c r="U1832" s="4">
        <v>42945</v>
      </c>
    </row>
    <row r="1833" spans="1:21" x14ac:dyDescent="0.3">
      <c r="A1833" t="s">
        <v>2433</v>
      </c>
      <c r="B1833" s="1" t="s">
        <v>134</v>
      </c>
      <c r="C1833" s="1" t="s">
        <v>92</v>
      </c>
      <c r="D1833" s="1" t="s">
        <v>35</v>
      </c>
      <c r="E1833" s="2">
        <v>42404</v>
      </c>
      <c r="F1833" s="2" t="b">
        <f t="shared" si="115"/>
        <v>1</v>
      </c>
      <c r="G1833" s="2">
        <f t="shared" si="113"/>
        <v>42404</v>
      </c>
      <c r="H1833" s="1" t="s">
        <v>104</v>
      </c>
      <c r="I1833" s="1" t="s">
        <v>849</v>
      </c>
      <c r="J1833" s="1">
        <v>70</v>
      </c>
      <c r="K1833" s="1">
        <v>61</v>
      </c>
      <c r="L1833" s="3">
        <v>0.12859999999999999</v>
      </c>
      <c r="N1833" t="s">
        <v>3763</v>
      </c>
      <c r="S1833" s="4" t="e">
        <f t="shared" si="114"/>
        <v>#NUM!</v>
      </c>
      <c r="T1833" s="4" t="str">
        <f t="shared" si="112"/>
        <v/>
      </c>
      <c r="U1833" s="4" t="s">
        <v>3763</v>
      </c>
    </row>
    <row r="1834" spans="1:21" x14ac:dyDescent="0.3">
      <c r="A1834" t="s">
        <v>2434</v>
      </c>
      <c r="B1834" s="1" t="s">
        <v>114</v>
      </c>
      <c r="C1834" s="1" t="s">
        <v>54</v>
      </c>
      <c r="D1834" s="1" t="s">
        <v>13</v>
      </c>
      <c r="E1834" s="2">
        <v>42867</v>
      </c>
      <c r="F1834" s="2" t="b">
        <f t="shared" si="115"/>
        <v>1</v>
      </c>
      <c r="G1834" s="2">
        <f t="shared" si="113"/>
        <v>42867</v>
      </c>
      <c r="H1834" s="1" t="s">
        <v>30</v>
      </c>
      <c r="I1834" s="1" t="s">
        <v>367</v>
      </c>
      <c r="J1834" s="1">
        <v>150</v>
      </c>
      <c r="K1834" s="1">
        <v>140</v>
      </c>
      <c r="L1834" s="3">
        <v>6.6699999999999995E-2</v>
      </c>
      <c r="N1834" t="s">
        <v>3763</v>
      </c>
      <c r="S1834" s="4" t="e">
        <f t="shared" si="114"/>
        <v>#NUM!</v>
      </c>
      <c r="T1834" s="4" t="str">
        <f t="shared" si="112"/>
        <v/>
      </c>
      <c r="U1834" s="4" t="s">
        <v>3763</v>
      </c>
    </row>
    <row r="1835" spans="1:21" x14ac:dyDescent="0.3">
      <c r="A1835" t="s">
        <v>2435</v>
      </c>
      <c r="B1835" s="1" t="s">
        <v>70</v>
      </c>
      <c r="C1835" s="1" t="s">
        <v>71</v>
      </c>
      <c r="D1835" s="1" t="s">
        <v>35</v>
      </c>
      <c r="E1835" s="2" t="s">
        <v>3663</v>
      </c>
      <c r="F1835" s="2" t="b">
        <f t="shared" si="115"/>
        <v>0</v>
      </c>
      <c r="G1835" s="2">
        <f t="shared" si="113"/>
        <v>42518</v>
      </c>
      <c r="H1835" s="1" t="s">
        <v>25</v>
      </c>
      <c r="I1835" s="1" t="s">
        <v>670</v>
      </c>
      <c r="J1835" s="1">
        <v>700</v>
      </c>
      <c r="K1835" s="1">
        <v>602</v>
      </c>
      <c r="L1835" s="3">
        <v>0.14000000000000001</v>
      </c>
      <c r="N1835" t="s">
        <v>3663</v>
      </c>
      <c r="P1835">
        <v>5</v>
      </c>
      <c r="Q1835">
        <v>28</v>
      </c>
      <c r="R1835">
        <v>2016</v>
      </c>
      <c r="S1835" s="4">
        <f t="shared" si="114"/>
        <v>42518</v>
      </c>
      <c r="T1835" s="4">
        <f t="shared" si="112"/>
        <v>42518</v>
      </c>
      <c r="U1835" s="4">
        <v>42518</v>
      </c>
    </row>
    <row r="1836" spans="1:21" x14ac:dyDescent="0.3">
      <c r="A1836" t="s">
        <v>2436</v>
      </c>
      <c r="B1836" s="1" t="s">
        <v>2170</v>
      </c>
      <c r="C1836" s="1" t="s">
        <v>18</v>
      </c>
      <c r="D1836" s="1" t="s">
        <v>19</v>
      </c>
      <c r="E1836" s="2" t="s">
        <v>3052</v>
      </c>
      <c r="F1836" s="2" t="b">
        <f t="shared" si="115"/>
        <v>0</v>
      </c>
      <c r="G1836" s="2">
        <f t="shared" si="113"/>
        <v>43343</v>
      </c>
      <c r="H1836" s="1" t="s">
        <v>14</v>
      </c>
      <c r="I1836" s="1" t="s">
        <v>2221</v>
      </c>
      <c r="J1836" s="1">
        <v>80</v>
      </c>
      <c r="K1836" s="1">
        <v>74</v>
      </c>
      <c r="L1836" s="3">
        <v>7.4999999999999997E-2</v>
      </c>
      <c r="N1836" t="s">
        <v>3052</v>
      </c>
      <c r="P1836">
        <v>8</v>
      </c>
      <c r="Q1836">
        <v>31</v>
      </c>
      <c r="R1836">
        <v>2018</v>
      </c>
      <c r="S1836" s="4">
        <f t="shared" si="114"/>
        <v>43343</v>
      </c>
      <c r="T1836" s="4">
        <f t="shared" si="112"/>
        <v>43343</v>
      </c>
      <c r="U1836" s="4">
        <v>43343</v>
      </c>
    </row>
    <row r="1837" spans="1:21" x14ac:dyDescent="0.3">
      <c r="A1837" t="s">
        <v>2437</v>
      </c>
      <c r="B1837" s="1" t="s">
        <v>49</v>
      </c>
      <c r="C1837" s="1" t="s">
        <v>50</v>
      </c>
      <c r="D1837" s="1" t="s">
        <v>24</v>
      </c>
      <c r="E1837" s="2" t="s">
        <v>3303</v>
      </c>
      <c r="F1837" s="2" t="b">
        <f t="shared" si="115"/>
        <v>0</v>
      </c>
      <c r="G1837" s="2">
        <f t="shared" si="113"/>
        <v>43399</v>
      </c>
      <c r="H1837" s="1" t="s">
        <v>25</v>
      </c>
      <c r="I1837" s="1" t="s">
        <v>1000</v>
      </c>
      <c r="J1837" s="1">
        <v>700</v>
      </c>
      <c r="K1837" s="1">
        <v>623</v>
      </c>
      <c r="L1837" s="3">
        <v>0.11</v>
      </c>
      <c r="N1837" t="s">
        <v>3303</v>
      </c>
      <c r="P1837">
        <v>10</v>
      </c>
      <c r="Q1837">
        <v>26</v>
      </c>
      <c r="R1837">
        <v>2018</v>
      </c>
      <c r="S1837" s="4">
        <f t="shared" si="114"/>
        <v>43399</v>
      </c>
      <c r="T1837" s="4">
        <f t="shared" si="112"/>
        <v>43399</v>
      </c>
      <c r="U1837" s="4">
        <v>43399</v>
      </c>
    </row>
    <row r="1838" spans="1:21" x14ac:dyDescent="0.3">
      <c r="A1838" t="s">
        <v>2438</v>
      </c>
      <c r="B1838" s="1" t="s">
        <v>77</v>
      </c>
      <c r="C1838" s="1" t="s">
        <v>78</v>
      </c>
      <c r="D1838" s="1" t="s">
        <v>35</v>
      </c>
      <c r="E1838" s="2">
        <v>41863</v>
      </c>
      <c r="F1838" s="2" t="b">
        <f t="shared" si="115"/>
        <v>1</v>
      </c>
      <c r="G1838" s="2">
        <f t="shared" si="113"/>
        <v>41863</v>
      </c>
      <c r="H1838" s="1" t="s">
        <v>46</v>
      </c>
      <c r="I1838" s="1" t="s">
        <v>2439</v>
      </c>
      <c r="J1838" s="1">
        <v>500</v>
      </c>
      <c r="K1838" s="1">
        <v>365</v>
      </c>
      <c r="L1838" s="3">
        <v>0.27</v>
      </c>
      <c r="N1838" t="s">
        <v>3763</v>
      </c>
      <c r="S1838" s="4" t="e">
        <f t="shared" si="114"/>
        <v>#NUM!</v>
      </c>
      <c r="T1838" s="4" t="str">
        <f t="shared" si="112"/>
        <v/>
      </c>
      <c r="U1838" s="4" t="s">
        <v>3763</v>
      </c>
    </row>
    <row r="1839" spans="1:21" x14ac:dyDescent="0.3">
      <c r="A1839" t="s">
        <v>2440</v>
      </c>
      <c r="B1839" s="1" t="s">
        <v>221</v>
      </c>
      <c r="C1839" s="1" t="s">
        <v>40</v>
      </c>
      <c r="D1839" s="1" t="s">
        <v>35</v>
      </c>
      <c r="E1839" s="2" t="s">
        <v>3295</v>
      </c>
      <c r="F1839" s="2" t="b">
        <f t="shared" si="115"/>
        <v>0</v>
      </c>
      <c r="G1839" s="2">
        <f t="shared" si="113"/>
        <v>41867</v>
      </c>
      <c r="H1839" s="1" t="s">
        <v>115</v>
      </c>
      <c r="I1839" s="1" t="s">
        <v>262</v>
      </c>
      <c r="J1839" s="1">
        <v>250</v>
      </c>
      <c r="K1839" s="1">
        <v>193</v>
      </c>
      <c r="L1839" s="3">
        <v>0.22800000000000001</v>
      </c>
      <c r="N1839" t="s">
        <v>3295</v>
      </c>
      <c r="P1839">
        <v>8</v>
      </c>
      <c r="Q1839">
        <v>16</v>
      </c>
      <c r="R1839">
        <v>2014</v>
      </c>
      <c r="S1839" s="4">
        <f t="shared" si="114"/>
        <v>41867</v>
      </c>
      <c r="T1839" s="4">
        <f t="shared" si="112"/>
        <v>41867</v>
      </c>
      <c r="U1839" s="4">
        <v>41867</v>
      </c>
    </row>
    <row r="1840" spans="1:21" x14ac:dyDescent="0.3">
      <c r="A1840" t="s">
        <v>2441</v>
      </c>
      <c r="B1840" s="1" t="s">
        <v>2243</v>
      </c>
      <c r="C1840" s="1" t="s">
        <v>108</v>
      </c>
      <c r="D1840" s="1" t="s">
        <v>19</v>
      </c>
      <c r="E1840" s="2">
        <v>41918</v>
      </c>
      <c r="F1840" s="2" t="b">
        <f t="shared" si="115"/>
        <v>1</v>
      </c>
      <c r="G1840" s="2">
        <f t="shared" si="113"/>
        <v>41918</v>
      </c>
      <c r="H1840" s="1" t="s">
        <v>36</v>
      </c>
      <c r="I1840" s="1" t="s">
        <v>2442</v>
      </c>
      <c r="J1840" s="1">
        <v>50</v>
      </c>
      <c r="K1840" s="1">
        <v>50</v>
      </c>
      <c r="L1840" s="3">
        <v>0</v>
      </c>
      <c r="N1840" t="s">
        <v>3763</v>
      </c>
      <c r="S1840" s="4" t="e">
        <f t="shared" si="114"/>
        <v>#NUM!</v>
      </c>
      <c r="T1840" s="4" t="str">
        <f t="shared" si="112"/>
        <v/>
      </c>
      <c r="U1840" s="4" t="s">
        <v>3763</v>
      </c>
    </row>
    <row r="1841" spans="1:21" x14ac:dyDescent="0.3">
      <c r="A1841" t="s">
        <v>2443</v>
      </c>
      <c r="B1841" s="1" t="s">
        <v>2243</v>
      </c>
      <c r="C1841" s="1" t="s">
        <v>108</v>
      </c>
      <c r="D1841" s="1" t="s">
        <v>19</v>
      </c>
      <c r="E1841" s="2" t="s">
        <v>3628</v>
      </c>
      <c r="F1841" s="2" t="b">
        <f t="shared" si="115"/>
        <v>0</v>
      </c>
      <c r="G1841" s="2">
        <f t="shared" si="113"/>
        <v>42426</v>
      </c>
      <c r="H1841" s="1" t="s">
        <v>25</v>
      </c>
      <c r="I1841" s="1" t="s">
        <v>2244</v>
      </c>
      <c r="J1841" s="1">
        <v>700</v>
      </c>
      <c r="K1841" s="1">
        <v>644</v>
      </c>
      <c r="L1841" s="3">
        <v>0.08</v>
      </c>
      <c r="N1841" t="s">
        <v>3628</v>
      </c>
      <c r="P1841">
        <v>2</v>
      </c>
      <c r="Q1841">
        <v>26</v>
      </c>
      <c r="R1841">
        <v>2016</v>
      </c>
      <c r="S1841" s="4">
        <f t="shared" si="114"/>
        <v>42426</v>
      </c>
      <c r="T1841" s="4">
        <f t="shared" si="112"/>
        <v>42426</v>
      </c>
      <c r="U1841" s="4">
        <v>42426</v>
      </c>
    </row>
    <row r="1842" spans="1:21" x14ac:dyDescent="0.3">
      <c r="A1842" t="s">
        <v>2444</v>
      </c>
      <c r="B1842" s="1" t="s">
        <v>127</v>
      </c>
      <c r="C1842" s="1" t="s">
        <v>128</v>
      </c>
      <c r="D1842" s="1" t="s">
        <v>13</v>
      </c>
      <c r="E1842" s="2">
        <v>42928</v>
      </c>
      <c r="F1842" s="2" t="b">
        <f t="shared" si="115"/>
        <v>1</v>
      </c>
      <c r="G1842" s="2">
        <f t="shared" si="113"/>
        <v>42928</v>
      </c>
      <c r="H1842" s="1" t="s">
        <v>25</v>
      </c>
      <c r="I1842" s="1" t="s">
        <v>385</v>
      </c>
      <c r="J1842" s="1">
        <v>700</v>
      </c>
      <c r="K1842" s="1">
        <v>686</v>
      </c>
      <c r="L1842" s="3">
        <v>0.02</v>
      </c>
      <c r="N1842" t="s">
        <v>3763</v>
      </c>
      <c r="S1842" s="4" t="e">
        <f t="shared" si="114"/>
        <v>#NUM!</v>
      </c>
      <c r="T1842" s="4" t="str">
        <f t="shared" si="112"/>
        <v/>
      </c>
      <c r="U1842" s="4" t="s">
        <v>3763</v>
      </c>
    </row>
    <row r="1843" spans="1:21" x14ac:dyDescent="0.3">
      <c r="A1843" t="s">
        <v>2445</v>
      </c>
      <c r="B1843" s="1" t="s">
        <v>49</v>
      </c>
      <c r="C1843" s="1" t="s">
        <v>50</v>
      </c>
      <c r="D1843" s="1" t="s">
        <v>24</v>
      </c>
      <c r="E1843" s="2" t="s">
        <v>3664</v>
      </c>
      <c r="F1843" s="2" t="b">
        <f t="shared" si="115"/>
        <v>0</v>
      </c>
      <c r="G1843" s="2">
        <f t="shared" si="113"/>
        <v>43366</v>
      </c>
      <c r="H1843" s="1" t="s">
        <v>115</v>
      </c>
      <c r="I1843" s="1" t="s">
        <v>658</v>
      </c>
      <c r="J1843" s="1">
        <v>250</v>
      </c>
      <c r="K1843" s="1">
        <v>220</v>
      </c>
      <c r="L1843" s="3">
        <v>0.12</v>
      </c>
      <c r="N1843" t="s">
        <v>3664</v>
      </c>
      <c r="P1843">
        <v>9</v>
      </c>
      <c r="Q1843">
        <v>23</v>
      </c>
      <c r="R1843">
        <v>2018</v>
      </c>
      <c r="S1843" s="4">
        <f t="shared" si="114"/>
        <v>43366</v>
      </c>
      <c r="T1843" s="4">
        <f t="shared" si="112"/>
        <v>43366</v>
      </c>
      <c r="U1843" s="4">
        <v>43366</v>
      </c>
    </row>
    <row r="1844" spans="1:21" x14ac:dyDescent="0.3">
      <c r="A1844" t="s">
        <v>2446</v>
      </c>
      <c r="B1844" s="1" t="s">
        <v>64</v>
      </c>
      <c r="C1844" s="1" t="s">
        <v>65</v>
      </c>
      <c r="D1844" s="1" t="s">
        <v>35</v>
      </c>
      <c r="E1844" s="2">
        <v>41885</v>
      </c>
      <c r="F1844" s="2" t="b">
        <f t="shared" si="115"/>
        <v>1</v>
      </c>
      <c r="G1844" s="2">
        <f t="shared" si="113"/>
        <v>41885</v>
      </c>
      <c r="H1844" s="1" t="s">
        <v>55</v>
      </c>
      <c r="I1844" s="1" t="s">
        <v>872</v>
      </c>
      <c r="J1844" s="1">
        <v>800</v>
      </c>
      <c r="K1844" s="1">
        <v>688</v>
      </c>
      <c r="L1844" s="3">
        <v>0.14000000000000001</v>
      </c>
      <c r="N1844" t="s">
        <v>3763</v>
      </c>
      <c r="S1844" s="4" t="e">
        <f t="shared" si="114"/>
        <v>#NUM!</v>
      </c>
      <c r="T1844" s="4" t="str">
        <f t="shared" si="112"/>
        <v/>
      </c>
      <c r="U1844" s="4" t="s">
        <v>3763</v>
      </c>
    </row>
    <row r="1845" spans="1:21" x14ac:dyDescent="0.3">
      <c r="A1845" t="s">
        <v>2447</v>
      </c>
      <c r="B1845" s="1" t="s">
        <v>127</v>
      </c>
      <c r="C1845" s="1" t="s">
        <v>128</v>
      </c>
      <c r="D1845" s="1" t="s">
        <v>13</v>
      </c>
      <c r="E1845" s="2" t="s">
        <v>3239</v>
      </c>
      <c r="F1845" s="2" t="b">
        <f t="shared" si="115"/>
        <v>0</v>
      </c>
      <c r="G1845" s="2">
        <f t="shared" si="113"/>
        <v>42202</v>
      </c>
      <c r="H1845" s="1" t="s">
        <v>72</v>
      </c>
      <c r="I1845" s="1" t="s">
        <v>233</v>
      </c>
      <c r="J1845" s="1">
        <v>500</v>
      </c>
      <c r="K1845" s="1">
        <v>490</v>
      </c>
      <c r="L1845" s="3">
        <v>0.02</v>
      </c>
      <c r="N1845" t="s">
        <v>3239</v>
      </c>
      <c r="P1845">
        <v>7</v>
      </c>
      <c r="Q1845">
        <v>17</v>
      </c>
      <c r="R1845">
        <v>2015</v>
      </c>
      <c r="S1845" s="4">
        <f t="shared" si="114"/>
        <v>42202</v>
      </c>
      <c r="T1845" s="4">
        <f t="shared" si="112"/>
        <v>42202</v>
      </c>
      <c r="U1845" s="4">
        <v>42202</v>
      </c>
    </row>
    <row r="1846" spans="1:21" x14ac:dyDescent="0.3">
      <c r="A1846" t="s">
        <v>2448</v>
      </c>
      <c r="B1846" s="1" t="s">
        <v>22</v>
      </c>
      <c r="C1846" s="1" t="s">
        <v>23</v>
      </c>
      <c r="D1846" s="1" t="s">
        <v>24</v>
      </c>
      <c r="E1846" s="2">
        <v>43168</v>
      </c>
      <c r="F1846" s="2" t="b">
        <f t="shared" si="115"/>
        <v>1</v>
      </c>
      <c r="G1846" s="2">
        <f t="shared" si="113"/>
        <v>43168</v>
      </c>
      <c r="H1846" s="1" t="s">
        <v>30</v>
      </c>
      <c r="I1846" s="1" t="s">
        <v>624</v>
      </c>
      <c r="J1846" s="1">
        <v>150</v>
      </c>
      <c r="K1846" s="1">
        <v>144</v>
      </c>
      <c r="L1846" s="3">
        <v>0.04</v>
      </c>
      <c r="N1846" t="s">
        <v>3763</v>
      </c>
      <c r="S1846" s="4" t="e">
        <f t="shared" si="114"/>
        <v>#NUM!</v>
      </c>
      <c r="T1846" s="4" t="str">
        <f t="shared" si="112"/>
        <v/>
      </c>
      <c r="U1846" s="4" t="s">
        <v>3763</v>
      </c>
    </row>
    <row r="1847" spans="1:21" x14ac:dyDescent="0.3">
      <c r="A1847" t="s">
        <v>2449</v>
      </c>
      <c r="B1847" s="1" t="s">
        <v>154</v>
      </c>
      <c r="C1847" s="1" t="s">
        <v>108</v>
      </c>
      <c r="D1847" s="1" t="s">
        <v>19</v>
      </c>
      <c r="E1847" s="2" t="s">
        <v>3159</v>
      </c>
      <c r="F1847" s="2" t="b">
        <f t="shared" si="115"/>
        <v>0</v>
      </c>
      <c r="G1847" s="2">
        <f t="shared" si="113"/>
        <v>41817</v>
      </c>
      <c r="H1847" s="1" t="s">
        <v>25</v>
      </c>
      <c r="I1847" s="1" t="s">
        <v>1004</v>
      </c>
      <c r="J1847" s="1">
        <v>700</v>
      </c>
      <c r="K1847" s="1">
        <v>525</v>
      </c>
      <c r="L1847" s="3">
        <v>0.25</v>
      </c>
      <c r="N1847" t="s">
        <v>3159</v>
      </c>
      <c r="P1847">
        <v>6</v>
      </c>
      <c r="Q1847">
        <v>27</v>
      </c>
      <c r="R1847">
        <v>2014</v>
      </c>
      <c r="S1847" s="4">
        <f t="shared" si="114"/>
        <v>41817</v>
      </c>
      <c r="T1847" s="4">
        <f t="shared" si="112"/>
        <v>41817</v>
      </c>
      <c r="U1847" s="4">
        <v>41817</v>
      </c>
    </row>
    <row r="1848" spans="1:21" x14ac:dyDescent="0.3">
      <c r="A1848" t="s">
        <v>2450</v>
      </c>
      <c r="B1848" s="1" t="s">
        <v>81</v>
      </c>
      <c r="C1848" s="1" t="s">
        <v>82</v>
      </c>
      <c r="D1848" s="1" t="s">
        <v>13</v>
      </c>
      <c r="E1848" s="2" t="s">
        <v>3145</v>
      </c>
      <c r="F1848" s="2" t="b">
        <f t="shared" si="115"/>
        <v>0</v>
      </c>
      <c r="G1848" s="2">
        <f t="shared" si="113"/>
        <v>41690</v>
      </c>
      <c r="H1848" s="1" t="s">
        <v>72</v>
      </c>
      <c r="I1848" s="1" t="s">
        <v>1047</v>
      </c>
      <c r="J1848" s="1">
        <v>500</v>
      </c>
      <c r="K1848" s="1">
        <v>490</v>
      </c>
      <c r="L1848" s="3">
        <v>0.02</v>
      </c>
      <c r="N1848" t="s">
        <v>3145</v>
      </c>
      <c r="P1848">
        <v>2</v>
      </c>
      <c r="Q1848">
        <v>20</v>
      </c>
      <c r="R1848">
        <v>2014</v>
      </c>
      <c r="S1848" s="4">
        <f t="shared" si="114"/>
        <v>41690</v>
      </c>
      <c r="T1848" s="4">
        <f t="shared" si="112"/>
        <v>41690</v>
      </c>
      <c r="U1848" s="4">
        <v>41690</v>
      </c>
    </row>
    <row r="1849" spans="1:21" x14ac:dyDescent="0.3">
      <c r="A1849" t="s">
        <v>2451</v>
      </c>
      <c r="B1849" s="1" t="s">
        <v>255</v>
      </c>
      <c r="C1849" s="1" t="s">
        <v>256</v>
      </c>
      <c r="D1849" s="1" t="s">
        <v>13</v>
      </c>
      <c r="E1849" s="2">
        <v>42861</v>
      </c>
      <c r="F1849" s="2" t="b">
        <f t="shared" si="115"/>
        <v>1</v>
      </c>
      <c r="G1849" s="2">
        <f t="shared" si="113"/>
        <v>42861</v>
      </c>
      <c r="H1849" s="1" t="s">
        <v>30</v>
      </c>
      <c r="I1849" s="1" t="s">
        <v>257</v>
      </c>
      <c r="J1849" s="1">
        <v>150</v>
      </c>
      <c r="K1849" s="1">
        <v>144</v>
      </c>
      <c r="L1849" s="3">
        <v>0.04</v>
      </c>
      <c r="N1849" t="s">
        <v>3763</v>
      </c>
      <c r="S1849" s="4" t="e">
        <f t="shared" si="114"/>
        <v>#NUM!</v>
      </c>
      <c r="T1849" s="4" t="str">
        <f t="shared" si="112"/>
        <v/>
      </c>
      <c r="U1849" s="4" t="s">
        <v>3763</v>
      </c>
    </row>
    <row r="1850" spans="1:21" x14ac:dyDescent="0.3">
      <c r="A1850" t="s">
        <v>2452</v>
      </c>
      <c r="B1850" s="1" t="s">
        <v>59</v>
      </c>
      <c r="C1850" s="1" t="s">
        <v>60</v>
      </c>
      <c r="D1850" s="1" t="s">
        <v>13</v>
      </c>
      <c r="E1850" s="2" t="s">
        <v>3653</v>
      </c>
      <c r="F1850" s="2" t="b">
        <f t="shared" si="115"/>
        <v>0</v>
      </c>
      <c r="G1850" s="2">
        <f t="shared" si="113"/>
        <v>42847</v>
      </c>
      <c r="H1850" s="1" t="s">
        <v>55</v>
      </c>
      <c r="I1850" s="1" t="s">
        <v>312</v>
      </c>
      <c r="J1850" s="1">
        <v>800</v>
      </c>
      <c r="K1850" s="1">
        <v>456</v>
      </c>
      <c r="L1850" s="3">
        <v>0.43</v>
      </c>
      <c r="N1850" t="s">
        <v>3653</v>
      </c>
      <c r="P1850">
        <v>4</v>
      </c>
      <c r="Q1850">
        <v>22</v>
      </c>
      <c r="R1850">
        <v>2017</v>
      </c>
      <c r="S1850" s="4">
        <f t="shared" si="114"/>
        <v>42847</v>
      </c>
      <c r="T1850" s="4">
        <f t="shared" si="112"/>
        <v>42847</v>
      </c>
      <c r="U1850" s="4">
        <v>42847</v>
      </c>
    </row>
    <row r="1851" spans="1:21" x14ac:dyDescent="0.3">
      <c r="A1851" t="s">
        <v>2453</v>
      </c>
      <c r="B1851" s="1" t="s">
        <v>85</v>
      </c>
      <c r="C1851" s="1" t="s">
        <v>86</v>
      </c>
      <c r="D1851" s="1" t="s">
        <v>13</v>
      </c>
      <c r="E1851" s="2" t="s">
        <v>3443</v>
      </c>
      <c r="F1851" s="2" t="b">
        <f t="shared" si="115"/>
        <v>0</v>
      </c>
      <c r="G1851" s="2">
        <f t="shared" si="113"/>
        <v>42389</v>
      </c>
      <c r="H1851" s="1" t="s">
        <v>46</v>
      </c>
      <c r="I1851" s="1" t="s">
        <v>1249</v>
      </c>
      <c r="J1851" s="1">
        <v>500</v>
      </c>
      <c r="K1851" s="1">
        <v>465</v>
      </c>
      <c r="L1851" s="3">
        <v>7.0000000000000007E-2</v>
      </c>
      <c r="N1851" t="s">
        <v>3443</v>
      </c>
      <c r="P1851">
        <v>1</v>
      </c>
      <c r="Q1851">
        <v>20</v>
      </c>
      <c r="R1851">
        <v>2016</v>
      </c>
      <c r="S1851" s="4">
        <f t="shared" si="114"/>
        <v>42389</v>
      </c>
      <c r="T1851" s="4">
        <f t="shared" si="112"/>
        <v>42389</v>
      </c>
      <c r="U1851" s="4">
        <v>42389</v>
      </c>
    </row>
    <row r="1852" spans="1:21" x14ac:dyDescent="0.3">
      <c r="A1852" t="s">
        <v>2454</v>
      </c>
      <c r="B1852" s="1" t="s">
        <v>150</v>
      </c>
      <c r="C1852" s="1" t="s">
        <v>151</v>
      </c>
      <c r="D1852" s="1" t="s">
        <v>13</v>
      </c>
      <c r="E1852" s="2" t="s">
        <v>3665</v>
      </c>
      <c r="F1852" s="2" t="b">
        <f t="shared" si="115"/>
        <v>0</v>
      </c>
      <c r="G1852" s="2">
        <f t="shared" si="113"/>
        <v>42078</v>
      </c>
      <c r="H1852" s="1" t="s">
        <v>72</v>
      </c>
      <c r="I1852" s="1" t="s">
        <v>824</v>
      </c>
      <c r="J1852" s="1">
        <v>500</v>
      </c>
      <c r="K1852" s="1">
        <v>495</v>
      </c>
      <c r="L1852" s="3">
        <v>0.01</v>
      </c>
      <c r="N1852" t="s">
        <v>3665</v>
      </c>
      <c r="P1852">
        <v>3</v>
      </c>
      <c r="Q1852">
        <v>15</v>
      </c>
      <c r="R1852">
        <v>2015</v>
      </c>
      <c r="S1852" s="4">
        <f t="shared" si="114"/>
        <v>42078</v>
      </c>
      <c r="T1852" s="4">
        <f t="shared" si="112"/>
        <v>42078</v>
      </c>
      <c r="U1852" s="4">
        <v>42078</v>
      </c>
    </row>
    <row r="1853" spans="1:21" x14ac:dyDescent="0.3">
      <c r="A1853" t="s">
        <v>2455</v>
      </c>
      <c r="B1853" s="1" t="s">
        <v>11</v>
      </c>
      <c r="C1853" s="1" t="s">
        <v>12</v>
      </c>
      <c r="D1853" s="1" t="s">
        <v>13</v>
      </c>
      <c r="E1853" s="2" t="s">
        <v>3062</v>
      </c>
      <c r="F1853" s="2" t="b">
        <f t="shared" si="115"/>
        <v>0</v>
      </c>
      <c r="G1853" s="2">
        <f t="shared" si="113"/>
        <v>42120</v>
      </c>
      <c r="H1853" s="1" t="s">
        <v>36</v>
      </c>
      <c r="I1853" s="1" t="s">
        <v>276</v>
      </c>
      <c r="J1853" s="1">
        <v>50</v>
      </c>
      <c r="K1853" s="1">
        <v>49</v>
      </c>
      <c r="L1853" s="3">
        <v>0.02</v>
      </c>
      <c r="N1853" t="s">
        <v>3062</v>
      </c>
      <c r="P1853">
        <v>4</v>
      </c>
      <c r="Q1853">
        <v>26</v>
      </c>
      <c r="R1853">
        <v>2015</v>
      </c>
      <c r="S1853" s="4">
        <f t="shared" si="114"/>
        <v>42120</v>
      </c>
      <c r="T1853" s="4">
        <f t="shared" si="112"/>
        <v>42120</v>
      </c>
      <c r="U1853" s="4">
        <v>42120</v>
      </c>
    </row>
    <row r="1854" spans="1:21" x14ac:dyDescent="0.3">
      <c r="A1854" t="s">
        <v>2456</v>
      </c>
      <c r="B1854" s="1" t="s">
        <v>2170</v>
      </c>
      <c r="C1854" s="1" t="s">
        <v>18</v>
      </c>
      <c r="D1854" s="1" t="s">
        <v>19</v>
      </c>
      <c r="E1854" s="2" t="s">
        <v>3666</v>
      </c>
      <c r="F1854" s="2" t="b">
        <f t="shared" si="115"/>
        <v>0</v>
      </c>
      <c r="G1854" s="2">
        <f t="shared" si="113"/>
        <v>42725</v>
      </c>
      <c r="H1854" s="1" t="s">
        <v>14</v>
      </c>
      <c r="I1854" s="1" t="s">
        <v>2457</v>
      </c>
      <c r="J1854" s="1">
        <v>80</v>
      </c>
      <c r="K1854" s="1">
        <v>78</v>
      </c>
      <c r="L1854" s="3">
        <v>2.5000000000000001E-2</v>
      </c>
      <c r="N1854" t="s">
        <v>3666</v>
      </c>
      <c r="P1854">
        <v>12</v>
      </c>
      <c r="Q1854">
        <v>21</v>
      </c>
      <c r="R1854">
        <v>2016</v>
      </c>
      <c r="S1854" s="4">
        <f t="shared" si="114"/>
        <v>42725</v>
      </c>
      <c r="T1854" s="4">
        <f t="shared" si="112"/>
        <v>42725</v>
      </c>
      <c r="U1854" s="4">
        <v>42725</v>
      </c>
    </row>
    <row r="1855" spans="1:21" x14ac:dyDescent="0.3">
      <c r="A1855" t="s">
        <v>2458</v>
      </c>
      <c r="B1855" s="1" t="s">
        <v>205</v>
      </c>
      <c r="C1855" s="1" t="s">
        <v>206</v>
      </c>
      <c r="D1855" s="1" t="s">
        <v>24</v>
      </c>
      <c r="E1855" s="2">
        <v>41799</v>
      </c>
      <c r="F1855" s="2" t="b">
        <f t="shared" si="115"/>
        <v>1</v>
      </c>
      <c r="G1855" s="2">
        <f t="shared" si="113"/>
        <v>41799</v>
      </c>
      <c r="H1855" s="1" t="s">
        <v>104</v>
      </c>
      <c r="I1855" s="1" t="s">
        <v>596</v>
      </c>
      <c r="J1855" s="1">
        <v>70</v>
      </c>
      <c r="K1855" s="1">
        <v>52</v>
      </c>
      <c r="L1855" s="3">
        <v>0.2571</v>
      </c>
      <c r="N1855" t="s">
        <v>3763</v>
      </c>
      <c r="S1855" s="4" t="e">
        <f t="shared" si="114"/>
        <v>#NUM!</v>
      </c>
      <c r="T1855" s="4" t="str">
        <f t="shared" si="112"/>
        <v/>
      </c>
      <c r="U1855" s="4" t="s">
        <v>3763</v>
      </c>
    </row>
    <row r="1856" spans="1:21" x14ac:dyDescent="0.3">
      <c r="A1856" t="s">
        <v>2459</v>
      </c>
      <c r="B1856" s="1" t="s">
        <v>270</v>
      </c>
      <c r="C1856" s="1" t="s">
        <v>271</v>
      </c>
      <c r="D1856" s="1" t="s">
        <v>35</v>
      </c>
      <c r="E1856" s="2" t="s">
        <v>3667</v>
      </c>
      <c r="F1856" s="2" t="b">
        <f t="shared" si="115"/>
        <v>0</v>
      </c>
      <c r="G1856" s="2">
        <f t="shared" si="113"/>
        <v>42911</v>
      </c>
      <c r="H1856" s="1" t="s">
        <v>30</v>
      </c>
      <c r="I1856" s="1" t="s">
        <v>715</v>
      </c>
      <c r="J1856" s="1">
        <v>150</v>
      </c>
      <c r="K1856" s="1">
        <v>144</v>
      </c>
      <c r="L1856" s="3">
        <v>0.04</v>
      </c>
      <c r="N1856" t="s">
        <v>3667</v>
      </c>
      <c r="P1856">
        <v>6</v>
      </c>
      <c r="Q1856">
        <v>25</v>
      </c>
      <c r="R1856">
        <v>2017</v>
      </c>
      <c r="S1856" s="4">
        <f t="shared" si="114"/>
        <v>42911</v>
      </c>
      <c r="T1856" s="4">
        <f t="shared" si="112"/>
        <v>42911</v>
      </c>
      <c r="U1856" s="4">
        <v>42911</v>
      </c>
    </row>
    <row r="1857" spans="1:21" x14ac:dyDescent="0.3">
      <c r="A1857" t="s">
        <v>2460</v>
      </c>
      <c r="B1857" s="1" t="s">
        <v>85</v>
      </c>
      <c r="C1857" s="1" t="s">
        <v>86</v>
      </c>
      <c r="D1857" s="1" t="s">
        <v>13</v>
      </c>
      <c r="E1857" s="2">
        <v>42593</v>
      </c>
      <c r="F1857" s="2" t="b">
        <f t="shared" si="115"/>
        <v>1</v>
      </c>
      <c r="G1857" s="2">
        <f t="shared" si="113"/>
        <v>42593</v>
      </c>
      <c r="H1857" s="1" t="s">
        <v>61</v>
      </c>
      <c r="I1857" s="1" t="s">
        <v>87</v>
      </c>
      <c r="J1857" s="1">
        <v>1000</v>
      </c>
      <c r="K1857" s="1">
        <v>560</v>
      </c>
      <c r="L1857" s="3">
        <v>0.44</v>
      </c>
      <c r="N1857" t="s">
        <v>3763</v>
      </c>
      <c r="S1857" s="4" t="e">
        <f t="shared" si="114"/>
        <v>#NUM!</v>
      </c>
      <c r="T1857" s="4" t="str">
        <f t="shared" si="112"/>
        <v/>
      </c>
      <c r="U1857" s="4" t="s">
        <v>3763</v>
      </c>
    </row>
    <row r="1858" spans="1:21" x14ac:dyDescent="0.3">
      <c r="A1858" t="s">
        <v>2461</v>
      </c>
      <c r="B1858" s="1" t="s">
        <v>324</v>
      </c>
      <c r="C1858" s="1" t="s">
        <v>325</v>
      </c>
      <c r="D1858" s="1" t="s">
        <v>13</v>
      </c>
      <c r="E1858" s="2" t="s">
        <v>3640</v>
      </c>
      <c r="F1858" s="2" t="b">
        <f t="shared" si="115"/>
        <v>0</v>
      </c>
      <c r="G1858" s="2">
        <f t="shared" si="113"/>
        <v>43129</v>
      </c>
      <c r="H1858" s="1" t="s">
        <v>46</v>
      </c>
      <c r="I1858" s="1" t="s">
        <v>453</v>
      </c>
      <c r="J1858" s="1">
        <v>500</v>
      </c>
      <c r="K1858" s="1">
        <v>490</v>
      </c>
      <c r="L1858" s="3">
        <v>0.02</v>
      </c>
      <c r="N1858" t="s">
        <v>3640</v>
      </c>
      <c r="P1858">
        <v>1</v>
      </c>
      <c r="Q1858">
        <v>29</v>
      </c>
      <c r="R1858">
        <v>2018</v>
      </c>
      <c r="S1858" s="4">
        <f t="shared" si="114"/>
        <v>43129</v>
      </c>
      <c r="T1858" s="4">
        <f t="shared" si="112"/>
        <v>43129</v>
      </c>
      <c r="U1858" s="4">
        <v>43129</v>
      </c>
    </row>
    <row r="1859" spans="1:21" x14ac:dyDescent="0.3">
      <c r="A1859" t="s">
        <v>2462</v>
      </c>
      <c r="B1859" s="1" t="s">
        <v>103</v>
      </c>
      <c r="C1859" s="1" t="s">
        <v>71</v>
      </c>
      <c r="D1859" s="1" t="s">
        <v>35</v>
      </c>
      <c r="E1859" s="2" t="s">
        <v>3347</v>
      </c>
      <c r="F1859" s="2" t="b">
        <f t="shared" si="115"/>
        <v>0</v>
      </c>
      <c r="G1859" s="2">
        <f t="shared" si="113"/>
        <v>43465</v>
      </c>
      <c r="H1859" s="1" t="s">
        <v>14</v>
      </c>
      <c r="I1859" s="1" t="s">
        <v>727</v>
      </c>
      <c r="J1859" s="1">
        <v>80</v>
      </c>
      <c r="K1859" s="1">
        <v>76</v>
      </c>
      <c r="L1859" s="3">
        <v>0.05</v>
      </c>
      <c r="N1859" t="s">
        <v>3347</v>
      </c>
      <c r="P1859">
        <v>12</v>
      </c>
      <c r="Q1859">
        <v>31</v>
      </c>
      <c r="R1859">
        <v>2018</v>
      </c>
      <c r="S1859" s="4">
        <f t="shared" si="114"/>
        <v>43465</v>
      </c>
      <c r="T1859" s="4">
        <f t="shared" ref="T1859:T1922" si="116">IF(AND(P1859&lt;&gt;"",Q1859&lt;&gt;"",R1859&lt;&gt;""),IFERROR(DATE(R1859,P1859,Q1859),""),"")</f>
        <v>43465</v>
      </c>
      <c r="U1859" s="4">
        <v>43465</v>
      </c>
    </row>
    <row r="1860" spans="1:21" x14ac:dyDescent="0.3">
      <c r="A1860" t="s">
        <v>2463</v>
      </c>
      <c r="B1860" s="1" t="s">
        <v>241</v>
      </c>
      <c r="C1860" s="1" t="s">
        <v>242</v>
      </c>
      <c r="D1860" s="1" t="s">
        <v>13</v>
      </c>
      <c r="E1860" s="2" t="s">
        <v>3353</v>
      </c>
      <c r="F1860" s="2" t="b">
        <f t="shared" si="115"/>
        <v>0</v>
      </c>
      <c r="G1860" s="2">
        <f t="shared" ref="G1860:G1923" si="117">IF(F1860=TRUE,E1860,U1860)</f>
        <v>43025</v>
      </c>
      <c r="H1860" s="1" t="s">
        <v>122</v>
      </c>
      <c r="I1860" s="1" t="s">
        <v>626</v>
      </c>
      <c r="J1860" s="1">
        <v>50</v>
      </c>
      <c r="K1860" s="1">
        <v>45</v>
      </c>
      <c r="L1860" s="3">
        <v>0.1</v>
      </c>
      <c r="N1860" t="s">
        <v>3353</v>
      </c>
      <c r="P1860">
        <v>10</v>
      </c>
      <c r="Q1860">
        <v>17</v>
      </c>
      <c r="R1860">
        <v>2017</v>
      </c>
      <c r="S1860" s="4">
        <f t="shared" ref="S1860:S1923" si="118">DATE(R1860,P1860,Q1860)</f>
        <v>43025</v>
      </c>
      <c r="T1860" s="4">
        <f t="shared" si="116"/>
        <v>43025</v>
      </c>
      <c r="U1860" s="4">
        <v>43025</v>
      </c>
    </row>
    <row r="1861" spans="1:21" x14ac:dyDescent="0.3">
      <c r="A1861" t="s">
        <v>2464</v>
      </c>
      <c r="B1861" s="1" t="s">
        <v>99</v>
      </c>
      <c r="C1861" s="1" t="s">
        <v>100</v>
      </c>
      <c r="D1861" s="1" t="s">
        <v>13</v>
      </c>
      <c r="E1861" s="2" t="s">
        <v>3668</v>
      </c>
      <c r="F1861" s="2" t="b">
        <f t="shared" ref="F1861:F1924" si="119">ISNUMBER(E1861)</f>
        <v>0</v>
      </c>
      <c r="G1861" s="2">
        <f t="shared" si="117"/>
        <v>42510</v>
      </c>
      <c r="H1861" s="1" t="s">
        <v>25</v>
      </c>
      <c r="I1861" s="1" t="s">
        <v>948</v>
      </c>
      <c r="J1861" s="1">
        <v>700</v>
      </c>
      <c r="K1861" s="1">
        <v>630</v>
      </c>
      <c r="L1861" s="3">
        <v>0.1</v>
      </c>
      <c r="N1861" t="s">
        <v>3668</v>
      </c>
      <c r="P1861">
        <v>5</v>
      </c>
      <c r="Q1861">
        <v>20</v>
      </c>
      <c r="R1861">
        <v>2016</v>
      </c>
      <c r="S1861" s="4">
        <f t="shared" si="118"/>
        <v>42510</v>
      </c>
      <c r="T1861" s="4">
        <f t="shared" si="116"/>
        <v>42510</v>
      </c>
      <c r="U1861" s="4">
        <v>42510</v>
      </c>
    </row>
    <row r="1862" spans="1:21" x14ac:dyDescent="0.3">
      <c r="A1862" t="s">
        <v>2465</v>
      </c>
      <c r="B1862" s="1" t="s">
        <v>131</v>
      </c>
      <c r="C1862" s="1" t="s">
        <v>108</v>
      </c>
      <c r="D1862" s="1" t="s">
        <v>19</v>
      </c>
      <c r="E1862" s="2">
        <v>43192</v>
      </c>
      <c r="F1862" s="2" t="b">
        <f t="shared" si="119"/>
        <v>1</v>
      </c>
      <c r="G1862" s="2">
        <f t="shared" si="117"/>
        <v>43192</v>
      </c>
      <c r="H1862" s="1" t="s">
        <v>36</v>
      </c>
      <c r="I1862" s="1" t="s">
        <v>546</v>
      </c>
      <c r="J1862" s="1">
        <v>50</v>
      </c>
      <c r="K1862" s="1">
        <v>45</v>
      </c>
      <c r="L1862" s="3">
        <v>0.1</v>
      </c>
      <c r="N1862" t="s">
        <v>3763</v>
      </c>
      <c r="S1862" s="4" t="e">
        <f t="shared" si="118"/>
        <v>#NUM!</v>
      </c>
      <c r="T1862" s="4" t="str">
        <f t="shared" si="116"/>
        <v/>
      </c>
      <c r="U1862" s="4" t="s">
        <v>3763</v>
      </c>
    </row>
    <row r="1863" spans="1:21" x14ac:dyDescent="0.3">
      <c r="A1863" t="s">
        <v>2466</v>
      </c>
      <c r="B1863" s="1" t="s">
        <v>170</v>
      </c>
      <c r="C1863" s="1" t="s">
        <v>171</v>
      </c>
      <c r="D1863" s="1" t="s">
        <v>13</v>
      </c>
      <c r="E1863" s="2" t="s">
        <v>3311</v>
      </c>
      <c r="F1863" s="2" t="b">
        <f t="shared" si="119"/>
        <v>0</v>
      </c>
      <c r="G1863" s="2">
        <f t="shared" si="117"/>
        <v>43329</v>
      </c>
      <c r="H1863" s="1" t="s">
        <v>72</v>
      </c>
      <c r="I1863" s="1" t="s">
        <v>274</v>
      </c>
      <c r="J1863" s="1">
        <v>500</v>
      </c>
      <c r="K1863" s="1">
        <v>500</v>
      </c>
      <c r="L1863" s="3">
        <v>0</v>
      </c>
      <c r="N1863" t="s">
        <v>3311</v>
      </c>
      <c r="P1863">
        <v>8</v>
      </c>
      <c r="Q1863">
        <v>17</v>
      </c>
      <c r="R1863">
        <v>2018</v>
      </c>
      <c r="S1863" s="4">
        <f t="shared" si="118"/>
        <v>43329</v>
      </c>
      <c r="T1863" s="4">
        <f t="shared" si="116"/>
        <v>43329</v>
      </c>
      <c r="U1863" s="4">
        <v>43329</v>
      </c>
    </row>
    <row r="1864" spans="1:21" x14ac:dyDescent="0.3">
      <c r="A1864" t="s">
        <v>2467</v>
      </c>
      <c r="B1864" s="1" t="s">
        <v>107</v>
      </c>
      <c r="C1864" s="1" t="s">
        <v>108</v>
      </c>
      <c r="D1864" s="1" t="s">
        <v>19</v>
      </c>
      <c r="E1864" s="2" t="s">
        <v>2998</v>
      </c>
      <c r="F1864" s="2" t="b">
        <f t="shared" si="119"/>
        <v>0</v>
      </c>
      <c r="G1864" s="2">
        <f t="shared" si="117"/>
        <v>43342</v>
      </c>
      <c r="H1864" s="1" t="s">
        <v>36</v>
      </c>
      <c r="I1864" s="1" t="s">
        <v>946</v>
      </c>
      <c r="J1864" s="1">
        <v>50</v>
      </c>
      <c r="K1864" s="1">
        <v>46</v>
      </c>
      <c r="L1864" s="3">
        <v>0.08</v>
      </c>
      <c r="N1864" t="s">
        <v>2998</v>
      </c>
      <c r="P1864">
        <v>8</v>
      </c>
      <c r="Q1864">
        <v>30</v>
      </c>
      <c r="R1864">
        <v>2018</v>
      </c>
      <c r="S1864" s="4">
        <f t="shared" si="118"/>
        <v>43342</v>
      </c>
      <c r="T1864" s="4">
        <f t="shared" si="116"/>
        <v>43342</v>
      </c>
      <c r="U1864" s="4">
        <v>43342</v>
      </c>
    </row>
    <row r="1865" spans="1:21" x14ac:dyDescent="0.3">
      <c r="A1865" t="s">
        <v>2468</v>
      </c>
      <c r="B1865" s="1" t="s">
        <v>64</v>
      </c>
      <c r="C1865" s="1" t="s">
        <v>65</v>
      </c>
      <c r="D1865" s="1" t="s">
        <v>35</v>
      </c>
      <c r="E1865" s="2" t="s">
        <v>3654</v>
      </c>
      <c r="F1865" s="2" t="b">
        <f t="shared" si="119"/>
        <v>0</v>
      </c>
      <c r="G1865" s="2">
        <f t="shared" si="117"/>
        <v>41869</v>
      </c>
      <c r="H1865" s="1" t="s">
        <v>72</v>
      </c>
      <c r="I1865" s="1" t="s">
        <v>2469</v>
      </c>
      <c r="J1865" s="1">
        <v>500</v>
      </c>
      <c r="K1865" s="1">
        <v>490</v>
      </c>
      <c r="L1865" s="3">
        <v>0.02</v>
      </c>
      <c r="N1865" t="s">
        <v>3654</v>
      </c>
      <c r="P1865">
        <v>8</v>
      </c>
      <c r="Q1865">
        <v>18</v>
      </c>
      <c r="R1865">
        <v>2014</v>
      </c>
      <c r="S1865" s="4">
        <f t="shared" si="118"/>
        <v>41869</v>
      </c>
      <c r="T1865" s="4">
        <f t="shared" si="116"/>
        <v>41869</v>
      </c>
      <c r="U1865" s="4">
        <v>41869</v>
      </c>
    </row>
    <row r="1866" spans="1:21" x14ac:dyDescent="0.3">
      <c r="A1866" t="s">
        <v>2470</v>
      </c>
      <c r="B1866" s="1" t="s">
        <v>289</v>
      </c>
      <c r="C1866" s="1" t="s">
        <v>108</v>
      </c>
      <c r="D1866" s="1" t="s">
        <v>19</v>
      </c>
      <c r="E1866" s="2">
        <v>41852</v>
      </c>
      <c r="F1866" s="2" t="b">
        <f t="shared" si="119"/>
        <v>1</v>
      </c>
      <c r="G1866" s="2">
        <f t="shared" si="117"/>
        <v>41852</v>
      </c>
      <c r="H1866" s="1" t="s">
        <v>25</v>
      </c>
      <c r="I1866" s="1" t="s">
        <v>1129</v>
      </c>
      <c r="J1866" s="1">
        <v>700</v>
      </c>
      <c r="K1866" s="1">
        <v>686</v>
      </c>
      <c r="L1866" s="3">
        <v>0.02</v>
      </c>
      <c r="N1866" t="s">
        <v>3763</v>
      </c>
      <c r="S1866" s="4" t="e">
        <f t="shared" si="118"/>
        <v>#NUM!</v>
      </c>
      <c r="T1866" s="4" t="str">
        <f t="shared" si="116"/>
        <v/>
      </c>
      <c r="U1866" s="4" t="s">
        <v>3763</v>
      </c>
    </row>
    <row r="1867" spans="1:21" x14ac:dyDescent="0.3">
      <c r="A1867" t="s">
        <v>2471</v>
      </c>
      <c r="B1867" s="1" t="s">
        <v>154</v>
      </c>
      <c r="C1867" s="1" t="s">
        <v>108</v>
      </c>
      <c r="D1867" s="1" t="s">
        <v>19</v>
      </c>
      <c r="E1867" s="2" t="s">
        <v>3669</v>
      </c>
      <c r="F1867" s="2" t="b">
        <f t="shared" si="119"/>
        <v>0</v>
      </c>
      <c r="G1867" s="2">
        <f t="shared" si="117"/>
        <v>42204</v>
      </c>
      <c r="H1867" s="1" t="s">
        <v>41</v>
      </c>
      <c r="I1867" s="1" t="s">
        <v>1292</v>
      </c>
      <c r="J1867" s="1">
        <v>30</v>
      </c>
      <c r="K1867" s="1">
        <v>25</v>
      </c>
      <c r="L1867" s="3">
        <v>0.16669999999999999</v>
      </c>
      <c r="N1867" t="s">
        <v>3669</v>
      </c>
      <c r="P1867">
        <v>7</v>
      </c>
      <c r="Q1867">
        <v>19</v>
      </c>
      <c r="R1867">
        <v>2015</v>
      </c>
      <c r="S1867" s="4">
        <f t="shared" si="118"/>
        <v>42204</v>
      </c>
      <c r="T1867" s="4">
        <f t="shared" si="116"/>
        <v>42204</v>
      </c>
      <c r="U1867" s="4">
        <v>42204</v>
      </c>
    </row>
    <row r="1868" spans="1:21" x14ac:dyDescent="0.3">
      <c r="A1868" t="s">
        <v>2472</v>
      </c>
      <c r="B1868" s="1" t="s">
        <v>157</v>
      </c>
      <c r="C1868" s="1" t="s">
        <v>108</v>
      </c>
      <c r="D1868" s="1" t="s">
        <v>19</v>
      </c>
      <c r="E1868" s="2" t="s">
        <v>3670</v>
      </c>
      <c r="F1868" s="2" t="b">
        <f t="shared" si="119"/>
        <v>0</v>
      </c>
      <c r="G1868" s="2">
        <f t="shared" si="117"/>
        <v>42366</v>
      </c>
      <c r="H1868" s="1" t="s">
        <v>61</v>
      </c>
      <c r="I1868" s="1" t="s">
        <v>158</v>
      </c>
      <c r="J1868" s="1">
        <v>1000</v>
      </c>
      <c r="K1868" s="1">
        <v>600</v>
      </c>
      <c r="L1868" s="3">
        <v>0.4</v>
      </c>
      <c r="N1868" t="s">
        <v>3670</v>
      </c>
      <c r="P1868">
        <v>12</v>
      </c>
      <c r="Q1868">
        <v>28</v>
      </c>
      <c r="R1868">
        <v>2015</v>
      </c>
      <c r="S1868" s="4">
        <f t="shared" si="118"/>
        <v>42366</v>
      </c>
      <c r="T1868" s="4">
        <f t="shared" si="116"/>
        <v>42366</v>
      </c>
      <c r="U1868" s="4">
        <v>42366</v>
      </c>
    </row>
    <row r="1869" spans="1:21" x14ac:dyDescent="0.3">
      <c r="A1869" t="s">
        <v>2473</v>
      </c>
      <c r="B1869" s="1" t="s">
        <v>221</v>
      </c>
      <c r="C1869" s="1" t="s">
        <v>40</v>
      </c>
      <c r="D1869" s="1" t="s">
        <v>35</v>
      </c>
      <c r="E1869" s="2" t="s">
        <v>3437</v>
      </c>
      <c r="F1869" s="2" t="b">
        <f t="shared" si="119"/>
        <v>0</v>
      </c>
      <c r="G1869" s="2">
        <f t="shared" si="117"/>
        <v>42668</v>
      </c>
      <c r="H1869" s="1" t="s">
        <v>104</v>
      </c>
      <c r="I1869" s="1" t="s">
        <v>2425</v>
      </c>
      <c r="J1869" s="1">
        <v>70</v>
      </c>
      <c r="K1869" s="1">
        <v>63</v>
      </c>
      <c r="L1869" s="3">
        <v>0.1</v>
      </c>
      <c r="N1869" t="s">
        <v>3437</v>
      </c>
      <c r="P1869">
        <v>10</v>
      </c>
      <c r="Q1869">
        <v>25</v>
      </c>
      <c r="R1869">
        <v>2016</v>
      </c>
      <c r="S1869" s="4">
        <f t="shared" si="118"/>
        <v>42668</v>
      </c>
      <c r="T1869" s="4">
        <f t="shared" si="116"/>
        <v>42668</v>
      </c>
      <c r="U1869" s="4">
        <v>42668</v>
      </c>
    </row>
    <row r="1870" spans="1:21" x14ac:dyDescent="0.3">
      <c r="A1870" t="s">
        <v>2474</v>
      </c>
      <c r="B1870" s="1" t="s">
        <v>59</v>
      </c>
      <c r="C1870" s="1" t="s">
        <v>60</v>
      </c>
      <c r="D1870" s="1" t="s">
        <v>13</v>
      </c>
      <c r="E1870" s="2">
        <v>41891</v>
      </c>
      <c r="F1870" s="2" t="b">
        <f t="shared" si="119"/>
        <v>1</v>
      </c>
      <c r="G1870" s="2">
        <f t="shared" si="117"/>
        <v>41891</v>
      </c>
      <c r="H1870" s="1" t="s">
        <v>115</v>
      </c>
      <c r="I1870" s="1" t="s">
        <v>1778</v>
      </c>
      <c r="J1870" s="1">
        <v>250</v>
      </c>
      <c r="K1870" s="1">
        <v>245</v>
      </c>
      <c r="L1870" s="3">
        <v>0.02</v>
      </c>
      <c r="N1870" t="s">
        <v>3763</v>
      </c>
      <c r="S1870" s="4" t="e">
        <f t="shared" si="118"/>
        <v>#NUM!</v>
      </c>
      <c r="T1870" s="4" t="str">
        <f t="shared" si="116"/>
        <v/>
      </c>
      <c r="U1870" s="4" t="s">
        <v>3763</v>
      </c>
    </row>
    <row r="1871" spans="1:21" x14ac:dyDescent="0.3">
      <c r="A1871" t="s">
        <v>2475</v>
      </c>
      <c r="B1871" s="1" t="s">
        <v>134</v>
      </c>
      <c r="C1871" s="1" t="s">
        <v>92</v>
      </c>
      <c r="D1871" s="1" t="s">
        <v>35</v>
      </c>
      <c r="E1871" s="2" t="s">
        <v>3434</v>
      </c>
      <c r="F1871" s="2" t="b">
        <f t="shared" si="119"/>
        <v>0</v>
      </c>
      <c r="G1871" s="2">
        <f t="shared" si="117"/>
        <v>42385</v>
      </c>
      <c r="H1871" s="1" t="s">
        <v>14</v>
      </c>
      <c r="I1871" s="1" t="s">
        <v>135</v>
      </c>
      <c r="J1871" s="1">
        <v>80</v>
      </c>
      <c r="K1871" s="1">
        <v>74</v>
      </c>
      <c r="L1871" s="3">
        <v>7.4999999999999997E-2</v>
      </c>
      <c r="N1871" t="s">
        <v>3434</v>
      </c>
      <c r="P1871">
        <v>1</v>
      </c>
      <c r="Q1871">
        <v>16</v>
      </c>
      <c r="R1871">
        <v>2016</v>
      </c>
      <c r="S1871" s="4">
        <f t="shared" si="118"/>
        <v>42385</v>
      </c>
      <c r="T1871" s="4">
        <f t="shared" si="116"/>
        <v>42385</v>
      </c>
      <c r="U1871" s="4">
        <v>42385</v>
      </c>
    </row>
    <row r="1872" spans="1:21" x14ac:dyDescent="0.3">
      <c r="A1872" t="s">
        <v>2476</v>
      </c>
      <c r="B1872" s="1" t="s">
        <v>85</v>
      </c>
      <c r="C1872" s="1" t="s">
        <v>86</v>
      </c>
      <c r="D1872" s="1" t="s">
        <v>13</v>
      </c>
      <c r="E1872" s="2">
        <v>42743</v>
      </c>
      <c r="F1872" s="2" t="b">
        <f t="shared" si="119"/>
        <v>1</v>
      </c>
      <c r="G1872" s="2">
        <f t="shared" si="117"/>
        <v>42743</v>
      </c>
      <c r="H1872" s="1" t="s">
        <v>46</v>
      </c>
      <c r="I1872" s="1" t="s">
        <v>1249</v>
      </c>
      <c r="J1872" s="1">
        <v>500</v>
      </c>
      <c r="K1872" s="1">
        <v>465</v>
      </c>
      <c r="L1872" s="3">
        <v>7.0000000000000007E-2</v>
      </c>
      <c r="N1872" t="s">
        <v>3763</v>
      </c>
      <c r="S1872" s="4" t="e">
        <f t="shared" si="118"/>
        <v>#NUM!</v>
      </c>
      <c r="T1872" s="4" t="str">
        <f t="shared" si="116"/>
        <v/>
      </c>
      <c r="U1872" s="4" t="s">
        <v>3763</v>
      </c>
    </row>
    <row r="1873" spans="1:21" x14ac:dyDescent="0.3">
      <c r="A1873" t="s">
        <v>2477</v>
      </c>
      <c r="B1873" s="1" t="s">
        <v>99</v>
      </c>
      <c r="C1873" s="1" t="s">
        <v>100</v>
      </c>
      <c r="D1873" s="1" t="s">
        <v>13</v>
      </c>
      <c r="E1873" s="2" t="s">
        <v>3293</v>
      </c>
      <c r="F1873" s="2" t="b">
        <f t="shared" si="119"/>
        <v>0</v>
      </c>
      <c r="G1873" s="2">
        <f t="shared" si="117"/>
        <v>42269</v>
      </c>
      <c r="H1873" s="1" t="s">
        <v>30</v>
      </c>
      <c r="I1873" s="1" t="s">
        <v>948</v>
      </c>
      <c r="J1873" s="1">
        <v>150</v>
      </c>
      <c r="K1873" s="1">
        <v>110</v>
      </c>
      <c r="L1873" s="3">
        <v>0.26669999999999999</v>
      </c>
      <c r="N1873" t="s">
        <v>3293</v>
      </c>
      <c r="P1873">
        <v>9</v>
      </c>
      <c r="Q1873">
        <v>22</v>
      </c>
      <c r="R1873">
        <v>2015</v>
      </c>
      <c r="S1873" s="4">
        <f t="shared" si="118"/>
        <v>42269</v>
      </c>
      <c r="T1873" s="4">
        <f t="shared" si="116"/>
        <v>42269</v>
      </c>
      <c r="U1873" s="4">
        <v>42269</v>
      </c>
    </row>
    <row r="1874" spans="1:21" x14ac:dyDescent="0.3">
      <c r="A1874" t="s">
        <v>2478</v>
      </c>
      <c r="B1874" s="1" t="s">
        <v>264</v>
      </c>
      <c r="C1874" s="1" t="s">
        <v>265</v>
      </c>
      <c r="D1874" s="1" t="s">
        <v>13</v>
      </c>
      <c r="E1874" s="2" t="s">
        <v>3410</v>
      </c>
      <c r="F1874" s="2" t="b">
        <f t="shared" si="119"/>
        <v>0</v>
      </c>
      <c r="G1874" s="2">
        <f t="shared" si="117"/>
        <v>43265</v>
      </c>
      <c r="H1874" s="1" t="s">
        <v>72</v>
      </c>
      <c r="I1874" s="1" t="s">
        <v>308</v>
      </c>
      <c r="J1874" s="1">
        <v>500</v>
      </c>
      <c r="K1874" s="1">
        <v>500</v>
      </c>
      <c r="L1874" s="3">
        <v>0</v>
      </c>
      <c r="N1874" t="s">
        <v>3410</v>
      </c>
      <c r="P1874">
        <v>6</v>
      </c>
      <c r="Q1874">
        <v>14</v>
      </c>
      <c r="R1874">
        <v>2018</v>
      </c>
      <c r="S1874" s="4">
        <f t="shared" si="118"/>
        <v>43265</v>
      </c>
      <c r="T1874" s="4">
        <f t="shared" si="116"/>
        <v>43265</v>
      </c>
      <c r="U1874" s="4">
        <v>43265</v>
      </c>
    </row>
    <row r="1875" spans="1:21" x14ac:dyDescent="0.3">
      <c r="A1875" t="s">
        <v>2479</v>
      </c>
      <c r="B1875" s="1" t="s">
        <v>154</v>
      </c>
      <c r="C1875" s="1" t="s">
        <v>108</v>
      </c>
      <c r="D1875" s="1" t="s">
        <v>19</v>
      </c>
      <c r="E1875" s="2">
        <v>42461</v>
      </c>
      <c r="F1875" s="2" t="b">
        <f t="shared" si="119"/>
        <v>1</v>
      </c>
      <c r="G1875" s="2">
        <f t="shared" si="117"/>
        <v>42461</v>
      </c>
      <c r="H1875" s="1" t="s">
        <v>25</v>
      </c>
      <c r="I1875" s="1" t="s">
        <v>1292</v>
      </c>
      <c r="J1875" s="1">
        <v>700</v>
      </c>
      <c r="K1875" s="1">
        <v>700</v>
      </c>
      <c r="L1875" s="3">
        <v>0</v>
      </c>
      <c r="N1875" t="s">
        <v>3763</v>
      </c>
      <c r="S1875" s="4" t="e">
        <f t="shared" si="118"/>
        <v>#NUM!</v>
      </c>
      <c r="T1875" s="4" t="str">
        <f t="shared" si="116"/>
        <v/>
      </c>
      <c r="U1875" s="4" t="s">
        <v>3763</v>
      </c>
    </row>
    <row r="1876" spans="1:21" x14ac:dyDescent="0.3">
      <c r="A1876" t="s">
        <v>2480</v>
      </c>
      <c r="B1876" s="1" t="s">
        <v>146</v>
      </c>
      <c r="C1876" s="1" t="s">
        <v>147</v>
      </c>
      <c r="D1876" s="1" t="s">
        <v>13</v>
      </c>
      <c r="E1876" s="2">
        <v>43257</v>
      </c>
      <c r="F1876" s="2" t="b">
        <f t="shared" si="119"/>
        <v>1</v>
      </c>
      <c r="G1876" s="2">
        <f t="shared" si="117"/>
        <v>43257</v>
      </c>
      <c r="H1876" s="1" t="s">
        <v>122</v>
      </c>
      <c r="I1876" s="1" t="s">
        <v>358</v>
      </c>
      <c r="J1876" s="1">
        <v>50</v>
      </c>
      <c r="K1876" s="1">
        <v>50</v>
      </c>
      <c r="L1876" s="3">
        <v>0</v>
      </c>
      <c r="N1876" t="s">
        <v>3763</v>
      </c>
      <c r="S1876" s="4" t="e">
        <f t="shared" si="118"/>
        <v>#NUM!</v>
      </c>
      <c r="T1876" s="4" t="str">
        <f t="shared" si="116"/>
        <v/>
      </c>
      <c r="U1876" s="4" t="s">
        <v>3763</v>
      </c>
    </row>
    <row r="1877" spans="1:21" x14ac:dyDescent="0.3">
      <c r="A1877" t="s">
        <v>2481</v>
      </c>
      <c r="B1877" s="1" t="s">
        <v>221</v>
      </c>
      <c r="C1877" s="1" t="s">
        <v>40</v>
      </c>
      <c r="D1877" s="1" t="s">
        <v>35</v>
      </c>
      <c r="E1877" s="2">
        <v>41736</v>
      </c>
      <c r="F1877" s="2" t="b">
        <f t="shared" si="119"/>
        <v>1</v>
      </c>
      <c r="G1877" s="2">
        <f t="shared" si="117"/>
        <v>41736</v>
      </c>
      <c r="H1877" s="1" t="s">
        <v>72</v>
      </c>
      <c r="I1877" s="1" t="s">
        <v>1920</v>
      </c>
      <c r="J1877" s="1">
        <v>500</v>
      </c>
      <c r="K1877" s="1">
        <v>490</v>
      </c>
      <c r="L1877" s="3">
        <v>0.02</v>
      </c>
      <c r="N1877" t="s">
        <v>3763</v>
      </c>
      <c r="S1877" s="4" t="e">
        <f t="shared" si="118"/>
        <v>#NUM!</v>
      </c>
      <c r="T1877" s="4" t="str">
        <f t="shared" si="116"/>
        <v/>
      </c>
      <c r="U1877" s="4" t="s">
        <v>3763</v>
      </c>
    </row>
    <row r="1878" spans="1:21" x14ac:dyDescent="0.3">
      <c r="A1878" t="s">
        <v>2482</v>
      </c>
      <c r="B1878" s="1" t="s">
        <v>28</v>
      </c>
      <c r="C1878" s="1" t="s">
        <v>29</v>
      </c>
      <c r="D1878" s="1" t="s">
        <v>13</v>
      </c>
      <c r="E1878" s="2">
        <v>42379</v>
      </c>
      <c r="F1878" s="2" t="b">
        <f t="shared" si="119"/>
        <v>1</v>
      </c>
      <c r="G1878" s="2">
        <f t="shared" si="117"/>
        <v>42379</v>
      </c>
      <c r="H1878" s="1" t="s">
        <v>61</v>
      </c>
      <c r="I1878" s="1" t="s">
        <v>396</v>
      </c>
      <c r="J1878" s="1">
        <v>1000</v>
      </c>
      <c r="K1878" s="1">
        <v>920</v>
      </c>
      <c r="L1878" s="3">
        <v>0.08</v>
      </c>
      <c r="N1878" t="s">
        <v>3763</v>
      </c>
      <c r="S1878" s="4" t="e">
        <f t="shared" si="118"/>
        <v>#NUM!</v>
      </c>
      <c r="T1878" s="4" t="str">
        <f t="shared" si="116"/>
        <v/>
      </c>
      <c r="U1878" s="4" t="s">
        <v>3763</v>
      </c>
    </row>
    <row r="1879" spans="1:21" x14ac:dyDescent="0.3">
      <c r="A1879" t="s">
        <v>2483</v>
      </c>
      <c r="B1879" s="1" t="s">
        <v>85</v>
      </c>
      <c r="C1879" s="1" t="s">
        <v>86</v>
      </c>
      <c r="D1879" s="1" t="s">
        <v>13</v>
      </c>
      <c r="E1879" s="2" t="s">
        <v>3597</v>
      </c>
      <c r="F1879" s="2" t="b">
        <f t="shared" si="119"/>
        <v>0</v>
      </c>
      <c r="G1879" s="2">
        <f t="shared" si="117"/>
        <v>42538</v>
      </c>
      <c r="H1879" s="1" t="s">
        <v>72</v>
      </c>
      <c r="I1879" s="1" t="s">
        <v>166</v>
      </c>
      <c r="J1879" s="1">
        <v>500</v>
      </c>
      <c r="K1879" s="1">
        <v>500</v>
      </c>
      <c r="L1879" s="3">
        <v>0</v>
      </c>
      <c r="N1879" t="s">
        <v>3597</v>
      </c>
      <c r="P1879">
        <v>6</v>
      </c>
      <c r="Q1879">
        <v>17</v>
      </c>
      <c r="R1879">
        <v>2016</v>
      </c>
      <c r="S1879" s="4">
        <f t="shared" si="118"/>
        <v>42538</v>
      </c>
      <c r="T1879" s="4">
        <f t="shared" si="116"/>
        <v>42538</v>
      </c>
      <c r="U1879" s="4">
        <v>42538</v>
      </c>
    </row>
    <row r="1880" spans="1:21" x14ac:dyDescent="0.3">
      <c r="A1880" t="s">
        <v>2484</v>
      </c>
      <c r="B1880" s="1" t="s">
        <v>400</v>
      </c>
      <c r="C1880" s="1" t="s">
        <v>401</v>
      </c>
      <c r="D1880" s="1" t="s">
        <v>13</v>
      </c>
      <c r="E1880" s="2">
        <v>42897</v>
      </c>
      <c r="F1880" s="2" t="b">
        <f t="shared" si="119"/>
        <v>1</v>
      </c>
      <c r="G1880" s="2">
        <f t="shared" si="117"/>
        <v>42897</v>
      </c>
      <c r="H1880" s="1" t="s">
        <v>41</v>
      </c>
      <c r="I1880" s="1" t="s">
        <v>1281</v>
      </c>
      <c r="J1880" s="1">
        <v>30</v>
      </c>
      <c r="K1880" s="1">
        <v>30</v>
      </c>
      <c r="L1880" s="3">
        <v>0</v>
      </c>
      <c r="N1880" t="s">
        <v>3763</v>
      </c>
      <c r="S1880" s="4" t="e">
        <f t="shared" si="118"/>
        <v>#NUM!</v>
      </c>
      <c r="T1880" s="4" t="str">
        <f t="shared" si="116"/>
        <v/>
      </c>
      <c r="U1880" s="4" t="s">
        <v>3763</v>
      </c>
    </row>
    <row r="1881" spans="1:21" x14ac:dyDescent="0.3">
      <c r="A1881" t="s">
        <v>2485</v>
      </c>
      <c r="B1881" s="1" t="s">
        <v>95</v>
      </c>
      <c r="C1881" s="1" t="s">
        <v>96</v>
      </c>
      <c r="D1881" s="1" t="s">
        <v>13</v>
      </c>
      <c r="E1881" s="2">
        <v>42380</v>
      </c>
      <c r="F1881" s="2" t="b">
        <f t="shared" si="119"/>
        <v>1</v>
      </c>
      <c r="G1881" s="2">
        <f t="shared" si="117"/>
        <v>42380</v>
      </c>
      <c r="H1881" s="1" t="s">
        <v>14</v>
      </c>
      <c r="I1881" s="1" t="s">
        <v>2486</v>
      </c>
      <c r="J1881" s="1">
        <v>80</v>
      </c>
      <c r="K1881" s="1">
        <v>77</v>
      </c>
      <c r="L1881" s="3">
        <v>3.7499999999999999E-2</v>
      </c>
      <c r="N1881" t="s">
        <v>3763</v>
      </c>
      <c r="S1881" s="4" t="e">
        <f t="shared" si="118"/>
        <v>#NUM!</v>
      </c>
      <c r="T1881" s="4" t="str">
        <f t="shared" si="116"/>
        <v/>
      </c>
      <c r="U1881" s="4" t="s">
        <v>3763</v>
      </c>
    </row>
    <row r="1882" spans="1:21" x14ac:dyDescent="0.3">
      <c r="A1882" t="s">
        <v>2487</v>
      </c>
      <c r="B1882" s="1" t="s">
        <v>114</v>
      </c>
      <c r="C1882" s="1" t="s">
        <v>54</v>
      </c>
      <c r="D1882" s="1" t="s">
        <v>13</v>
      </c>
      <c r="E1882" s="2" t="s">
        <v>3671</v>
      </c>
      <c r="F1882" s="2" t="b">
        <f t="shared" si="119"/>
        <v>0</v>
      </c>
      <c r="G1882" s="2">
        <f t="shared" si="117"/>
        <v>42359</v>
      </c>
      <c r="H1882" s="1" t="s">
        <v>61</v>
      </c>
      <c r="I1882" s="1" t="s">
        <v>367</v>
      </c>
      <c r="J1882" s="1">
        <v>1000</v>
      </c>
      <c r="K1882" s="1">
        <v>920</v>
      </c>
      <c r="L1882" s="3">
        <v>0.08</v>
      </c>
      <c r="N1882" t="s">
        <v>3671</v>
      </c>
      <c r="P1882">
        <v>12</v>
      </c>
      <c r="Q1882">
        <v>21</v>
      </c>
      <c r="R1882">
        <v>2015</v>
      </c>
      <c r="S1882" s="4">
        <f t="shared" si="118"/>
        <v>42359</v>
      </c>
      <c r="T1882" s="4">
        <f t="shared" si="116"/>
        <v>42359</v>
      </c>
      <c r="U1882" s="4">
        <v>42359</v>
      </c>
    </row>
    <row r="1883" spans="1:21" x14ac:dyDescent="0.3">
      <c r="A1883" t="s">
        <v>2488</v>
      </c>
      <c r="B1883" s="1" t="s">
        <v>241</v>
      </c>
      <c r="C1883" s="1" t="s">
        <v>242</v>
      </c>
      <c r="D1883" s="1" t="s">
        <v>13</v>
      </c>
      <c r="E1883" s="2" t="s">
        <v>3412</v>
      </c>
      <c r="F1883" s="2" t="b">
        <f t="shared" si="119"/>
        <v>0</v>
      </c>
      <c r="G1883" s="2">
        <f t="shared" si="117"/>
        <v>42549</v>
      </c>
      <c r="H1883" s="1" t="s">
        <v>14</v>
      </c>
      <c r="I1883" s="1" t="s">
        <v>243</v>
      </c>
      <c r="J1883" s="1">
        <v>80</v>
      </c>
      <c r="K1883" s="1">
        <v>76</v>
      </c>
      <c r="L1883" s="3">
        <v>0.05</v>
      </c>
      <c r="N1883" t="s">
        <v>3412</v>
      </c>
      <c r="P1883">
        <v>6</v>
      </c>
      <c r="Q1883">
        <v>28</v>
      </c>
      <c r="R1883">
        <v>2016</v>
      </c>
      <c r="S1883" s="4">
        <f t="shared" si="118"/>
        <v>42549</v>
      </c>
      <c r="T1883" s="4">
        <f t="shared" si="116"/>
        <v>42549</v>
      </c>
      <c r="U1883" s="4">
        <v>42549</v>
      </c>
    </row>
    <row r="1884" spans="1:21" x14ac:dyDescent="0.3">
      <c r="A1884" t="s">
        <v>2489</v>
      </c>
      <c r="B1884" s="1" t="s">
        <v>91</v>
      </c>
      <c r="C1884" s="1" t="s">
        <v>92</v>
      </c>
      <c r="D1884" s="1" t="s">
        <v>35</v>
      </c>
      <c r="E1884" s="2">
        <v>42625</v>
      </c>
      <c r="F1884" s="2" t="b">
        <f t="shared" si="119"/>
        <v>1</v>
      </c>
      <c r="G1884" s="2">
        <f t="shared" si="117"/>
        <v>42625</v>
      </c>
      <c r="H1884" s="1" t="s">
        <v>61</v>
      </c>
      <c r="I1884" s="1" t="s">
        <v>507</v>
      </c>
      <c r="J1884" s="1">
        <v>1000</v>
      </c>
      <c r="K1884" s="1">
        <v>740</v>
      </c>
      <c r="L1884" s="3">
        <v>0.26</v>
      </c>
      <c r="N1884" t="s">
        <v>3763</v>
      </c>
      <c r="S1884" s="4" t="e">
        <f t="shared" si="118"/>
        <v>#NUM!</v>
      </c>
      <c r="T1884" s="4" t="str">
        <f t="shared" si="116"/>
        <v/>
      </c>
      <c r="U1884" s="4" t="s">
        <v>3763</v>
      </c>
    </row>
    <row r="1885" spans="1:21" x14ac:dyDescent="0.3">
      <c r="A1885" t="s">
        <v>2490</v>
      </c>
      <c r="B1885" s="1" t="s">
        <v>33</v>
      </c>
      <c r="C1885" s="1" t="s">
        <v>34</v>
      </c>
      <c r="D1885" s="1" t="s">
        <v>35</v>
      </c>
      <c r="E1885" s="2" t="s">
        <v>3516</v>
      </c>
      <c r="F1885" s="2" t="b">
        <f t="shared" si="119"/>
        <v>0</v>
      </c>
      <c r="G1885" s="2">
        <f t="shared" si="117"/>
        <v>42853</v>
      </c>
      <c r="H1885" s="1" t="s">
        <v>14</v>
      </c>
      <c r="I1885" s="1" t="s">
        <v>451</v>
      </c>
      <c r="J1885" s="1">
        <v>80</v>
      </c>
      <c r="K1885" s="1">
        <v>80</v>
      </c>
      <c r="L1885" s="3">
        <v>0</v>
      </c>
      <c r="N1885" t="s">
        <v>3516</v>
      </c>
      <c r="P1885">
        <v>4</v>
      </c>
      <c r="Q1885">
        <v>28</v>
      </c>
      <c r="R1885">
        <v>2017</v>
      </c>
      <c r="S1885" s="4">
        <f t="shared" si="118"/>
        <v>42853</v>
      </c>
      <c r="T1885" s="4">
        <f t="shared" si="116"/>
        <v>42853</v>
      </c>
      <c r="U1885" s="4">
        <v>42853</v>
      </c>
    </row>
    <row r="1886" spans="1:21" x14ac:dyDescent="0.3">
      <c r="A1886" t="s">
        <v>2491</v>
      </c>
      <c r="B1886" s="1" t="s">
        <v>114</v>
      </c>
      <c r="C1886" s="1" t="s">
        <v>54</v>
      </c>
      <c r="D1886" s="1" t="s">
        <v>13</v>
      </c>
      <c r="E1886" s="2" t="s">
        <v>3435</v>
      </c>
      <c r="F1886" s="2" t="b">
        <f t="shared" si="119"/>
        <v>0</v>
      </c>
      <c r="G1886" s="2">
        <f t="shared" si="117"/>
        <v>41670</v>
      </c>
      <c r="H1886" s="1" t="s">
        <v>14</v>
      </c>
      <c r="I1886" s="1" t="s">
        <v>885</v>
      </c>
      <c r="J1886" s="1">
        <v>80</v>
      </c>
      <c r="K1886" s="1">
        <v>61</v>
      </c>
      <c r="L1886" s="3">
        <v>0.23749999999999999</v>
      </c>
      <c r="N1886" t="s">
        <v>3435</v>
      </c>
      <c r="P1886">
        <v>1</v>
      </c>
      <c r="Q1886">
        <v>31</v>
      </c>
      <c r="R1886">
        <v>2014</v>
      </c>
      <c r="S1886" s="4">
        <f t="shared" si="118"/>
        <v>41670</v>
      </c>
      <c r="T1886" s="4">
        <f t="shared" si="116"/>
        <v>41670</v>
      </c>
      <c r="U1886" s="4">
        <v>41670</v>
      </c>
    </row>
    <row r="1887" spans="1:21" x14ac:dyDescent="0.3">
      <c r="A1887" t="s">
        <v>2492</v>
      </c>
      <c r="B1887" s="1" t="s">
        <v>81</v>
      </c>
      <c r="C1887" s="1" t="s">
        <v>82</v>
      </c>
      <c r="D1887" s="1" t="s">
        <v>13</v>
      </c>
      <c r="E1887" s="2">
        <v>42105</v>
      </c>
      <c r="F1887" s="2" t="b">
        <f t="shared" si="119"/>
        <v>1</v>
      </c>
      <c r="G1887" s="2">
        <f t="shared" si="117"/>
        <v>42105</v>
      </c>
      <c r="H1887" s="1" t="s">
        <v>61</v>
      </c>
      <c r="I1887" s="1" t="s">
        <v>1232</v>
      </c>
      <c r="J1887" s="1">
        <v>1000</v>
      </c>
      <c r="K1887" s="1">
        <v>610</v>
      </c>
      <c r="L1887" s="3">
        <v>0.39</v>
      </c>
      <c r="N1887" t="s">
        <v>3763</v>
      </c>
      <c r="S1887" s="4" t="e">
        <f t="shared" si="118"/>
        <v>#NUM!</v>
      </c>
      <c r="T1887" s="4" t="str">
        <f t="shared" si="116"/>
        <v/>
      </c>
      <c r="U1887" s="4" t="s">
        <v>3763</v>
      </c>
    </row>
    <row r="1888" spans="1:21" x14ac:dyDescent="0.3">
      <c r="A1888" t="s">
        <v>2493</v>
      </c>
      <c r="B1888" s="1" t="s">
        <v>103</v>
      </c>
      <c r="C1888" s="1" t="s">
        <v>71</v>
      </c>
      <c r="D1888" s="1" t="s">
        <v>35</v>
      </c>
      <c r="E1888" s="2">
        <v>42585</v>
      </c>
      <c r="F1888" s="2" t="b">
        <f t="shared" si="119"/>
        <v>1</v>
      </c>
      <c r="G1888" s="2">
        <f t="shared" si="117"/>
        <v>42585</v>
      </c>
      <c r="H1888" s="1" t="s">
        <v>41</v>
      </c>
      <c r="I1888" s="1" t="s">
        <v>191</v>
      </c>
      <c r="J1888" s="1">
        <v>30</v>
      </c>
      <c r="K1888" s="1">
        <v>30</v>
      </c>
      <c r="L1888" s="3">
        <v>0</v>
      </c>
      <c r="N1888" t="s">
        <v>3763</v>
      </c>
      <c r="S1888" s="4" t="e">
        <f t="shared" si="118"/>
        <v>#NUM!</v>
      </c>
      <c r="T1888" s="4" t="str">
        <f t="shared" si="116"/>
        <v/>
      </c>
      <c r="U1888" s="4" t="s">
        <v>3763</v>
      </c>
    </row>
    <row r="1889" spans="1:21" x14ac:dyDescent="0.3">
      <c r="A1889" t="s">
        <v>2494</v>
      </c>
      <c r="B1889" s="1" t="s">
        <v>157</v>
      </c>
      <c r="C1889" s="1" t="s">
        <v>108</v>
      </c>
      <c r="D1889" s="1" t="s">
        <v>19</v>
      </c>
      <c r="E1889" s="2">
        <v>41770</v>
      </c>
      <c r="F1889" s="2" t="b">
        <f t="shared" si="119"/>
        <v>1</v>
      </c>
      <c r="G1889" s="2">
        <f t="shared" si="117"/>
        <v>41770</v>
      </c>
      <c r="H1889" s="1" t="s">
        <v>46</v>
      </c>
      <c r="I1889" s="1" t="s">
        <v>1022</v>
      </c>
      <c r="J1889" s="1">
        <v>500</v>
      </c>
      <c r="K1889" s="1">
        <v>390</v>
      </c>
      <c r="L1889" s="3">
        <v>0.22</v>
      </c>
      <c r="N1889" t="s">
        <v>3763</v>
      </c>
      <c r="S1889" s="4" t="e">
        <f t="shared" si="118"/>
        <v>#NUM!</v>
      </c>
      <c r="T1889" s="4" t="str">
        <f t="shared" si="116"/>
        <v/>
      </c>
      <c r="U1889" s="4" t="s">
        <v>3763</v>
      </c>
    </row>
    <row r="1890" spans="1:21" x14ac:dyDescent="0.3">
      <c r="A1890" t="s">
        <v>2495</v>
      </c>
      <c r="B1890" s="1" t="s">
        <v>124</v>
      </c>
      <c r="C1890" s="1" t="s">
        <v>40</v>
      </c>
      <c r="D1890" s="1" t="s">
        <v>35</v>
      </c>
      <c r="E1890" s="2">
        <v>42372</v>
      </c>
      <c r="F1890" s="2" t="b">
        <f t="shared" si="119"/>
        <v>1</v>
      </c>
      <c r="G1890" s="2">
        <f t="shared" si="117"/>
        <v>42372</v>
      </c>
      <c r="H1890" s="1" t="s">
        <v>14</v>
      </c>
      <c r="I1890" s="1" t="s">
        <v>2496</v>
      </c>
      <c r="J1890" s="1">
        <v>80</v>
      </c>
      <c r="K1890" s="1">
        <v>70</v>
      </c>
      <c r="L1890" s="3">
        <v>0.125</v>
      </c>
      <c r="N1890" t="s">
        <v>3763</v>
      </c>
      <c r="S1890" s="4" t="e">
        <f t="shared" si="118"/>
        <v>#NUM!</v>
      </c>
      <c r="T1890" s="4" t="str">
        <f t="shared" si="116"/>
        <v/>
      </c>
      <c r="U1890" s="4" t="s">
        <v>3763</v>
      </c>
    </row>
    <row r="1891" spans="1:21" x14ac:dyDescent="0.3">
      <c r="A1891" t="s">
        <v>2497</v>
      </c>
      <c r="B1891" s="1" t="s">
        <v>150</v>
      </c>
      <c r="C1891" s="1" t="s">
        <v>151</v>
      </c>
      <c r="D1891" s="1" t="s">
        <v>13</v>
      </c>
      <c r="E1891" s="2">
        <v>41796</v>
      </c>
      <c r="F1891" s="2" t="b">
        <f t="shared" si="119"/>
        <v>1</v>
      </c>
      <c r="G1891" s="2">
        <f t="shared" si="117"/>
        <v>41796</v>
      </c>
      <c r="H1891" s="1" t="s">
        <v>46</v>
      </c>
      <c r="I1891" s="1" t="s">
        <v>306</v>
      </c>
      <c r="J1891" s="1">
        <v>500</v>
      </c>
      <c r="K1891" s="1">
        <v>420</v>
      </c>
      <c r="L1891" s="3">
        <v>0.16</v>
      </c>
      <c r="N1891" t="s">
        <v>3763</v>
      </c>
      <c r="S1891" s="4" t="e">
        <f t="shared" si="118"/>
        <v>#NUM!</v>
      </c>
      <c r="T1891" s="4" t="str">
        <f t="shared" si="116"/>
        <v/>
      </c>
      <c r="U1891" s="4" t="s">
        <v>3763</v>
      </c>
    </row>
    <row r="1892" spans="1:21" x14ac:dyDescent="0.3">
      <c r="A1892" t="s">
        <v>2498</v>
      </c>
      <c r="B1892" s="1" t="s">
        <v>95</v>
      </c>
      <c r="C1892" s="1" t="s">
        <v>96</v>
      </c>
      <c r="D1892" s="1" t="s">
        <v>13</v>
      </c>
      <c r="E1892" s="2">
        <v>42865</v>
      </c>
      <c r="F1892" s="2" t="b">
        <f t="shared" si="119"/>
        <v>1</v>
      </c>
      <c r="G1892" s="2">
        <f t="shared" si="117"/>
        <v>42865</v>
      </c>
      <c r="H1892" s="1" t="s">
        <v>104</v>
      </c>
      <c r="I1892" s="1" t="s">
        <v>1275</v>
      </c>
      <c r="J1892" s="1">
        <v>70</v>
      </c>
      <c r="K1892" s="1">
        <v>63</v>
      </c>
      <c r="L1892" s="3">
        <v>0.1</v>
      </c>
      <c r="N1892" t="s">
        <v>3763</v>
      </c>
      <c r="S1892" s="4" t="e">
        <f t="shared" si="118"/>
        <v>#NUM!</v>
      </c>
      <c r="T1892" s="4" t="str">
        <f t="shared" si="116"/>
        <v/>
      </c>
      <c r="U1892" s="4" t="s">
        <v>3763</v>
      </c>
    </row>
    <row r="1893" spans="1:21" x14ac:dyDescent="0.3">
      <c r="A1893" t="s">
        <v>2499</v>
      </c>
      <c r="B1893" s="1" t="s">
        <v>221</v>
      </c>
      <c r="C1893" s="1" t="s">
        <v>40</v>
      </c>
      <c r="D1893" s="1" t="s">
        <v>35</v>
      </c>
      <c r="E1893" s="2" t="s">
        <v>3057</v>
      </c>
      <c r="F1893" s="2" t="b">
        <f t="shared" si="119"/>
        <v>0</v>
      </c>
      <c r="G1893" s="2">
        <f t="shared" si="117"/>
        <v>42180</v>
      </c>
      <c r="H1893" s="1" t="s">
        <v>14</v>
      </c>
      <c r="I1893" s="1" t="s">
        <v>262</v>
      </c>
      <c r="J1893" s="1">
        <v>80</v>
      </c>
      <c r="K1893" s="1">
        <v>62</v>
      </c>
      <c r="L1893" s="3">
        <v>0.22500000000000001</v>
      </c>
      <c r="N1893" t="s">
        <v>3057</v>
      </c>
      <c r="P1893">
        <v>6</v>
      </c>
      <c r="Q1893">
        <v>25</v>
      </c>
      <c r="R1893">
        <v>2015</v>
      </c>
      <c r="S1893" s="4">
        <f t="shared" si="118"/>
        <v>42180</v>
      </c>
      <c r="T1893" s="4">
        <f t="shared" si="116"/>
        <v>42180</v>
      </c>
      <c r="U1893" s="4">
        <v>42180</v>
      </c>
    </row>
    <row r="1894" spans="1:21" x14ac:dyDescent="0.3">
      <c r="A1894" t="s">
        <v>2500</v>
      </c>
      <c r="B1894" s="1" t="s">
        <v>111</v>
      </c>
      <c r="C1894" s="1" t="s">
        <v>82</v>
      </c>
      <c r="D1894" s="1" t="s">
        <v>13</v>
      </c>
      <c r="E1894" s="2">
        <v>41951</v>
      </c>
      <c r="F1894" s="2" t="b">
        <f t="shared" si="119"/>
        <v>1</v>
      </c>
      <c r="G1894" s="2">
        <f t="shared" si="117"/>
        <v>41951</v>
      </c>
      <c r="H1894" s="1" t="s">
        <v>122</v>
      </c>
      <c r="I1894" s="1" t="s">
        <v>826</v>
      </c>
      <c r="J1894" s="1">
        <v>50</v>
      </c>
      <c r="K1894" s="1">
        <v>49</v>
      </c>
      <c r="L1894" s="3">
        <v>0.02</v>
      </c>
      <c r="N1894" t="s">
        <v>3763</v>
      </c>
      <c r="S1894" s="4" t="e">
        <f t="shared" si="118"/>
        <v>#NUM!</v>
      </c>
      <c r="T1894" s="4" t="str">
        <f t="shared" si="116"/>
        <v/>
      </c>
      <c r="U1894" s="4" t="s">
        <v>3763</v>
      </c>
    </row>
    <row r="1895" spans="1:21" x14ac:dyDescent="0.3">
      <c r="A1895" t="s">
        <v>2501</v>
      </c>
      <c r="B1895" s="1" t="s">
        <v>114</v>
      </c>
      <c r="C1895" s="1" t="s">
        <v>54</v>
      </c>
      <c r="D1895" s="1" t="s">
        <v>13</v>
      </c>
      <c r="E1895" s="2" t="s">
        <v>3102</v>
      </c>
      <c r="F1895" s="2" t="b">
        <f t="shared" si="119"/>
        <v>0</v>
      </c>
      <c r="G1895" s="2">
        <f t="shared" si="117"/>
        <v>41868</v>
      </c>
      <c r="H1895" s="1" t="s">
        <v>55</v>
      </c>
      <c r="I1895" s="1" t="s">
        <v>168</v>
      </c>
      <c r="J1895" s="1">
        <v>800</v>
      </c>
      <c r="K1895" s="1">
        <v>592</v>
      </c>
      <c r="L1895" s="3">
        <v>0.26</v>
      </c>
      <c r="N1895" t="s">
        <v>3102</v>
      </c>
      <c r="P1895">
        <v>8</v>
      </c>
      <c r="Q1895">
        <v>17</v>
      </c>
      <c r="R1895">
        <v>2014</v>
      </c>
      <c r="S1895" s="4">
        <f t="shared" si="118"/>
        <v>41868</v>
      </c>
      <c r="T1895" s="4">
        <f t="shared" si="116"/>
        <v>41868</v>
      </c>
      <c r="U1895" s="4">
        <v>41868</v>
      </c>
    </row>
    <row r="1896" spans="1:21" x14ac:dyDescent="0.3">
      <c r="A1896" t="s">
        <v>2502</v>
      </c>
      <c r="B1896" s="1" t="s">
        <v>221</v>
      </c>
      <c r="C1896" s="1" t="s">
        <v>40</v>
      </c>
      <c r="D1896" s="1" t="s">
        <v>35</v>
      </c>
      <c r="E1896" s="2">
        <v>42501</v>
      </c>
      <c r="F1896" s="2" t="b">
        <f t="shared" si="119"/>
        <v>1</v>
      </c>
      <c r="G1896" s="2">
        <f t="shared" si="117"/>
        <v>42501</v>
      </c>
      <c r="H1896" s="1" t="s">
        <v>30</v>
      </c>
      <c r="I1896" s="1" t="s">
        <v>1059</v>
      </c>
      <c r="J1896" s="1">
        <v>150</v>
      </c>
      <c r="K1896" s="1">
        <v>149</v>
      </c>
      <c r="L1896" s="3">
        <v>6.7000000000000002E-3</v>
      </c>
      <c r="N1896" t="s">
        <v>3763</v>
      </c>
      <c r="S1896" s="4" t="e">
        <f t="shared" si="118"/>
        <v>#NUM!</v>
      </c>
      <c r="T1896" s="4" t="str">
        <f t="shared" si="116"/>
        <v/>
      </c>
      <c r="U1896" s="4" t="s">
        <v>3763</v>
      </c>
    </row>
    <row r="1897" spans="1:21" x14ac:dyDescent="0.3">
      <c r="A1897" t="s">
        <v>2503</v>
      </c>
      <c r="B1897" s="1" t="s">
        <v>227</v>
      </c>
      <c r="C1897" s="1" t="s">
        <v>228</v>
      </c>
      <c r="D1897" s="1" t="s">
        <v>24</v>
      </c>
      <c r="E1897" s="2">
        <v>42681</v>
      </c>
      <c r="F1897" s="2" t="b">
        <f t="shared" si="119"/>
        <v>1</v>
      </c>
      <c r="G1897" s="2">
        <f t="shared" si="117"/>
        <v>42681</v>
      </c>
      <c r="H1897" s="1" t="s">
        <v>61</v>
      </c>
      <c r="I1897" s="1" t="s">
        <v>984</v>
      </c>
      <c r="J1897" s="1">
        <v>1000</v>
      </c>
      <c r="K1897" s="1">
        <v>900</v>
      </c>
      <c r="L1897" s="3">
        <v>0.1</v>
      </c>
      <c r="N1897" t="s">
        <v>3763</v>
      </c>
      <c r="S1897" s="4" t="e">
        <f t="shared" si="118"/>
        <v>#NUM!</v>
      </c>
      <c r="T1897" s="4" t="str">
        <f t="shared" si="116"/>
        <v/>
      </c>
      <c r="U1897" s="4" t="s">
        <v>3763</v>
      </c>
    </row>
    <row r="1898" spans="1:21" x14ac:dyDescent="0.3">
      <c r="A1898" t="s">
        <v>2504</v>
      </c>
      <c r="B1898" s="1" t="s">
        <v>17</v>
      </c>
      <c r="C1898" s="1" t="s">
        <v>18</v>
      </c>
      <c r="D1898" s="1" t="s">
        <v>19</v>
      </c>
      <c r="E1898" s="2" t="s">
        <v>3672</v>
      </c>
      <c r="F1898" s="2" t="b">
        <f t="shared" si="119"/>
        <v>0</v>
      </c>
      <c r="G1898" s="2">
        <f t="shared" si="117"/>
        <v>42139</v>
      </c>
      <c r="H1898" s="1" t="s">
        <v>25</v>
      </c>
      <c r="I1898" s="1" t="s">
        <v>478</v>
      </c>
      <c r="J1898" s="1">
        <v>700</v>
      </c>
      <c r="K1898" s="1">
        <v>651</v>
      </c>
      <c r="L1898" s="3">
        <v>7.0000000000000007E-2</v>
      </c>
      <c r="N1898" t="s">
        <v>3672</v>
      </c>
      <c r="P1898">
        <v>5</v>
      </c>
      <c r="Q1898">
        <v>15</v>
      </c>
      <c r="R1898">
        <v>2015</v>
      </c>
      <c r="S1898" s="4">
        <f t="shared" si="118"/>
        <v>42139</v>
      </c>
      <c r="T1898" s="4">
        <f t="shared" si="116"/>
        <v>42139</v>
      </c>
      <c r="U1898" s="4">
        <v>42139</v>
      </c>
    </row>
    <row r="1899" spans="1:21" x14ac:dyDescent="0.3">
      <c r="A1899" t="s">
        <v>2505</v>
      </c>
      <c r="B1899" s="1" t="s">
        <v>289</v>
      </c>
      <c r="C1899" s="1" t="s">
        <v>108</v>
      </c>
      <c r="D1899" s="1" t="s">
        <v>19</v>
      </c>
      <c r="E1899" s="2">
        <v>43074</v>
      </c>
      <c r="F1899" s="2" t="b">
        <f t="shared" si="119"/>
        <v>1</v>
      </c>
      <c r="G1899" s="2">
        <f t="shared" si="117"/>
        <v>43074</v>
      </c>
      <c r="H1899" s="1" t="s">
        <v>36</v>
      </c>
      <c r="I1899" s="1" t="s">
        <v>346</v>
      </c>
      <c r="J1899" s="1">
        <v>50</v>
      </c>
      <c r="K1899" s="1">
        <v>48</v>
      </c>
      <c r="L1899" s="3">
        <v>0.04</v>
      </c>
      <c r="N1899" t="s">
        <v>3763</v>
      </c>
      <c r="S1899" s="4" t="e">
        <f t="shared" si="118"/>
        <v>#NUM!</v>
      </c>
      <c r="T1899" s="4" t="str">
        <f t="shared" si="116"/>
        <v/>
      </c>
      <c r="U1899" s="4" t="s">
        <v>3763</v>
      </c>
    </row>
    <row r="1900" spans="1:21" x14ac:dyDescent="0.3">
      <c r="A1900" t="s">
        <v>2506</v>
      </c>
      <c r="B1900" s="1" t="s">
        <v>70</v>
      </c>
      <c r="C1900" s="1" t="s">
        <v>71</v>
      </c>
      <c r="D1900" s="1" t="s">
        <v>35</v>
      </c>
      <c r="E1900" s="2" t="s">
        <v>3387</v>
      </c>
      <c r="F1900" s="2" t="b">
        <f t="shared" si="119"/>
        <v>0</v>
      </c>
      <c r="G1900" s="2">
        <f t="shared" si="117"/>
        <v>42873</v>
      </c>
      <c r="H1900" s="1" t="s">
        <v>55</v>
      </c>
      <c r="I1900" s="1" t="s">
        <v>417</v>
      </c>
      <c r="J1900" s="1">
        <v>800</v>
      </c>
      <c r="K1900" s="1">
        <v>592</v>
      </c>
      <c r="L1900" s="3">
        <v>0.26</v>
      </c>
      <c r="N1900" t="s">
        <v>3387</v>
      </c>
      <c r="P1900">
        <v>5</v>
      </c>
      <c r="Q1900">
        <v>18</v>
      </c>
      <c r="R1900">
        <v>2017</v>
      </c>
      <c r="S1900" s="4">
        <f t="shared" si="118"/>
        <v>42873</v>
      </c>
      <c r="T1900" s="4">
        <f t="shared" si="116"/>
        <v>42873</v>
      </c>
      <c r="U1900" s="4">
        <v>42873</v>
      </c>
    </row>
    <row r="1901" spans="1:21" x14ac:dyDescent="0.3">
      <c r="A1901" t="s">
        <v>2507</v>
      </c>
      <c r="B1901" s="1" t="s">
        <v>131</v>
      </c>
      <c r="C1901" s="1" t="s">
        <v>108</v>
      </c>
      <c r="D1901" s="1" t="s">
        <v>19</v>
      </c>
      <c r="E1901" s="2" t="s">
        <v>3320</v>
      </c>
      <c r="F1901" s="2" t="b">
        <f t="shared" si="119"/>
        <v>0</v>
      </c>
      <c r="G1901" s="2">
        <f t="shared" si="117"/>
        <v>43150</v>
      </c>
      <c r="H1901" s="1" t="s">
        <v>30</v>
      </c>
      <c r="I1901" s="1" t="s">
        <v>536</v>
      </c>
      <c r="J1901" s="1">
        <v>150</v>
      </c>
      <c r="K1901" s="1">
        <v>137</v>
      </c>
      <c r="L1901" s="3">
        <v>8.6699999999999999E-2</v>
      </c>
      <c r="N1901" t="s">
        <v>3320</v>
      </c>
      <c r="P1901">
        <v>2</v>
      </c>
      <c r="Q1901">
        <v>19</v>
      </c>
      <c r="R1901">
        <v>2018</v>
      </c>
      <c r="S1901" s="4">
        <f t="shared" si="118"/>
        <v>43150</v>
      </c>
      <c r="T1901" s="4">
        <f t="shared" si="116"/>
        <v>43150</v>
      </c>
      <c r="U1901" s="4">
        <v>43150</v>
      </c>
    </row>
    <row r="1902" spans="1:21" x14ac:dyDescent="0.3">
      <c r="A1902" t="s">
        <v>2508</v>
      </c>
      <c r="B1902" s="1" t="s">
        <v>146</v>
      </c>
      <c r="C1902" s="1" t="s">
        <v>147</v>
      </c>
      <c r="D1902" s="1" t="s">
        <v>13</v>
      </c>
      <c r="E1902" s="2" t="s">
        <v>3464</v>
      </c>
      <c r="F1902" s="2" t="b">
        <f t="shared" si="119"/>
        <v>0</v>
      </c>
      <c r="G1902" s="2">
        <f t="shared" si="117"/>
        <v>42760</v>
      </c>
      <c r="H1902" s="1" t="s">
        <v>46</v>
      </c>
      <c r="I1902" s="1" t="s">
        <v>1647</v>
      </c>
      <c r="J1902" s="1">
        <v>500</v>
      </c>
      <c r="K1902" s="1">
        <v>475</v>
      </c>
      <c r="L1902" s="3">
        <v>0.05</v>
      </c>
      <c r="N1902" t="s">
        <v>3464</v>
      </c>
      <c r="P1902">
        <v>1</v>
      </c>
      <c r="Q1902">
        <v>25</v>
      </c>
      <c r="R1902">
        <v>2017</v>
      </c>
      <c r="S1902" s="4">
        <f t="shared" si="118"/>
        <v>42760</v>
      </c>
      <c r="T1902" s="4">
        <f t="shared" si="116"/>
        <v>42760</v>
      </c>
      <c r="U1902" s="4">
        <v>42760</v>
      </c>
    </row>
    <row r="1903" spans="1:21" x14ac:dyDescent="0.3">
      <c r="A1903" t="s">
        <v>2509</v>
      </c>
      <c r="B1903" s="1" t="s">
        <v>95</v>
      </c>
      <c r="C1903" s="1" t="s">
        <v>96</v>
      </c>
      <c r="D1903" s="1" t="s">
        <v>13</v>
      </c>
      <c r="E1903" s="2" t="s">
        <v>3673</v>
      </c>
      <c r="F1903" s="2" t="b">
        <f t="shared" si="119"/>
        <v>0</v>
      </c>
      <c r="G1903" s="2">
        <f t="shared" si="117"/>
        <v>42362</v>
      </c>
      <c r="H1903" s="1" t="s">
        <v>30</v>
      </c>
      <c r="I1903" s="1" t="s">
        <v>2138</v>
      </c>
      <c r="J1903" s="1">
        <v>150</v>
      </c>
      <c r="K1903" s="1">
        <v>105</v>
      </c>
      <c r="L1903" s="3">
        <v>0.3</v>
      </c>
      <c r="N1903" t="s">
        <v>3673</v>
      </c>
      <c r="P1903">
        <v>12</v>
      </c>
      <c r="Q1903">
        <v>24</v>
      </c>
      <c r="R1903">
        <v>2015</v>
      </c>
      <c r="S1903" s="4">
        <f t="shared" si="118"/>
        <v>42362</v>
      </c>
      <c r="T1903" s="4">
        <f t="shared" si="116"/>
        <v>42362</v>
      </c>
      <c r="U1903" s="4">
        <v>42362</v>
      </c>
    </row>
    <row r="1904" spans="1:21" x14ac:dyDescent="0.3">
      <c r="A1904" t="s">
        <v>2510</v>
      </c>
      <c r="B1904" s="1" t="s">
        <v>241</v>
      </c>
      <c r="C1904" s="1" t="s">
        <v>242</v>
      </c>
      <c r="D1904" s="1" t="s">
        <v>13</v>
      </c>
      <c r="E1904" s="2" t="s">
        <v>3442</v>
      </c>
      <c r="F1904" s="2" t="b">
        <f t="shared" si="119"/>
        <v>0</v>
      </c>
      <c r="G1904" s="2">
        <f t="shared" si="117"/>
        <v>42630</v>
      </c>
      <c r="H1904" s="1" t="s">
        <v>25</v>
      </c>
      <c r="I1904" s="1" t="s">
        <v>243</v>
      </c>
      <c r="J1904" s="1">
        <v>700</v>
      </c>
      <c r="K1904" s="1">
        <v>602</v>
      </c>
      <c r="L1904" s="3">
        <v>0.14000000000000001</v>
      </c>
      <c r="N1904" t="s">
        <v>3442</v>
      </c>
      <c r="P1904">
        <v>9</v>
      </c>
      <c r="Q1904">
        <v>17</v>
      </c>
      <c r="R1904">
        <v>2016</v>
      </c>
      <c r="S1904" s="4">
        <f t="shared" si="118"/>
        <v>42630</v>
      </c>
      <c r="T1904" s="4">
        <f t="shared" si="116"/>
        <v>42630</v>
      </c>
      <c r="U1904" s="4">
        <v>42630</v>
      </c>
    </row>
    <row r="1905" spans="1:21" x14ac:dyDescent="0.3">
      <c r="A1905" t="s">
        <v>2511</v>
      </c>
      <c r="B1905" s="1" t="s">
        <v>91</v>
      </c>
      <c r="C1905" s="1" t="s">
        <v>92</v>
      </c>
      <c r="D1905" s="1" t="s">
        <v>35</v>
      </c>
      <c r="E1905" s="2" t="s">
        <v>3674</v>
      </c>
      <c r="F1905" s="2" t="b">
        <f t="shared" si="119"/>
        <v>0</v>
      </c>
      <c r="G1905" s="2">
        <f t="shared" si="117"/>
        <v>42267</v>
      </c>
      <c r="H1905" s="1" t="s">
        <v>55</v>
      </c>
      <c r="I1905" s="1" t="s">
        <v>2351</v>
      </c>
      <c r="J1905" s="1">
        <v>800</v>
      </c>
      <c r="K1905" s="1">
        <v>672</v>
      </c>
      <c r="L1905" s="3">
        <v>0.16</v>
      </c>
      <c r="N1905" t="s">
        <v>3674</v>
      </c>
      <c r="P1905">
        <v>9</v>
      </c>
      <c r="Q1905">
        <v>20</v>
      </c>
      <c r="R1905">
        <v>2015</v>
      </c>
      <c r="S1905" s="4">
        <f t="shared" si="118"/>
        <v>42267</v>
      </c>
      <c r="T1905" s="4">
        <f t="shared" si="116"/>
        <v>42267</v>
      </c>
      <c r="U1905" s="4">
        <v>42267</v>
      </c>
    </row>
    <row r="1906" spans="1:21" x14ac:dyDescent="0.3">
      <c r="A1906" t="s">
        <v>2512</v>
      </c>
      <c r="B1906" s="1" t="s">
        <v>224</v>
      </c>
      <c r="C1906" s="1" t="s">
        <v>50</v>
      </c>
      <c r="D1906" s="1" t="s">
        <v>24</v>
      </c>
      <c r="E1906" s="2">
        <v>43414</v>
      </c>
      <c r="F1906" s="2" t="b">
        <f t="shared" si="119"/>
        <v>1</v>
      </c>
      <c r="G1906" s="2">
        <f t="shared" si="117"/>
        <v>43414</v>
      </c>
      <c r="H1906" s="1" t="s">
        <v>41</v>
      </c>
      <c r="I1906" s="1" t="s">
        <v>1942</v>
      </c>
      <c r="J1906" s="1">
        <v>30</v>
      </c>
      <c r="K1906" s="1">
        <v>28</v>
      </c>
      <c r="L1906" s="3">
        <v>6.6699999999999995E-2</v>
      </c>
      <c r="N1906" t="s">
        <v>3763</v>
      </c>
      <c r="S1906" s="4" t="e">
        <f t="shared" si="118"/>
        <v>#NUM!</v>
      </c>
      <c r="T1906" s="4" t="str">
        <f t="shared" si="116"/>
        <v/>
      </c>
      <c r="U1906" s="4" t="s">
        <v>3763</v>
      </c>
    </row>
    <row r="1907" spans="1:21" x14ac:dyDescent="0.3">
      <c r="A1907" t="s">
        <v>2513</v>
      </c>
      <c r="B1907" s="1" t="s">
        <v>44</v>
      </c>
      <c r="C1907" s="1" t="s">
        <v>45</v>
      </c>
      <c r="D1907" s="1" t="s">
        <v>24</v>
      </c>
      <c r="E1907" s="2" t="s">
        <v>3239</v>
      </c>
      <c r="F1907" s="2" t="b">
        <f t="shared" si="119"/>
        <v>0</v>
      </c>
      <c r="G1907" s="2">
        <f t="shared" si="117"/>
        <v>42202</v>
      </c>
      <c r="H1907" s="1" t="s">
        <v>25</v>
      </c>
      <c r="I1907" s="1" t="s">
        <v>1177</v>
      </c>
      <c r="J1907" s="1">
        <v>700</v>
      </c>
      <c r="K1907" s="1">
        <v>420</v>
      </c>
      <c r="L1907" s="3">
        <v>0.4</v>
      </c>
      <c r="N1907" t="s">
        <v>3239</v>
      </c>
      <c r="P1907">
        <v>7</v>
      </c>
      <c r="Q1907">
        <v>17</v>
      </c>
      <c r="R1907">
        <v>2015</v>
      </c>
      <c r="S1907" s="4">
        <f t="shared" si="118"/>
        <v>42202</v>
      </c>
      <c r="T1907" s="4">
        <f t="shared" si="116"/>
        <v>42202</v>
      </c>
      <c r="U1907" s="4">
        <v>42202</v>
      </c>
    </row>
    <row r="1908" spans="1:21" x14ac:dyDescent="0.3">
      <c r="A1908" t="s">
        <v>2514</v>
      </c>
      <c r="B1908" s="1" t="s">
        <v>289</v>
      </c>
      <c r="C1908" s="1" t="s">
        <v>108</v>
      </c>
      <c r="D1908" s="1" t="s">
        <v>19</v>
      </c>
      <c r="E1908" s="2" t="s">
        <v>3675</v>
      </c>
      <c r="F1908" s="2" t="b">
        <f t="shared" si="119"/>
        <v>0</v>
      </c>
      <c r="G1908" s="2">
        <f t="shared" si="117"/>
        <v>43296</v>
      </c>
      <c r="H1908" s="1" t="s">
        <v>41</v>
      </c>
      <c r="I1908" s="1" t="s">
        <v>1129</v>
      </c>
      <c r="J1908" s="1">
        <v>30</v>
      </c>
      <c r="K1908" s="1">
        <v>29</v>
      </c>
      <c r="L1908" s="3">
        <v>3.3300000000000003E-2</v>
      </c>
      <c r="N1908" t="s">
        <v>3675</v>
      </c>
      <c r="P1908">
        <v>7</v>
      </c>
      <c r="Q1908">
        <v>15</v>
      </c>
      <c r="R1908">
        <v>2018</v>
      </c>
      <c r="S1908" s="4">
        <f t="shared" si="118"/>
        <v>43296</v>
      </c>
      <c r="T1908" s="4">
        <f t="shared" si="116"/>
        <v>43296</v>
      </c>
      <c r="U1908" s="4">
        <v>43296</v>
      </c>
    </row>
    <row r="1909" spans="1:21" x14ac:dyDescent="0.3">
      <c r="A1909" t="s">
        <v>2515</v>
      </c>
      <c r="B1909" s="1" t="s">
        <v>255</v>
      </c>
      <c r="C1909" s="1" t="s">
        <v>256</v>
      </c>
      <c r="D1909" s="1" t="s">
        <v>13</v>
      </c>
      <c r="E1909" s="2">
        <v>42288</v>
      </c>
      <c r="F1909" s="2" t="b">
        <f t="shared" si="119"/>
        <v>1</v>
      </c>
      <c r="G1909" s="2">
        <f t="shared" si="117"/>
        <v>42288</v>
      </c>
      <c r="H1909" s="1" t="s">
        <v>25</v>
      </c>
      <c r="I1909" s="1" t="s">
        <v>522</v>
      </c>
      <c r="J1909" s="1">
        <v>700</v>
      </c>
      <c r="K1909" s="1">
        <v>616</v>
      </c>
      <c r="L1909" s="3">
        <v>0.12</v>
      </c>
      <c r="N1909" t="s">
        <v>3763</v>
      </c>
      <c r="S1909" s="4" t="e">
        <f t="shared" si="118"/>
        <v>#NUM!</v>
      </c>
      <c r="T1909" s="4" t="str">
        <f t="shared" si="116"/>
        <v/>
      </c>
      <c r="U1909" s="4" t="s">
        <v>3763</v>
      </c>
    </row>
    <row r="1910" spans="1:21" x14ac:dyDescent="0.3">
      <c r="A1910" t="s">
        <v>2516</v>
      </c>
      <c r="B1910" s="1" t="s">
        <v>434</v>
      </c>
      <c r="C1910" s="1" t="s">
        <v>435</v>
      </c>
      <c r="D1910" s="1" t="s">
        <v>24</v>
      </c>
      <c r="E1910" s="2" t="s">
        <v>3067</v>
      </c>
      <c r="F1910" s="2" t="b">
        <f t="shared" si="119"/>
        <v>0</v>
      </c>
      <c r="G1910" s="2">
        <f t="shared" si="117"/>
        <v>43121</v>
      </c>
      <c r="H1910" s="1" t="s">
        <v>25</v>
      </c>
      <c r="I1910" s="1" t="s">
        <v>550</v>
      </c>
      <c r="J1910" s="1">
        <v>700</v>
      </c>
      <c r="K1910" s="1">
        <v>602</v>
      </c>
      <c r="L1910" s="3">
        <v>0.14000000000000001</v>
      </c>
      <c r="N1910" t="s">
        <v>3067</v>
      </c>
      <c r="P1910">
        <v>1</v>
      </c>
      <c r="Q1910">
        <v>21</v>
      </c>
      <c r="R1910">
        <v>2018</v>
      </c>
      <c r="S1910" s="4">
        <f t="shared" si="118"/>
        <v>43121</v>
      </c>
      <c r="T1910" s="4">
        <f t="shared" si="116"/>
        <v>43121</v>
      </c>
      <c r="U1910" s="4">
        <v>43121</v>
      </c>
    </row>
    <row r="1911" spans="1:21" x14ac:dyDescent="0.3">
      <c r="A1911" t="s">
        <v>2517</v>
      </c>
      <c r="B1911" s="1" t="s">
        <v>111</v>
      </c>
      <c r="C1911" s="1" t="s">
        <v>82</v>
      </c>
      <c r="D1911" s="1" t="s">
        <v>13</v>
      </c>
      <c r="E1911" s="2">
        <v>42040</v>
      </c>
      <c r="F1911" s="2" t="b">
        <f t="shared" si="119"/>
        <v>1</v>
      </c>
      <c r="G1911" s="2">
        <f t="shared" si="117"/>
        <v>42040</v>
      </c>
      <c r="H1911" s="1" t="s">
        <v>55</v>
      </c>
      <c r="I1911" s="1" t="s">
        <v>610</v>
      </c>
      <c r="J1911" s="1">
        <v>800</v>
      </c>
      <c r="K1911" s="1">
        <v>704</v>
      </c>
      <c r="L1911" s="3">
        <v>0.12</v>
      </c>
      <c r="N1911" t="s">
        <v>3763</v>
      </c>
      <c r="S1911" s="4" t="e">
        <f t="shared" si="118"/>
        <v>#NUM!</v>
      </c>
      <c r="T1911" s="4" t="str">
        <f t="shared" si="116"/>
        <v/>
      </c>
      <c r="U1911" s="4" t="s">
        <v>3763</v>
      </c>
    </row>
    <row r="1912" spans="1:21" x14ac:dyDescent="0.3">
      <c r="A1912" t="s">
        <v>2518</v>
      </c>
      <c r="B1912" s="1" t="s">
        <v>227</v>
      </c>
      <c r="C1912" s="1" t="s">
        <v>228</v>
      </c>
      <c r="D1912" s="1" t="s">
        <v>24</v>
      </c>
      <c r="E1912" s="2">
        <v>42497</v>
      </c>
      <c r="F1912" s="2" t="b">
        <f t="shared" si="119"/>
        <v>1</v>
      </c>
      <c r="G1912" s="2">
        <f t="shared" si="117"/>
        <v>42497</v>
      </c>
      <c r="H1912" s="1" t="s">
        <v>72</v>
      </c>
      <c r="I1912" s="1" t="s">
        <v>836</v>
      </c>
      <c r="J1912" s="1">
        <v>500</v>
      </c>
      <c r="K1912" s="1">
        <v>500</v>
      </c>
      <c r="L1912" s="3">
        <v>0</v>
      </c>
      <c r="N1912" t="s">
        <v>3763</v>
      </c>
      <c r="S1912" s="4" t="e">
        <f t="shared" si="118"/>
        <v>#NUM!</v>
      </c>
      <c r="T1912" s="4" t="str">
        <f t="shared" si="116"/>
        <v/>
      </c>
      <c r="U1912" s="4" t="s">
        <v>3763</v>
      </c>
    </row>
    <row r="1913" spans="1:21" x14ac:dyDescent="0.3">
      <c r="A1913" t="s">
        <v>2519</v>
      </c>
      <c r="B1913" s="1" t="s">
        <v>205</v>
      </c>
      <c r="C1913" s="1" t="s">
        <v>206</v>
      </c>
      <c r="D1913" s="1" t="s">
        <v>24</v>
      </c>
      <c r="E1913" s="2" t="s">
        <v>3344</v>
      </c>
      <c r="F1913" s="2" t="b">
        <f t="shared" si="119"/>
        <v>0</v>
      </c>
      <c r="G1913" s="2">
        <f t="shared" si="117"/>
        <v>43052</v>
      </c>
      <c r="H1913" s="1" t="s">
        <v>30</v>
      </c>
      <c r="I1913" s="1" t="s">
        <v>1478</v>
      </c>
      <c r="J1913" s="1">
        <v>150</v>
      </c>
      <c r="K1913" s="1">
        <v>147</v>
      </c>
      <c r="L1913" s="3">
        <v>0.02</v>
      </c>
      <c r="N1913" t="s">
        <v>3344</v>
      </c>
      <c r="P1913">
        <v>11</v>
      </c>
      <c r="Q1913">
        <v>13</v>
      </c>
      <c r="R1913">
        <v>2017</v>
      </c>
      <c r="S1913" s="4">
        <f t="shared" si="118"/>
        <v>43052</v>
      </c>
      <c r="T1913" s="4">
        <f t="shared" si="116"/>
        <v>43052</v>
      </c>
      <c r="U1913" s="4">
        <v>43052</v>
      </c>
    </row>
    <row r="1914" spans="1:21" x14ac:dyDescent="0.3">
      <c r="A1914" t="s">
        <v>2520</v>
      </c>
      <c r="B1914" s="1" t="s">
        <v>17</v>
      </c>
      <c r="C1914" s="1" t="s">
        <v>18</v>
      </c>
      <c r="D1914" s="1" t="s">
        <v>19</v>
      </c>
      <c r="E1914" s="2" t="s">
        <v>3615</v>
      </c>
      <c r="F1914" s="2" t="b">
        <f t="shared" si="119"/>
        <v>0</v>
      </c>
      <c r="G1914" s="2">
        <f t="shared" si="117"/>
        <v>43245</v>
      </c>
      <c r="H1914" s="1" t="s">
        <v>41</v>
      </c>
      <c r="I1914" s="1" t="s">
        <v>493</v>
      </c>
      <c r="J1914" s="1">
        <v>30</v>
      </c>
      <c r="K1914" s="1">
        <v>29</v>
      </c>
      <c r="L1914" s="3">
        <v>3.3300000000000003E-2</v>
      </c>
      <c r="N1914" t="s">
        <v>3615</v>
      </c>
      <c r="P1914">
        <v>5</v>
      </c>
      <c r="Q1914">
        <v>25</v>
      </c>
      <c r="R1914">
        <v>2018</v>
      </c>
      <c r="S1914" s="4">
        <f t="shared" si="118"/>
        <v>43245</v>
      </c>
      <c r="T1914" s="4">
        <f t="shared" si="116"/>
        <v>43245</v>
      </c>
      <c r="U1914" s="4">
        <v>43245</v>
      </c>
    </row>
    <row r="1915" spans="1:21" x14ac:dyDescent="0.3">
      <c r="A1915" t="s">
        <v>2521</v>
      </c>
      <c r="B1915" s="1" t="s">
        <v>221</v>
      </c>
      <c r="C1915" s="1" t="s">
        <v>40</v>
      </c>
      <c r="D1915" s="1" t="s">
        <v>35</v>
      </c>
      <c r="E1915" s="2" t="s">
        <v>3676</v>
      </c>
      <c r="F1915" s="2" t="b">
        <f t="shared" si="119"/>
        <v>0</v>
      </c>
      <c r="G1915" s="2">
        <f t="shared" si="117"/>
        <v>41837</v>
      </c>
      <c r="H1915" s="1" t="s">
        <v>46</v>
      </c>
      <c r="I1915" s="1" t="s">
        <v>262</v>
      </c>
      <c r="J1915" s="1">
        <v>500</v>
      </c>
      <c r="K1915" s="1">
        <v>455</v>
      </c>
      <c r="L1915" s="3">
        <v>0.09</v>
      </c>
      <c r="N1915" t="s">
        <v>3676</v>
      </c>
      <c r="P1915">
        <v>7</v>
      </c>
      <c r="Q1915">
        <v>17</v>
      </c>
      <c r="R1915">
        <v>2014</v>
      </c>
      <c r="S1915" s="4">
        <f t="shared" si="118"/>
        <v>41837</v>
      </c>
      <c r="T1915" s="4">
        <f t="shared" si="116"/>
        <v>41837</v>
      </c>
      <c r="U1915" s="4">
        <v>41837</v>
      </c>
    </row>
    <row r="1916" spans="1:21" x14ac:dyDescent="0.3">
      <c r="A1916" t="s">
        <v>2522</v>
      </c>
      <c r="B1916" s="1" t="s">
        <v>270</v>
      </c>
      <c r="C1916" s="1" t="s">
        <v>271</v>
      </c>
      <c r="D1916" s="1" t="s">
        <v>35</v>
      </c>
      <c r="E1916" s="2" t="s">
        <v>3677</v>
      </c>
      <c r="F1916" s="2" t="b">
        <f t="shared" si="119"/>
        <v>0</v>
      </c>
      <c r="G1916" s="2">
        <f t="shared" si="117"/>
        <v>42308</v>
      </c>
      <c r="H1916" s="1" t="s">
        <v>115</v>
      </c>
      <c r="I1916" s="1" t="s">
        <v>272</v>
      </c>
      <c r="J1916" s="1">
        <v>250</v>
      </c>
      <c r="K1916" s="1">
        <v>250</v>
      </c>
      <c r="L1916" s="3">
        <v>0</v>
      </c>
      <c r="N1916" t="s">
        <v>3677</v>
      </c>
      <c r="P1916">
        <v>10</v>
      </c>
      <c r="Q1916">
        <v>31</v>
      </c>
      <c r="R1916">
        <v>2015</v>
      </c>
      <c r="S1916" s="4">
        <f t="shared" si="118"/>
        <v>42308</v>
      </c>
      <c r="T1916" s="4">
        <f t="shared" si="116"/>
        <v>42308</v>
      </c>
      <c r="U1916" s="4">
        <v>42308</v>
      </c>
    </row>
    <row r="1917" spans="1:21" x14ac:dyDescent="0.3">
      <c r="A1917" t="s">
        <v>2523</v>
      </c>
      <c r="B1917" s="1" t="s">
        <v>11</v>
      </c>
      <c r="C1917" s="1" t="s">
        <v>12</v>
      </c>
      <c r="D1917" s="1" t="s">
        <v>13</v>
      </c>
      <c r="E1917" s="2" t="s">
        <v>3678</v>
      </c>
      <c r="F1917" s="2" t="b">
        <f t="shared" si="119"/>
        <v>0</v>
      </c>
      <c r="G1917" s="2">
        <f t="shared" si="117"/>
        <v>42787</v>
      </c>
      <c r="H1917" s="1" t="s">
        <v>55</v>
      </c>
      <c r="I1917" s="1" t="s">
        <v>193</v>
      </c>
      <c r="J1917" s="1">
        <v>800</v>
      </c>
      <c r="K1917" s="1">
        <v>688</v>
      </c>
      <c r="L1917" s="3">
        <v>0.14000000000000001</v>
      </c>
      <c r="N1917" t="s">
        <v>3678</v>
      </c>
      <c r="P1917">
        <v>2</v>
      </c>
      <c r="Q1917">
        <v>21</v>
      </c>
      <c r="R1917">
        <v>2017</v>
      </c>
      <c r="S1917" s="4">
        <f t="shared" si="118"/>
        <v>42787</v>
      </c>
      <c r="T1917" s="4">
        <f t="shared" si="116"/>
        <v>42787</v>
      </c>
      <c r="U1917" s="4">
        <v>42787</v>
      </c>
    </row>
    <row r="1918" spans="1:21" x14ac:dyDescent="0.3">
      <c r="A1918" t="s">
        <v>2524</v>
      </c>
      <c r="B1918" s="1" t="s">
        <v>22</v>
      </c>
      <c r="C1918" s="1" t="s">
        <v>23</v>
      </c>
      <c r="D1918" s="1" t="s">
        <v>24</v>
      </c>
      <c r="E1918" s="2">
        <v>42705</v>
      </c>
      <c r="F1918" s="2" t="b">
        <f t="shared" si="119"/>
        <v>1</v>
      </c>
      <c r="G1918" s="2">
        <f t="shared" si="117"/>
        <v>42705</v>
      </c>
      <c r="H1918" s="1" t="s">
        <v>36</v>
      </c>
      <c r="I1918" s="1" t="s">
        <v>310</v>
      </c>
      <c r="J1918" s="1">
        <v>50</v>
      </c>
      <c r="K1918" s="1">
        <v>44</v>
      </c>
      <c r="L1918" s="3">
        <v>0.12</v>
      </c>
      <c r="N1918" t="s">
        <v>3763</v>
      </c>
      <c r="S1918" s="4" t="e">
        <f t="shared" si="118"/>
        <v>#NUM!</v>
      </c>
      <c r="T1918" s="4" t="str">
        <f t="shared" si="116"/>
        <v/>
      </c>
      <c r="U1918" s="4" t="s">
        <v>3763</v>
      </c>
    </row>
    <row r="1919" spans="1:21" x14ac:dyDescent="0.3">
      <c r="A1919" t="s">
        <v>2525</v>
      </c>
      <c r="B1919" s="1" t="s">
        <v>124</v>
      </c>
      <c r="C1919" s="1" t="s">
        <v>40</v>
      </c>
      <c r="D1919" s="1" t="s">
        <v>35</v>
      </c>
      <c r="E1919" s="2">
        <v>42864</v>
      </c>
      <c r="F1919" s="2" t="b">
        <f t="shared" si="119"/>
        <v>1</v>
      </c>
      <c r="G1919" s="2">
        <f t="shared" si="117"/>
        <v>42864</v>
      </c>
      <c r="H1919" s="1" t="s">
        <v>72</v>
      </c>
      <c r="I1919" s="1" t="s">
        <v>863</v>
      </c>
      <c r="J1919" s="1">
        <v>500</v>
      </c>
      <c r="K1919" s="1">
        <v>495</v>
      </c>
      <c r="L1919" s="3">
        <v>0.01</v>
      </c>
      <c r="N1919" t="s">
        <v>3763</v>
      </c>
      <c r="S1919" s="4" t="e">
        <f t="shared" si="118"/>
        <v>#NUM!</v>
      </c>
      <c r="T1919" s="4" t="str">
        <f t="shared" si="116"/>
        <v/>
      </c>
      <c r="U1919" s="4" t="s">
        <v>3763</v>
      </c>
    </row>
    <row r="1920" spans="1:21" x14ac:dyDescent="0.3">
      <c r="A1920" t="s">
        <v>2526</v>
      </c>
      <c r="B1920" s="1" t="s">
        <v>114</v>
      </c>
      <c r="C1920" s="1" t="s">
        <v>54</v>
      </c>
      <c r="D1920" s="1" t="s">
        <v>13</v>
      </c>
      <c r="E1920" s="2">
        <v>42894</v>
      </c>
      <c r="F1920" s="2" t="b">
        <f t="shared" si="119"/>
        <v>1</v>
      </c>
      <c r="G1920" s="2">
        <f t="shared" si="117"/>
        <v>42894</v>
      </c>
      <c r="H1920" s="1" t="s">
        <v>41</v>
      </c>
      <c r="I1920" s="1" t="s">
        <v>476</v>
      </c>
      <c r="J1920" s="1">
        <v>30</v>
      </c>
      <c r="K1920" s="1">
        <v>30</v>
      </c>
      <c r="L1920" s="3">
        <v>0</v>
      </c>
      <c r="N1920" t="s">
        <v>3763</v>
      </c>
      <c r="S1920" s="4" t="e">
        <f t="shared" si="118"/>
        <v>#NUM!</v>
      </c>
      <c r="T1920" s="4" t="str">
        <f t="shared" si="116"/>
        <v/>
      </c>
      <c r="U1920" s="4" t="s">
        <v>3763</v>
      </c>
    </row>
    <row r="1921" spans="1:21" x14ac:dyDescent="0.3">
      <c r="A1921" t="s">
        <v>2527</v>
      </c>
      <c r="B1921" s="1" t="s">
        <v>118</v>
      </c>
      <c r="C1921" s="1" t="s">
        <v>119</v>
      </c>
      <c r="D1921" s="1" t="s">
        <v>35</v>
      </c>
      <c r="E1921" s="2">
        <v>41955</v>
      </c>
      <c r="F1921" s="2" t="b">
        <f t="shared" si="119"/>
        <v>1</v>
      </c>
      <c r="G1921" s="2">
        <f t="shared" si="117"/>
        <v>41955</v>
      </c>
      <c r="H1921" s="1" t="s">
        <v>61</v>
      </c>
      <c r="I1921" s="1" t="s">
        <v>847</v>
      </c>
      <c r="J1921" s="1">
        <v>1000</v>
      </c>
      <c r="K1921" s="1">
        <v>670</v>
      </c>
      <c r="L1921" s="3">
        <v>0.33</v>
      </c>
      <c r="N1921" t="s">
        <v>3763</v>
      </c>
      <c r="S1921" s="4" t="e">
        <f t="shared" si="118"/>
        <v>#NUM!</v>
      </c>
      <c r="T1921" s="4" t="str">
        <f t="shared" si="116"/>
        <v/>
      </c>
      <c r="U1921" s="4" t="s">
        <v>3763</v>
      </c>
    </row>
    <row r="1922" spans="1:21" x14ac:dyDescent="0.3">
      <c r="A1922" t="s">
        <v>2528</v>
      </c>
      <c r="B1922" s="1" t="s">
        <v>44</v>
      </c>
      <c r="C1922" s="1" t="s">
        <v>45</v>
      </c>
      <c r="D1922" s="1" t="s">
        <v>24</v>
      </c>
      <c r="E1922" s="2" t="s">
        <v>3264</v>
      </c>
      <c r="F1922" s="2" t="b">
        <f t="shared" si="119"/>
        <v>0</v>
      </c>
      <c r="G1922" s="2">
        <f t="shared" si="117"/>
        <v>42902</v>
      </c>
      <c r="H1922" s="1" t="s">
        <v>55</v>
      </c>
      <c r="I1922" s="1" t="s">
        <v>253</v>
      </c>
      <c r="J1922" s="1">
        <v>800</v>
      </c>
      <c r="K1922" s="1">
        <v>664</v>
      </c>
      <c r="L1922" s="3">
        <v>0.17</v>
      </c>
      <c r="N1922" t="s">
        <v>3264</v>
      </c>
      <c r="P1922">
        <v>6</v>
      </c>
      <c r="Q1922">
        <v>16</v>
      </c>
      <c r="R1922">
        <v>2017</v>
      </c>
      <c r="S1922" s="4">
        <f t="shared" si="118"/>
        <v>42902</v>
      </c>
      <c r="T1922" s="4">
        <f t="shared" si="116"/>
        <v>42902</v>
      </c>
      <c r="U1922" s="4">
        <v>42902</v>
      </c>
    </row>
    <row r="1923" spans="1:21" x14ac:dyDescent="0.3">
      <c r="A1923" t="s">
        <v>2529</v>
      </c>
      <c r="B1923" s="1" t="s">
        <v>39</v>
      </c>
      <c r="C1923" s="1" t="s">
        <v>40</v>
      </c>
      <c r="D1923" s="1" t="s">
        <v>35</v>
      </c>
      <c r="E1923" s="2">
        <v>41766</v>
      </c>
      <c r="F1923" s="2" t="b">
        <f t="shared" si="119"/>
        <v>1</v>
      </c>
      <c r="G1923" s="2">
        <f t="shared" si="117"/>
        <v>41766</v>
      </c>
      <c r="H1923" s="1" t="s">
        <v>122</v>
      </c>
      <c r="I1923" s="1" t="s">
        <v>1631</v>
      </c>
      <c r="J1923" s="1">
        <v>50</v>
      </c>
      <c r="K1923" s="1">
        <v>40</v>
      </c>
      <c r="L1923" s="3">
        <v>0.2</v>
      </c>
      <c r="N1923" t="s">
        <v>3763</v>
      </c>
      <c r="S1923" s="4" t="e">
        <f t="shared" si="118"/>
        <v>#NUM!</v>
      </c>
      <c r="T1923" s="4" t="str">
        <f t="shared" ref="T1923:T1986" si="120">IF(AND(P1923&lt;&gt;"",Q1923&lt;&gt;"",R1923&lt;&gt;""),IFERROR(DATE(R1923,P1923,Q1923),""),"")</f>
        <v/>
      </c>
      <c r="U1923" s="4" t="s">
        <v>3763</v>
      </c>
    </row>
    <row r="1924" spans="1:21" x14ac:dyDescent="0.3">
      <c r="A1924" t="s">
        <v>2530</v>
      </c>
      <c r="B1924" s="1" t="s">
        <v>53</v>
      </c>
      <c r="C1924" s="1" t="s">
        <v>54</v>
      </c>
      <c r="D1924" s="1" t="s">
        <v>13</v>
      </c>
      <c r="E1924" s="2">
        <v>42987</v>
      </c>
      <c r="F1924" s="2" t="b">
        <f t="shared" si="119"/>
        <v>1</v>
      </c>
      <c r="G1924" s="2">
        <f t="shared" ref="G1924:G1987" si="121">IF(F1924=TRUE,E1924,U1924)</f>
        <v>42987</v>
      </c>
      <c r="H1924" s="1" t="s">
        <v>61</v>
      </c>
      <c r="I1924" s="1" t="s">
        <v>56</v>
      </c>
      <c r="J1924" s="1">
        <v>1000</v>
      </c>
      <c r="K1924" s="1">
        <v>890</v>
      </c>
      <c r="L1924" s="3">
        <v>0.11</v>
      </c>
      <c r="N1924" t="s">
        <v>3763</v>
      </c>
      <c r="S1924" s="4" t="e">
        <f t="shared" ref="S1924:S1987" si="122">DATE(R1924,P1924,Q1924)</f>
        <v>#NUM!</v>
      </c>
      <c r="T1924" s="4" t="str">
        <f t="shared" si="120"/>
        <v/>
      </c>
      <c r="U1924" s="4" t="s">
        <v>3763</v>
      </c>
    </row>
    <row r="1925" spans="1:21" x14ac:dyDescent="0.3">
      <c r="A1925" t="s">
        <v>2531</v>
      </c>
      <c r="B1925" s="1" t="s">
        <v>95</v>
      </c>
      <c r="C1925" s="1" t="s">
        <v>96</v>
      </c>
      <c r="D1925" s="1" t="s">
        <v>13</v>
      </c>
      <c r="E1925" s="2" t="s">
        <v>3274</v>
      </c>
      <c r="F1925" s="2" t="b">
        <f t="shared" ref="F1925:F1988" si="123">ISNUMBER(E1925)</f>
        <v>0</v>
      </c>
      <c r="G1925" s="2">
        <f t="shared" si="121"/>
        <v>42321</v>
      </c>
      <c r="H1925" s="1" t="s">
        <v>41</v>
      </c>
      <c r="I1925" s="1" t="s">
        <v>216</v>
      </c>
      <c r="J1925" s="1">
        <v>30</v>
      </c>
      <c r="K1925" s="1">
        <v>20</v>
      </c>
      <c r="L1925" s="3">
        <v>0.33329999999999999</v>
      </c>
      <c r="N1925" t="s">
        <v>3274</v>
      </c>
      <c r="P1925">
        <v>11</v>
      </c>
      <c r="Q1925">
        <v>13</v>
      </c>
      <c r="R1925">
        <v>2015</v>
      </c>
      <c r="S1925" s="4">
        <f t="shared" si="122"/>
        <v>42321</v>
      </c>
      <c r="T1925" s="4">
        <f t="shared" si="120"/>
        <v>42321</v>
      </c>
      <c r="U1925" s="4">
        <v>42321</v>
      </c>
    </row>
    <row r="1926" spans="1:21" x14ac:dyDescent="0.3">
      <c r="A1926" t="s">
        <v>2532</v>
      </c>
      <c r="B1926" s="1" t="s">
        <v>224</v>
      </c>
      <c r="C1926" s="1" t="s">
        <v>50</v>
      </c>
      <c r="D1926" s="1" t="s">
        <v>24</v>
      </c>
      <c r="E1926" s="2" t="s">
        <v>3679</v>
      </c>
      <c r="F1926" s="2" t="b">
        <f t="shared" si="123"/>
        <v>0</v>
      </c>
      <c r="G1926" s="2">
        <f t="shared" si="121"/>
        <v>42383</v>
      </c>
      <c r="H1926" s="1" t="s">
        <v>115</v>
      </c>
      <c r="I1926" s="1" t="s">
        <v>413</v>
      </c>
      <c r="J1926" s="1">
        <v>250</v>
      </c>
      <c r="K1926" s="1">
        <v>245</v>
      </c>
      <c r="L1926" s="3">
        <v>0.02</v>
      </c>
      <c r="N1926" t="s">
        <v>3679</v>
      </c>
      <c r="P1926">
        <v>1</v>
      </c>
      <c r="Q1926">
        <v>14</v>
      </c>
      <c r="R1926">
        <v>2016</v>
      </c>
      <c r="S1926" s="4">
        <f t="shared" si="122"/>
        <v>42383</v>
      </c>
      <c r="T1926" s="4">
        <f t="shared" si="120"/>
        <v>42383</v>
      </c>
      <c r="U1926" s="4">
        <v>42383</v>
      </c>
    </row>
    <row r="1927" spans="1:21" x14ac:dyDescent="0.3">
      <c r="A1927" t="s">
        <v>2533</v>
      </c>
      <c r="B1927" s="1" t="s">
        <v>187</v>
      </c>
      <c r="C1927" s="1" t="s">
        <v>188</v>
      </c>
      <c r="D1927" s="1" t="s">
        <v>13</v>
      </c>
      <c r="E1927" s="2" t="s">
        <v>3652</v>
      </c>
      <c r="F1927" s="2" t="b">
        <f t="shared" si="123"/>
        <v>0</v>
      </c>
      <c r="G1927" s="2">
        <f t="shared" si="121"/>
        <v>41987</v>
      </c>
      <c r="H1927" s="1" t="s">
        <v>36</v>
      </c>
      <c r="I1927" s="1" t="s">
        <v>237</v>
      </c>
      <c r="J1927" s="1">
        <v>50</v>
      </c>
      <c r="K1927" s="1">
        <v>47</v>
      </c>
      <c r="L1927" s="3">
        <v>0.06</v>
      </c>
      <c r="N1927" t="s">
        <v>3652</v>
      </c>
      <c r="P1927">
        <v>12</v>
      </c>
      <c r="Q1927">
        <v>14</v>
      </c>
      <c r="R1927">
        <v>2014</v>
      </c>
      <c r="S1927" s="4">
        <f t="shared" si="122"/>
        <v>41987</v>
      </c>
      <c r="T1927" s="4">
        <f t="shared" si="120"/>
        <v>41987</v>
      </c>
      <c r="U1927" s="4">
        <v>41987</v>
      </c>
    </row>
    <row r="1928" spans="1:21" x14ac:dyDescent="0.3">
      <c r="A1928" t="s">
        <v>2534</v>
      </c>
      <c r="B1928" s="1" t="s">
        <v>224</v>
      </c>
      <c r="C1928" s="1" t="s">
        <v>50</v>
      </c>
      <c r="D1928" s="1" t="s">
        <v>24</v>
      </c>
      <c r="E1928" s="2" t="s">
        <v>3202</v>
      </c>
      <c r="F1928" s="2" t="b">
        <f t="shared" si="123"/>
        <v>0</v>
      </c>
      <c r="G1928" s="2">
        <f t="shared" si="121"/>
        <v>42414</v>
      </c>
      <c r="H1928" s="1" t="s">
        <v>14</v>
      </c>
      <c r="I1928" s="1" t="s">
        <v>631</v>
      </c>
      <c r="J1928" s="1">
        <v>80</v>
      </c>
      <c r="K1928" s="1">
        <v>73</v>
      </c>
      <c r="L1928" s="3">
        <v>8.7499999999999994E-2</v>
      </c>
      <c r="N1928" t="s">
        <v>3202</v>
      </c>
      <c r="P1928">
        <v>2</v>
      </c>
      <c r="Q1928">
        <v>14</v>
      </c>
      <c r="R1928">
        <v>2016</v>
      </c>
      <c r="S1928" s="4">
        <f t="shared" si="122"/>
        <v>42414</v>
      </c>
      <c r="T1928" s="4">
        <f t="shared" si="120"/>
        <v>42414</v>
      </c>
      <c r="U1928" s="4">
        <v>42414</v>
      </c>
    </row>
    <row r="1929" spans="1:21" x14ac:dyDescent="0.3">
      <c r="A1929" t="s">
        <v>2535</v>
      </c>
      <c r="B1929" s="1" t="s">
        <v>99</v>
      </c>
      <c r="C1929" s="1" t="s">
        <v>100</v>
      </c>
      <c r="D1929" s="1" t="s">
        <v>13</v>
      </c>
      <c r="E1929" s="2">
        <v>41981</v>
      </c>
      <c r="F1929" s="2" t="b">
        <f t="shared" si="123"/>
        <v>1</v>
      </c>
      <c r="G1929" s="2">
        <f t="shared" si="121"/>
        <v>41981</v>
      </c>
      <c r="H1929" s="1" t="s">
        <v>72</v>
      </c>
      <c r="I1929" s="1" t="s">
        <v>752</v>
      </c>
      <c r="J1929" s="1">
        <v>500</v>
      </c>
      <c r="K1929" s="1">
        <v>490</v>
      </c>
      <c r="L1929" s="3">
        <v>0.02</v>
      </c>
      <c r="N1929" t="s">
        <v>3763</v>
      </c>
      <c r="S1929" s="4" t="e">
        <f t="shared" si="122"/>
        <v>#NUM!</v>
      </c>
      <c r="T1929" s="4" t="str">
        <f t="shared" si="120"/>
        <v/>
      </c>
      <c r="U1929" s="4" t="s">
        <v>3763</v>
      </c>
    </row>
    <row r="1930" spans="1:21" x14ac:dyDescent="0.3">
      <c r="A1930" t="s">
        <v>2536</v>
      </c>
      <c r="B1930" s="1" t="s">
        <v>187</v>
      </c>
      <c r="C1930" s="1" t="s">
        <v>188</v>
      </c>
      <c r="D1930" s="1" t="s">
        <v>13</v>
      </c>
      <c r="E1930" s="2" t="s">
        <v>3382</v>
      </c>
      <c r="F1930" s="2" t="b">
        <f t="shared" si="123"/>
        <v>0</v>
      </c>
      <c r="G1930" s="2">
        <f t="shared" si="121"/>
        <v>43297</v>
      </c>
      <c r="H1930" s="1" t="s">
        <v>55</v>
      </c>
      <c r="I1930" s="1" t="s">
        <v>415</v>
      </c>
      <c r="J1930" s="1">
        <v>800</v>
      </c>
      <c r="K1930" s="1">
        <v>712</v>
      </c>
      <c r="L1930" s="3">
        <v>0.11</v>
      </c>
      <c r="N1930" t="s">
        <v>3382</v>
      </c>
      <c r="P1930">
        <v>7</v>
      </c>
      <c r="Q1930">
        <v>16</v>
      </c>
      <c r="R1930">
        <v>2018</v>
      </c>
      <c r="S1930" s="4">
        <f t="shared" si="122"/>
        <v>43297</v>
      </c>
      <c r="T1930" s="4">
        <f t="shared" si="120"/>
        <v>43297</v>
      </c>
      <c r="U1930" s="4">
        <v>43297</v>
      </c>
    </row>
    <row r="1931" spans="1:21" x14ac:dyDescent="0.3">
      <c r="A1931" t="s">
        <v>2537</v>
      </c>
      <c r="B1931" s="1" t="s">
        <v>49</v>
      </c>
      <c r="C1931" s="1" t="s">
        <v>50</v>
      </c>
      <c r="D1931" s="1" t="s">
        <v>24</v>
      </c>
      <c r="E1931" s="2" t="s">
        <v>3124</v>
      </c>
      <c r="F1931" s="2" t="b">
        <f t="shared" si="123"/>
        <v>0</v>
      </c>
      <c r="G1931" s="2">
        <f t="shared" si="121"/>
        <v>41901</v>
      </c>
      <c r="H1931" s="1" t="s">
        <v>61</v>
      </c>
      <c r="I1931" s="1" t="s">
        <v>699</v>
      </c>
      <c r="J1931" s="1">
        <v>1000</v>
      </c>
      <c r="K1931" s="1">
        <v>920</v>
      </c>
      <c r="L1931" s="3">
        <v>0.08</v>
      </c>
      <c r="N1931" t="s">
        <v>3124</v>
      </c>
      <c r="P1931">
        <v>9</v>
      </c>
      <c r="Q1931">
        <v>19</v>
      </c>
      <c r="R1931">
        <v>2014</v>
      </c>
      <c r="S1931" s="4">
        <f t="shared" si="122"/>
        <v>41901</v>
      </c>
      <c r="T1931" s="4">
        <f t="shared" si="120"/>
        <v>41901</v>
      </c>
      <c r="U1931" s="4">
        <v>41901</v>
      </c>
    </row>
    <row r="1932" spans="1:21" x14ac:dyDescent="0.3">
      <c r="A1932" t="s">
        <v>2538</v>
      </c>
      <c r="B1932" s="1" t="s">
        <v>205</v>
      </c>
      <c r="C1932" s="1" t="s">
        <v>206</v>
      </c>
      <c r="D1932" s="1" t="s">
        <v>24</v>
      </c>
      <c r="E1932" s="2">
        <v>42315</v>
      </c>
      <c r="F1932" s="2" t="b">
        <f t="shared" si="123"/>
        <v>1</v>
      </c>
      <c r="G1932" s="2">
        <f t="shared" si="121"/>
        <v>42315</v>
      </c>
      <c r="H1932" s="1" t="s">
        <v>72</v>
      </c>
      <c r="I1932" s="1" t="s">
        <v>759</v>
      </c>
      <c r="J1932" s="1">
        <v>500</v>
      </c>
      <c r="K1932" s="1">
        <v>495</v>
      </c>
      <c r="L1932" s="3">
        <v>0.01</v>
      </c>
      <c r="N1932" t="s">
        <v>3763</v>
      </c>
      <c r="S1932" s="4" t="e">
        <f t="shared" si="122"/>
        <v>#NUM!</v>
      </c>
      <c r="T1932" s="4" t="str">
        <f t="shared" si="120"/>
        <v/>
      </c>
      <c r="U1932" s="4" t="s">
        <v>3763</v>
      </c>
    </row>
    <row r="1933" spans="1:21" x14ac:dyDescent="0.3">
      <c r="A1933" t="s">
        <v>2539</v>
      </c>
      <c r="B1933" s="1" t="s">
        <v>49</v>
      </c>
      <c r="C1933" s="1" t="s">
        <v>50</v>
      </c>
      <c r="D1933" s="1" t="s">
        <v>24</v>
      </c>
      <c r="E1933" s="2">
        <v>43354</v>
      </c>
      <c r="F1933" s="2" t="b">
        <f t="shared" si="123"/>
        <v>1</v>
      </c>
      <c r="G1933" s="2">
        <f t="shared" si="121"/>
        <v>43354</v>
      </c>
      <c r="H1933" s="1" t="s">
        <v>36</v>
      </c>
      <c r="I1933" s="1" t="s">
        <v>918</v>
      </c>
      <c r="J1933" s="1">
        <v>50</v>
      </c>
      <c r="K1933" s="1">
        <v>45</v>
      </c>
      <c r="L1933" s="3">
        <v>0.1</v>
      </c>
      <c r="N1933" t="s">
        <v>3763</v>
      </c>
      <c r="S1933" s="4" t="e">
        <f t="shared" si="122"/>
        <v>#NUM!</v>
      </c>
      <c r="T1933" s="4" t="str">
        <f t="shared" si="120"/>
        <v/>
      </c>
      <c r="U1933" s="4" t="s">
        <v>3763</v>
      </c>
    </row>
    <row r="1934" spans="1:21" x14ac:dyDescent="0.3">
      <c r="A1934" t="s">
        <v>2540</v>
      </c>
      <c r="B1934" s="1" t="s">
        <v>99</v>
      </c>
      <c r="C1934" s="1" t="s">
        <v>100</v>
      </c>
      <c r="D1934" s="1" t="s">
        <v>13</v>
      </c>
      <c r="E1934" s="2" t="s">
        <v>3508</v>
      </c>
      <c r="F1934" s="2" t="b">
        <f t="shared" si="123"/>
        <v>0</v>
      </c>
      <c r="G1934" s="2">
        <f t="shared" si="121"/>
        <v>43067</v>
      </c>
      <c r="H1934" s="1" t="s">
        <v>72</v>
      </c>
      <c r="I1934" s="1" t="s">
        <v>1090</v>
      </c>
      <c r="J1934" s="1">
        <v>500</v>
      </c>
      <c r="K1934" s="1">
        <v>490</v>
      </c>
      <c r="L1934" s="3">
        <v>0.02</v>
      </c>
      <c r="N1934" t="s">
        <v>3508</v>
      </c>
      <c r="P1934">
        <v>11</v>
      </c>
      <c r="Q1934">
        <v>28</v>
      </c>
      <c r="R1934">
        <v>2017</v>
      </c>
      <c r="S1934" s="4">
        <f t="shared" si="122"/>
        <v>43067</v>
      </c>
      <c r="T1934" s="4">
        <f t="shared" si="120"/>
        <v>43067</v>
      </c>
      <c r="U1934" s="4">
        <v>43067</v>
      </c>
    </row>
    <row r="1935" spans="1:21" x14ac:dyDescent="0.3">
      <c r="A1935" t="s">
        <v>2541</v>
      </c>
      <c r="B1935" s="1" t="s">
        <v>324</v>
      </c>
      <c r="C1935" s="1" t="s">
        <v>325</v>
      </c>
      <c r="D1935" s="1" t="s">
        <v>13</v>
      </c>
      <c r="E1935" s="2" t="s">
        <v>3633</v>
      </c>
      <c r="F1935" s="2" t="b">
        <f t="shared" si="123"/>
        <v>0</v>
      </c>
      <c r="G1935" s="2">
        <f t="shared" si="121"/>
        <v>42545</v>
      </c>
      <c r="H1935" s="1" t="s">
        <v>115</v>
      </c>
      <c r="I1935" s="1" t="s">
        <v>453</v>
      </c>
      <c r="J1935" s="1">
        <v>250</v>
      </c>
      <c r="K1935" s="1">
        <v>238</v>
      </c>
      <c r="L1935" s="3">
        <v>4.8000000000000001E-2</v>
      </c>
      <c r="N1935" t="s">
        <v>3633</v>
      </c>
      <c r="P1935">
        <v>6</v>
      </c>
      <c r="Q1935">
        <v>24</v>
      </c>
      <c r="R1935">
        <v>2016</v>
      </c>
      <c r="S1935" s="4">
        <f t="shared" si="122"/>
        <v>42545</v>
      </c>
      <c r="T1935" s="4">
        <f t="shared" si="120"/>
        <v>42545</v>
      </c>
      <c r="U1935" s="4">
        <v>42545</v>
      </c>
    </row>
    <row r="1936" spans="1:21" x14ac:dyDescent="0.3">
      <c r="A1936" t="s">
        <v>2542</v>
      </c>
      <c r="B1936" s="1" t="s">
        <v>187</v>
      </c>
      <c r="C1936" s="1" t="s">
        <v>188</v>
      </c>
      <c r="D1936" s="1" t="s">
        <v>13</v>
      </c>
      <c r="E1936" s="2">
        <v>43079</v>
      </c>
      <c r="F1936" s="2" t="b">
        <f t="shared" si="123"/>
        <v>1</v>
      </c>
      <c r="G1936" s="2">
        <f t="shared" si="121"/>
        <v>43079</v>
      </c>
      <c r="H1936" s="1" t="s">
        <v>61</v>
      </c>
      <c r="I1936" s="1" t="s">
        <v>791</v>
      </c>
      <c r="J1936" s="1">
        <v>1000</v>
      </c>
      <c r="K1936" s="1">
        <v>670</v>
      </c>
      <c r="L1936" s="3">
        <v>0.33</v>
      </c>
      <c r="N1936" t="s">
        <v>3763</v>
      </c>
      <c r="S1936" s="4" t="e">
        <f t="shared" si="122"/>
        <v>#NUM!</v>
      </c>
      <c r="T1936" s="4" t="str">
        <f t="shared" si="120"/>
        <v/>
      </c>
      <c r="U1936" s="4" t="s">
        <v>3763</v>
      </c>
    </row>
    <row r="1937" spans="1:21" x14ac:dyDescent="0.3">
      <c r="A1937" t="s">
        <v>2543</v>
      </c>
      <c r="B1937" s="1" t="s">
        <v>70</v>
      </c>
      <c r="C1937" s="1" t="s">
        <v>71</v>
      </c>
      <c r="D1937" s="1" t="s">
        <v>35</v>
      </c>
      <c r="E1937" s="2" t="s">
        <v>3254</v>
      </c>
      <c r="F1937" s="2" t="b">
        <f t="shared" si="123"/>
        <v>0</v>
      </c>
      <c r="G1937" s="2">
        <f t="shared" si="121"/>
        <v>43453</v>
      </c>
      <c r="H1937" s="1" t="s">
        <v>14</v>
      </c>
      <c r="I1937" s="1" t="s">
        <v>962</v>
      </c>
      <c r="J1937" s="1">
        <v>80</v>
      </c>
      <c r="K1937" s="1">
        <v>72</v>
      </c>
      <c r="L1937" s="3">
        <v>0.1</v>
      </c>
      <c r="N1937" t="s">
        <v>3254</v>
      </c>
      <c r="P1937">
        <v>12</v>
      </c>
      <c r="Q1937">
        <v>19</v>
      </c>
      <c r="R1937">
        <v>2018</v>
      </c>
      <c r="S1937" s="4">
        <f t="shared" si="122"/>
        <v>43453</v>
      </c>
      <c r="T1937" s="4">
        <f t="shared" si="120"/>
        <v>43453</v>
      </c>
      <c r="U1937" s="4">
        <v>43453</v>
      </c>
    </row>
    <row r="1938" spans="1:21" x14ac:dyDescent="0.3">
      <c r="A1938" t="s">
        <v>2544</v>
      </c>
      <c r="B1938" s="1" t="s">
        <v>170</v>
      </c>
      <c r="C1938" s="1" t="s">
        <v>171</v>
      </c>
      <c r="D1938" s="1" t="s">
        <v>13</v>
      </c>
      <c r="E1938" s="2" t="s">
        <v>2974</v>
      </c>
      <c r="F1938" s="2" t="b">
        <f t="shared" si="123"/>
        <v>0</v>
      </c>
      <c r="G1938" s="2">
        <f t="shared" si="121"/>
        <v>42305</v>
      </c>
      <c r="H1938" s="1" t="s">
        <v>46</v>
      </c>
      <c r="I1938" s="1" t="s">
        <v>1864</v>
      </c>
      <c r="J1938" s="1">
        <v>500</v>
      </c>
      <c r="K1938" s="1">
        <v>310</v>
      </c>
      <c r="L1938" s="3">
        <v>0.38</v>
      </c>
      <c r="N1938" t="s">
        <v>2974</v>
      </c>
      <c r="P1938">
        <v>10</v>
      </c>
      <c r="Q1938">
        <v>28</v>
      </c>
      <c r="R1938">
        <v>2015</v>
      </c>
      <c r="S1938" s="4">
        <f t="shared" si="122"/>
        <v>42305</v>
      </c>
      <c r="T1938" s="4">
        <f t="shared" si="120"/>
        <v>42305</v>
      </c>
      <c r="U1938" s="4">
        <v>42305</v>
      </c>
    </row>
    <row r="1939" spans="1:21" x14ac:dyDescent="0.3">
      <c r="A1939" t="s">
        <v>2545</v>
      </c>
      <c r="B1939" s="1" t="s">
        <v>270</v>
      </c>
      <c r="C1939" s="1" t="s">
        <v>271</v>
      </c>
      <c r="D1939" s="1" t="s">
        <v>35</v>
      </c>
      <c r="E1939" s="2">
        <v>42193</v>
      </c>
      <c r="F1939" s="2" t="b">
        <f t="shared" si="123"/>
        <v>1</v>
      </c>
      <c r="G1939" s="2">
        <f t="shared" si="121"/>
        <v>42193</v>
      </c>
      <c r="H1939" s="1" t="s">
        <v>14</v>
      </c>
      <c r="I1939" s="1" t="s">
        <v>272</v>
      </c>
      <c r="J1939" s="1">
        <v>80</v>
      </c>
      <c r="K1939" s="1">
        <v>80</v>
      </c>
      <c r="L1939" s="3">
        <v>0</v>
      </c>
      <c r="N1939" t="s">
        <v>3763</v>
      </c>
      <c r="S1939" s="4" t="e">
        <f t="shared" si="122"/>
        <v>#NUM!</v>
      </c>
      <c r="T1939" s="4" t="str">
        <f t="shared" si="120"/>
        <v/>
      </c>
      <c r="U1939" s="4" t="s">
        <v>3763</v>
      </c>
    </row>
    <row r="1940" spans="1:21" x14ac:dyDescent="0.3">
      <c r="A1940" t="s">
        <v>2546</v>
      </c>
      <c r="B1940" s="1" t="s">
        <v>434</v>
      </c>
      <c r="C1940" s="1" t="s">
        <v>435</v>
      </c>
      <c r="D1940" s="1" t="s">
        <v>24</v>
      </c>
      <c r="E1940" s="2">
        <v>42066</v>
      </c>
      <c r="F1940" s="2" t="b">
        <f t="shared" si="123"/>
        <v>1</v>
      </c>
      <c r="G1940" s="2">
        <f t="shared" si="121"/>
        <v>42066</v>
      </c>
      <c r="H1940" s="1" t="s">
        <v>104</v>
      </c>
      <c r="I1940" s="1" t="s">
        <v>436</v>
      </c>
      <c r="J1940" s="1">
        <v>70</v>
      </c>
      <c r="K1940" s="1">
        <v>57</v>
      </c>
      <c r="L1940" s="3">
        <v>0.1857</v>
      </c>
      <c r="N1940" t="s">
        <v>3763</v>
      </c>
      <c r="S1940" s="4" t="e">
        <f t="shared" si="122"/>
        <v>#NUM!</v>
      </c>
      <c r="T1940" s="4" t="str">
        <f t="shared" si="120"/>
        <v/>
      </c>
      <c r="U1940" s="4" t="s">
        <v>3763</v>
      </c>
    </row>
    <row r="1941" spans="1:21" x14ac:dyDescent="0.3">
      <c r="A1941" t="s">
        <v>2547</v>
      </c>
      <c r="B1941" s="1" t="s">
        <v>182</v>
      </c>
      <c r="C1941" s="1" t="s">
        <v>108</v>
      </c>
      <c r="D1941" s="1" t="s">
        <v>19</v>
      </c>
      <c r="E1941" s="2" t="s">
        <v>3680</v>
      </c>
      <c r="F1941" s="2" t="b">
        <f t="shared" si="123"/>
        <v>0</v>
      </c>
      <c r="G1941" s="2">
        <f t="shared" si="121"/>
        <v>41961</v>
      </c>
      <c r="H1941" s="1" t="s">
        <v>36</v>
      </c>
      <c r="I1941" s="1" t="s">
        <v>505</v>
      </c>
      <c r="J1941" s="1">
        <v>50</v>
      </c>
      <c r="K1941" s="1">
        <v>48</v>
      </c>
      <c r="L1941" s="3">
        <v>0.04</v>
      </c>
      <c r="N1941" t="s">
        <v>3680</v>
      </c>
      <c r="P1941">
        <v>11</v>
      </c>
      <c r="Q1941">
        <v>18</v>
      </c>
      <c r="R1941">
        <v>2014</v>
      </c>
      <c r="S1941" s="4">
        <f t="shared" si="122"/>
        <v>41961</v>
      </c>
      <c r="T1941" s="4">
        <f t="shared" si="120"/>
        <v>41961</v>
      </c>
      <c r="U1941" s="4">
        <v>41961</v>
      </c>
    </row>
    <row r="1942" spans="1:21" x14ac:dyDescent="0.3">
      <c r="A1942" t="s">
        <v>2548</v>
      </c>
      <c r="B1942" s="1" t="s">
        <v>99</v>
      </c>
      <c r="C1942" s="1" t="s">
        <v>100</v>
      </c>
      <c r="D1942" s="1" t="s">
        <v>13</v>
      </c>
      <c r="E1942" s="2" t="s">
        <v>3211</v>
      </c>
      <c r="F1942" s="2" t="b">
        <f t="shared" si="123"/>
        <v>0</v>
      </c>
      <c r="G1942" s="2">
        <f t="shared" si="121"/>
        <v>41900</v>
      </c>
      <c r="H1942" s="1" t="s">
        <v>30</v>
      </c>
      <c r="I1942" s="1" t="s">
        <v>752</v>
      </c>
      <c r="J1942" s="1">
        <v>150</v>
      </c>
      <c r="K1942" s="1">
        <v>128</v>
      </c>
      <c r="L1942" s="3">
        <v>0.1467</v>
      </c>
      <c r="N1942" t="s">
        <v>3211</v>
      </c>
      <c r="P1942">
        <v>9</v>
      </c>
      <c r="Q1942">
        <v>18</v>
      </c>
      <c r="R1942">
        <v>2014</v>
      </c>
      <c r="S1942" s="4">
        <f t="shared" si="122"/>
        <v>41900</v>
      </c>
      <c r="T1942" s="4">
        <f t="shared" si="120"/>
        <v>41900</v>
      </c>
      <c r="U1942" s="4">
        <v>41900</v>
      </c>
    </row>
    <row r="1943" spans="1:21" x14ac:dyDescent="0.3">
      <c r="A1943" t="s">
        <v>2549</v>
      </c>
      <c r="B1943" s="1" t="s">
        <v>227</v>
      </c>
      <c r="C1943" s="1" t="s">
        <v>228</v>
      </c>
      <c r="D1943" s="1" t="s">
        <v>24</v>
      </c>
      <c r="E1943" s="2">
        <v>42828</v>
      </c>
      <c r="F1943" s="2" t="b">
        <f t="shared" si="123"/>
        <v>1</v>
      </c>
      <c r="G1943" s="2">
        <f t="shared" si="121"/>
        <v>42828</v>
      </c>
      <c r="H1943" s="1" t="s">
        <v>72</v>
      </c>
      <c r="I1943" s="1" t="s">
        <v>2378</v>
      </c>
      <c r="J1943" s="1">
        <v>500</v>
      </c>
      <c r="K1943" s="1">
        <v>490</v>
      </c>
      <c r="L1943" s="3">
        <v>0.02</v>
      </c>
      <c r="N1943" t="s">
        <v>3763</v>
      </c>
      <c r="S1943" s="4" t="e">
        <f t="shared" si="122"/>
        <v>#NUM!</v>
      </c>
      <c r="T1943" s="4" t="str">
        <f t="shared" si="120"/>
        <v/>
      </c>
      <c r="U1943" s="4" t="s">
        <v>3763</v>
      </c>
    </row>
    <row r="1944" spans="1:21" x14ac:dyDescent="0.3">
      <c r="A1944" t="s">
        <v>2550</v>
      </c>
      <c r="B1944" s="1" t="s">
        <v>99</v>
      </c>
      <c r="C1944" s="1" t="s">
        <v>100</v>
      </c>
      <c r="D1944" s="1" t="s">
        <v>13</v>
      </c>
      <c r="E1944" s="2">
        <v>41946</v>
      </c>
      <c r="F1944" s="2" t="b">
        <f t="shared" si="123"/>
        <v>1</v>
      </c>
      <c r="G1944" s="2">
        <f t="shared" si="121"/>
        <v>41946</v>
      </c>
      <c r="H1944" s="1" t="s">
        <v>30</v>
      </c>
      <c r="I1944" s="1" t="s">
        <v>752</v>
      </c>
      <c r="J1944" s="1">
        <v>150</v>
      </c>
      <c r="K1944" s="1">
        <v>120</v>
      </c>
      <c r="L1944" s="3">
        <v>0.2</v>
      </c>
      <c r="N1944" t="s">
        <v>3763</v>
      </c>
      <c r="S1944" s="4" t="e">
        <f t="shared" si="122"/>
        <v>#NUM!</v>
      </c>
      <c r="T1944" s="4" t="str">
        <f t="shared" si="120"/>
        <v/>
      </c>
      <c r="U1944" s="4" t="s">
        <v>3763</v>
      </c>
    </row>
    <row r="1945" spans="1:21" x14ac:dyDescent="0.3">
      <c r="A1945" t="s">
        <v>2551</v>
      </c>
      <c r="B1945" s="1" t="s">
        <v>11</v>
      </c>
      <c r="C1945" s="1" t="s">
        <v>12</v>
      </c>
      <c r="D1945" s="1" t="s">
        <v>13</v>
      </c>
      <c r="E1945" s="2" t="s">
        <v>3681</v>
      </c>
      <c r="F1945" s="2" t="b">
        <f t="shared" si="123"/>
        <v>0</v>
      </c>
      <c r="G1945" s="2">
        <f t="shared" si="121"/>
        <v>42243</v>
      </c>
      <c r="H1945" s="1" t="s">
        <v>25</v>
      </c>
      <c r="I1945" s="1" t="s">
        <v>276</v>
      </c>
      <c r="J1945" s="1">
        <v>700</v>
      </c>
      <c r="K1945" s="1">
        <v>665</v>
      </c>
      <c r="L1945" s="3">
        <v>0.05</v>
      </c>
      <c r="N1945" t="s">
        <v>3681</v>
      </c>
      <c r="P1945">
        <v>8</v>
      </c>
      <c r="Q1945">
        <v>27</v>
      </c>
      <c r="R1945">
        <v>2015</v>
      </c>
      <c r="S1945" s="4">
        <f t="shared" si="122"/>
        <v>42243</v>
      </c>
      <c r="T1945" s="4">
        <f t="shared" si="120"/>
        <v>42243</v>
      </c>
      <c r="U1945" s="4">
        <v>42243</v>
      </c>
    </row>
    <row r="1946" spans="1:21" x14ac:dyDescent="0.3">
      <c r="A1946" t="s">
        <v>2552</v>
      </c>
      <c r="B1946" s="1" t="s">
        <v>59</v>
      </c>
      <c r="C1946" s="1" t="s">
        <v>60</v>
      </c>
      <c r="D1946" s="1" t="s">
        <v>13</v>
      </c>
      <c r="E1946" s="2">
        <v>41979</v>
      </c>
      <c r="F1946" s="2" t="b">
        <f t="shared" si="123"/>
        <v>1</v>
      </c>
      <c r="G1946" s="2">
        <f t="shared" si="121"/>
        <v>41979</v>
      </c>
      <c r="H1946" s="1" t="s">
        <v>55</v>
      </c>
      <c r="I1946" s="1" t="s">
        <v>312</v>
      </c>
      <c r="J1946" s="1">
        <v>800</v>
      </c>
      <c r="K1946" s="1">
        <v>480</v>
      </c>
      <c r="L1946" s="3">
        <v>0.4</v>
      </c>
      <c r="N1946" t="s">
        <v>3763</v>
      </c>
      <c r="S1946" s="4" t="e">
        <f t="shared" si="122"/>
        <v>#NUM!</v>
      </c>
      <c r="T1946" s="4" t="str">
        <f t="shared" si="120"/>
        <v/>
      </c>
      <c r="U1946" s="4" t="s">
        <v>3763</v>
      </c>
    </row>
    <row r="1947" spans="1:21" x14ac:dyDescent="0.3">
      <c r="A1947" t="s">
        <v>2553</v>
      </c>
      <c r="B1947" s="1" t="s">
        <v>95</v>
      </c>
      <c r="C1947" s="1" t="s">
        <v>96</v>
      </c>
      <c r="D1947" s="1" t="s">
        <v>13</v>
      </c>
      <c r="E1947" s="2">
        <v>41795</v>
      </c>
      <c r="F1947" s="2" t="b">
        <f t="shared" si="123"/>
        <v>1</v>
      </c>
      <c r="G1947" s="2">
        <f t="shared" si="121"/>
        <v>41795</v>
      </c>
      <c r="H1947" s="1" t="s">
        <v>104</v>
      </c>
      <c r="I1947" s="1" t="s">
        <v>216</v>
      </c>
      <c r="J1947" s="1">
        <v>70</v>
      </c>
      <c r="K1947" s="1">
        <v>67</v>
      </c>
      <c r="L1947" s="3">
        <v>4.2900000000000001E-2</v>
      </c>
      <c r="N1947" t="s">
        <v>3763</v>
      </c>
      <c r="S1947" s="4" t="e">
        <f t="shared" si="122"/>
        <v>#NUM!</v>
      </c>
      <c r="T1947" s="4" t="str">
        <f t="shared" si="120"/>
        <v/>
      </c>
      <c r="U1947" s="4" t="s">
        <v>3763</v>
      </c>
    </row>
    <row r="1948" spans="1:21" x14ac:dyDescent="0.3">
      <c r="A1948" t="s">
        <v>2554</v>
      </c>
      <c r="B1948" s="1" t="s">
        <v>270</v>
      </c>
      <c r="C1948" s="1" t="s">
        <v>271</v>
      </c>
      <c r="D1948" s="1" t="s">
        <v>35</v>
      </c>
      <c r="E1948" s="2" t="s">
        <v>3682</v>
      </c>
      <c r="F1948" s="2" t="b">
        <f t="shared" si="123"/>
        <v>0</v>
      </c>
      <c r="G1948" s="2">
        <f t="shared" si="121"/>
        <v>42658</v>
      </c>
      <c r="H1948" s="1" t="s">
        <v>61</v>
      </c>
      <c r="I1948" s="1" t="s">
        <v>715</v>
      </c>
      <c r="J1948" s="1">
        <v>1000</v>
      </c>
      <c r="K1948" s="1">
        <v>680</v>
      </c>
      <c r="L1948" s="3">
        <v>0.32</v>
      </c>
      <c r="N1948" t="s">
        <v>3682</v>
      </c>
      <c r="P1948">
        <v>10</v>
      </c>
      <c r="Q1948">
        <v>15</v>
      </c>
      <c r="R1948">
        <v>2016</v>
      </c>
      <c r="S1948" s="4">
        <f t="shared" si="122"/>
        <v>42658</v>
      </c>
      <c r="T1948" s="4">
        <f t="shared" si="120"/>
        <v>42658</v>
      </c>
      <c r="U1948" s="4">
        <v>42658</v>
      </c>
    </row>
    <row r="1949" spans="1:21" x14ac:dyDescent="0.3">
      <c r="A1949" t="s">
        <v>2555</v>
      </c>
      <c r="B1949" s="1" t="s">
        <v>127</v>
      </c>
      <c r="C1949" s="1" t="s">
        <v>128</v>
      </c>
      <c r="D1949" s="1" t="s">
        <v>13</v>
      </c>
      <c r="E1949" s="2" t="s">
        <v>3632</v>
      </c>
      <c r="F1949" s="2" t="b">
        <f t="shared" si="123"/>
        <v>0</v>
      </c>
      <c r="G1949" s="2">
        <f t="shared" si="121"/>
        <v>42146</v>
      </c>
      <c r="H1949" s="1" t="s">
        <v>14</v>
      </c>
      <c r="I1949" s="1" t="s">
        <v>867</v>
      </c>
      <c r="J1949" s="1">
        <v>80</v>
      </c>
      <c r="K1949" s="1">
        <v>57</v>
      </c>
      <c r="L1949" s="3">
        <v>0.28749999999999998</v>
      </c>
      <c r="N1949" t="s">
        <v>3632</v>
      </c>
      <c r="P1949">
        <v>5</v>
      </c>
      <c r="Q1949">
        <v>22</v>
      </c>
      <c r="R1949">
        <v>2015</v>
      </c>
      <c r="S1949" s="4">
        <f t="shared" si="122"/>
        <v>42146</v>
      </c>
      <c r="T1949" s="4">
        <f t="shared" si="120"/>
        <v>42146</v>
      </c>
      <c r="U1949" s="4">
        <v>42146</v>
      </c>
    </row>
    <row r="1950" spans="1:21" x14ac:dyDescent="0.3">
      <c r="A1950" t="s">
        <v>2556</v>
      </c>
      <c r="B1950" s="1" t="s">
        <v>174</v>
      </c>
      <c r="C1950" s="1" t="s">
        <v>175</v>
      </c>
      <c r="D1950" s="1" t="s">
        <v>13</v>
      </c>
      <c r="E1950" s="2" t="s">
        <v>3683</v>
      </c>
      <c r="F1950" s="2" t="b">
        <f t="shared" si="123"/>
        <v>0</v>
      </c>
      <c r="G1950" s="2">
        <f t="shared" si="121"/>
        <v>42058</v>
      </c>
      <c r="H1950" s="1" t="s">
        <v>104</v>
      </c>
      <c r="I1950" s="1" t="s">
        <v>176</v>
      </c>
      <c r="J1950" s="1">
        <v>70</v>
      </c>
      <c r="K1950" s="1">
        <v>69</v>
      </c>
      <c r="L1950" s="3">
        <v>1.43E-2</v>
      </c>
      <c r="N1950" t="s">
        <v>3683</v>
      </c>
      <c r="P1950">
        <v>2</v>
      </c>
      <c r="Q1950">
        <v>23</v>
      </c>
      <c r="R1950">
        <v>2015</v>
      </c>
      <c r="S1950" s="4">
        <f t="shared" si="122"/>
        <v>42058</v>
      </c>
      <c r="T1950" s="4">
        <f t="shared" si="120"/>
        <v>42058</v>
      </c>
      <c r="U1950" s="4">
        <v>42058</v>
      </c>
    </row>
    <row r="1951" spans="1:21" x14ac:dyDescent="0.3">
      <c r="A1951" t="s">
        <v>2557</v>
      </c>
      <c r="B1951" s="1" t="s">
        <v>77</v>
      </c>
      <c r="C1951" s="1" t="s">
        <v>78</v>
      </c>
      <c r="D1951" s="1" t="s">
        <v>35</v>
      </c>
      <c r="E1951" s="2" t="s">
        <v>3207</v>
      </c>
      <c r="F1951" s="2" t="b">
        <f t="shared" si="123"/>
        <v>0</v>
      </c>
      <c r="G1951" s="2">
        <f t="shared" si="121"/>
        <v>43365</v>
      </c>
      <c r="H1951" s="1" t="s">
        <v>41</v>
      </c>
      <c r="I1951" s="1" t="s">
        <v>162</v>
      </c>
      <c r="J1951" s="1">
        <v>30</v>
      </c>
      <c r="K1951" s="1">
        <v>29</v>
      </c>
      <c r="L1951" s="3">
        <v>3.3300000000000003E-2</v>
      </c>
      <c r="N1951" t="s">
        <v>3207</v>
      </c>
      <c r="P1951">
        <v>9</v>
      </c>
      <c r="Q1951">
        <v>22</v>
      </c>
      <c r="R1951">
        <v>2018</v>
      </c>
      <c r="S1951" s="4">
        <f t="shared" si="122"/>
        <v>43365</v>
      </c>
      <c r="T1951" s="4">
        <f t="shared" si="120"/>
        <v>43365</v>
      </c>
      <c r="U1951" s="4">
        <v>43365</v>
      </c>
    </row>
    <row r="1952" spans="1:21" x14ac:dyDescent="0.3">
      <c r="A1952" t="s">
        <v>2558</v>
      </c>
      <c r="B1952" s="1" t="s">
        <v>91</v>
      </c>
      <c r="C1952" s="1" t="s">
        <v>92</v>
      </c>
      <c r="D1952" s="1" t="s">
        <v>35</v>
      </c>
      <c r="E1952" s="2" t="s">
        <v>3259</v>
      </c>
      <c r="F1952" s="2" t="b">
        <f t="shared" si="123"/>
        <v>0</v>
      </c>
      <c r="G1952" s="2">
        <f t="shared" si="121"/>
        <v>42544</v>
      </c>
      <c r="H1952" s="1" t="s">
        <v>25</v>
      </c>
      <c r="I1952" s="1" t="s">
        <v>939</v>
      </c>
      <c r="J1952" s="1">
        <v>700</v>
      </c>
      <c r="K1952" s="1">
        <v>665</v>
      </c>
      <c r="L1952" s="3">
        <v>0.05</v>
      </c>
      <c r="N1952" t="s">
        <v>3259</v>
      </c>
      <c r="P1952">
        <v>6</v>
      </c>
      <c r="Q1952">
        <v>23</v>
      </c>
      <c r="R1952">
        <v>2016</v>
      </c>
      <c r="S1952" s="4">
        <f t="shared" si="122"/>
        <v>42544</v>
      </c>
      <c r="T1952" s="4">
        <f t="shared" si="120"/>
        <v>42544</v>
      </c>
      <c r="U1952" s="4">
        <v>42544</v>
      </c>
    </row>
    <row r="1953" spans="1:21" x14ac:dyDescent="0.3">
      <c r="A1953" t="s">
        <v>2559</v>
      </c>
      <c r="B1953" s="1" t="s">
        <v>127</v>
      </c>
      <c r="C1953" s="1" t="s">
        <v>128</v>
      </c>
      <c r="D1953" s="1" t="s">
        <v>13</v>
      </c>
      <c r="E1953" s="2">
        <v>42563</v>
      </c>
      <c r="F1953" s="2" t="b">
        <f t="shared" si="123"/>
        <v>1</v>
      </c>
      <c r="G1953" s="2">
        <f t="shared" si="121"/>
        <v>42563</v>
      </c>
      <c r="H1953" s="1" t="s">
        <v>115</v>
      </c>
      <c r="I1953" s="1" t="s">
        <v>867</v>
      </c>
      <c r="J1953" s="1">
        <v>250</v>
      </c>
      <c r="K1953" s="1">
        <v>235</v>
      </c>
      <c r="L1953" s="3">
        <v>0.06</v>
      </c>
      <c r="N1953" t="s">
        <v>3763</v>
      </c>
      <c r="S1953" s="4" t="e">
        <f t="shared" si="122"/>
        <v>#NUM!</v>
      </c>
      <c r="T1953" s="4" t="str">
        <f t="shared" si="120"/>
        <v/>
      </c>
      <c r="U1953" s="4" t="s">
        <v>3763</v>
      </c>
    </row>
    <row r="1954" spans="1:21" x14ac:dyDescent="0.3">
      <c r="A1954" t="s">
        <v>2560</v>
      </c>
      <c r="B1954" s="1" t="s">
        <v>131</v>
      </c>
      <c r="C1954" s="1" t="s">
        <v>108</v>
      </c>
      <c r="D1954" s="1" t="s">
        <v>19</v>
      </c>
      <c r="E1954" s="2">
        <v>43199</v>
      </c>
      <c r="F1954" s="2" t="b">
        <f t="shared" si="123"/>
        <v>1</v>
      </c>
      <c r="G1954" s="2">
        <f t="shared" si="121"/>
        <v>43199</v>
      </c>
      <c r="H1954" s="1" t="s">
        <v>115</v>
      </c>
      <c r="I1954" s="1" t="s">
        <v>536</v>
      </c>
      <c r="J1954" s="1">
        <v>250</v>
      </c>
      <c r="K1954" s="1">
        <v>218</v>
      </c>
      <c r="L1954" s="3">
        <v>0.128</v>
      </c>
      <c r="N1954" t="s">
        <v>3763</v>
      </c>
      <c r="S1954" s="4" t="e">
        <f t="shared" si="122"/>
        <v>#NUM!</v>
      </c>
      <c r="T1954" s="4" t="str">
        <f t="shared" si="120"/>
        <v/>
      </c>
      <c r="U1954" s="4" t="s">
        <v>3763</v>
      </c>
    </row>
    <row r="1955" spans="1:21" x14ac:dyDescent="0.3">
      <c r="A1955" t="s">
        <v>2561</v>
      </c>
      <c r="B1955" s="1" t="s">
        <v>434</v>
      </c>
      <c r="C1955" s="1" t="s">
        <v>435</v>
      </c>
      <c r="D1955" s="1" t="s">
        <v>24</v>
      </c>
      <c r="E1955" s="2" t="s">
        <v>3098</v>
      </c>
      <c r="F1955" s="2" t="b">
        <f t="shared" si="123"/>
        <v>0</v>
      </c>
      <c r="G1955" s="2">
        <f t="shared" si="121"/>
        <v>42199</v>
      </c>
      <c r="H1955" s="1" t="s">
        <v>55</v>
      </c>
      <c r="I1955" s="1" t="s">
        <v>585</v>
      </c>
      <c r="J1955" s="1">
        <v>800</v>
      </c>
      <c r="K1955" s="1">
        <v>616</v>
      </c>
      <c r="L1955" s="3">
        <v>0.23</v>
      </c>
      <c r="N1955" t="s">
        <v>3098</v>
      </c>
      <c r="P1955">
        <v>7</v>
      </c>
      <c r="Q1955">
        <v>14</v>
      </c>
      <c r="R1955">
        <v>2015</v>
      </c>
      <c r="S1955" s="4">
        <f t="shared" si="122"/>
        <v>42199</v>
      </c>
      <c r="T1955" s="4">
        <f t="shared" si="120"/>
        <v>42199</v>
      </c>
      <c r="U1955" s="4">
        <v>42199</v>
      </c>
    </row>
    <row r="1956" spans="1:21" x14ac:dyDescent="0.3">
      <c r="A1956" t="s">
        <v>2562</v>
      </c>
      <c r="B1956" s="1" t="s">
        <v>124</v>
      </c>
      <c r="C1956" s="1" t="s">
        <v>40</v>
      </c>
      <c r="D1956" s="1" t="s">
        <v>35</v>
      </c>
      <c r="E1956" s="2" t="s">
        <v>3684</v>
      </c>
      <c r="F1956" s="2" t="b">
        <f t="shared" si="123"/>
        <v>0</v>
      </c>
      <c r="G1956" s="2">
        <f t="shared" si="121"/>
        <v>41759</v>
      </c>
      <c r="H1956" s="1" t="s">
        <v>46</v>
      </c>
      <c r="I1956" s="1" t="s">
        <v>863</v>
      </c>
      <c r="J1956" s="1">
        <v>500</v>
      </c>
      <c r="K1956" s="1">
        <v>395</v>
      </c>
      <c r="L1956" s="3">
        <v>0.21</v>
      </c>
      <c r="N1956" t="s">
        <v>3684</v>
      </c>
      <c r="P1956">
        <v>4</v>
      </c>
      <c r="Q1956">
        <v>30</v>
      </c>
      <c r="R1956">
        <v>2014</v>
      </c>
      <c r="S1956" s="4">
        <f t="shared" si="122"/>
        <v>41759</v>
      </c>
      <c r="T1956" s="4">
        <f t="shared" si="120"/>
        <v>41759</v>
      </c>
      <c r="U1956" s="4">
        <v>41759</v>
      </c>
    </row>
    <row r="1957" spans="1:21" x14ac:dyDescent="0.3">
      <c r="A1957" t="s">
        <v>2563</v>
      </c>
      <c r="B1957" s="1" t="s">
        <v>64</v>
      </c>
      <c r="C1957" s="1" t="s">
        <v>65</v>
      </c>
      <c r="D1957" s="1" t="s">
        <v>35</v>
      </c>
      <c r="E1957" s="2" t="s">
        <v>3685</v>
      </c>
      <c r="F1957" s="2" t="b">
        <f t="shared" si="123"/>
        <v>0</v>
      </c>
      <c r="G1957" s="2">
        <f t="shared" si="121"/>
        <v>43459</v>
      </c>
      <c r="H1957" s="1" t="s">
        <v>104</v>
      </c>
      <c r="I1957" s="1" t="s">
        <v>529</v>
      </c>
      <c r="J1957" s="1">
        <v>70</v>
      </c>
      <c r="K1957" s="1">
        <v>69</v>
      </c>
      <c r="L1957" s="3">
        <v>1.43E-2</v>
      </c>
      <c r="N1957" t="s">
        <v>3685</v>
      </c>
      <c r="P1957">
        <v>12</v>
      </c>
      <c r="Q1957">
        <v>25</v>
      </c>
      <c r="R1957">
        <v>2018</v>
      </c>
      <c r="S1957" s="4">
        <f t="shared" si="122"/>
        <v>43459</v>
      </c>
      <c r="T1957" s="4">
        <f t="shared" si="120"/>
        <v>43459</v>
      </c>
      <c r="U1957" s="4">
        <v>43459</v>
      </c>
    </row>
    <row r="1958" spans="1:21" x14ac:dyDescent="0.3">
      <c r="A1958" t="s">
        <v>2564</v>
      </c>
      <c r="B1958" s="1" t="s">
        <v>221</v>
      </c>
      <c r="C1958" s="1" t="s">
        <v>40</v>
      </c>
      <c r="D1958" s="1" t="s">
        <v>35</v>
      </c>
      <c r="E1958" s="2" t="s">
        <v>3686</v>
      </c>
      <c r="F1958" s="2" t="b">
        <f t="shared" si="123"/>
        <v>0</v>
      </c>
      <c r="G1958" s="2">
        <f t="shared" si="121"/>
        <v>42304</v>
      </c>
      <c r="H1958" s="1" t="s">
        <v>25</v>
      </c>
      <c r="I1958" s="1" t="s">
        <v>1179</v>
      </c>
      <c r="J1958" s="1">
        <v>700</v>
      </c>
      <c r="K1958" s="1">
        <v>609</v>
      </c>
      <c r="L1958" s="3">
        <v>0.13</v>
      </c>
      <c r="N1958" t="s">
        <v>3686</v>
      </c>
      <c r="P1958">
        <v>10</v>
      </c>
      <c r="Q1958">
        <v>27</v>
      </c>
      <c r="R1958">
        <v>2015</v>
      </c>
      <c r="S1958" s="4">
        <f t="shared" si="122"/>
        <v>42304</v>
      </c>
      <c r="T1958" s="4">
        <f t="shared" si="120"/>
        <v>42304</v>
      </c>
      <c r="U1958" s="4">
        <v>42304</v>
      </c>
    </row>
    <row r="1959" spans="1:21" x14ac:dyDescent="0.3">
      <c r="A1959" t="s">
        <v>2565</v>
      </c>
      <c r="B1959" s="1" t="s">
        <v>264</v>
      </c>
      <c r="C1959" s="1" t="s">
        <v>265</v>
      </c>
      <c r="D1959" s="1" t="s">
        <v>13</v>
      </c>
      <c r="E1959" s="2" t="s">
        <v>3687</v>
      </c>
      <c r="F1959" s="2" t="b">
        <f t="shared" si="123"/>
        <v>0</v>
      </c>
      <c r="G1959" s="2">
        <f t="shared" si="121"/>
        <v>42298</v>
      </c>
      <c r="H1959" s="1" t="s">
        <v>46</v>
      </c>
      <c r="I1959" s="1" t="s">
        <v>266</v>
      </c>
      <c r="J1959" s="1">
        <v>500</v>
      </c>
      <c r="K1959" s="1">
        <v>455</v>
      </c>
      <c r="L1959" s="3">
        <v>0.09</v>
      </c>
      <c r="N1959" t="s">
        <v>3687</v>
      </c>
      <c r="P1959">
        <v>10</v>
      </c>
      <c r="Q1959">
        <v>21</v>
      </c>
      <c r="R1959">
        <v>2015</v>
      </c>
      <c r="S1959" s="4">
        <f t="shared" si="122"/>
        <v>42298</v>
      </c>
      <c r="T1959" s="4">
        <f t="shared" si="120"/>
        <v>42298</v>
      </c>
      <c r="U1959" s="4">
        <v>42298</v>
      </c>
    </row>
    <row r="1960" spans="1:21" x14ac:dyDescent="0.3">
      <c r="A1960" t="s">
        <v>2566</v>
      </c>
      <c r="B1960" s="1" t="s">
        <v>221</v>
      </c>
      <c r="C1960" s="1" t="s">
        <v>40</v>
      </c>
      <c r="D1960" s="1" t="s">
        <v>35</v>
      </c>
      <c r="E1960" s="2">
        <v>43377</v>
      </c>
      <c r="F1960" s="2" t="b">
        <f t="shared" si="123"/>
        <v>1</v>
      </c>
      <c r="G1960" s="2">
        <f t="shared" si="121"/>
        <v>43377</v>
      </c>
      <c r="H1960" s="1" t="s">
        <v>14</v>
      </c>
      <c r="I1960" s="1" t="s">
        <v>2567</v>
      </c>
      <c r="J1960" s="1">
        <v>80</v>
      </c>
      <c r="K1960" s="1">
        <v>73</v>
      </c>
      <c r="L1960" s="3">
        <v>8.7499999999999994E-2</v>
      </c>
      <c r="N1960" t="s">
        <v>3763</v>
      </c>
      <c r="S1960" s="4" t="e">
        <f t="shared" si="122"/>
        <v>#NUM!</v>
      </c>
      <c r="T1960" s="4" t="str">
        <f t="shared" si="120"/>
        <v/>
      </c>
      <c r="U1960" s="4" t="s">
        <v>3763</v>
      </c>
    </row>
    <row r="1961" spans="1:21" x14ac:dyDescent="0.3">
      <c r="A1961" t="s">
        <v>2568</v>
      </c>
      <c r="B1961" s="1" t="s">
        <v>118</v>
      </c>
      <c r="C1961" s="1" t="s">
        <v>119</v>
      </c>
      <c r="D1961" s="1" t="s">
        <v>35</v>
      </c>
      <c r="E1961" s="2">
        <v>42045</v>
      </c>
      <c r="F1961" s="2" t="b">
        <f t="shared" si="123"/>
        <v>1</v>
      </c>
      <c r="G1961" s="2">
        <f t="shared" si="121"/>
        <v>42045</v>
      </c>
      <c r="H1961" s="1" t="s">
        <v>41</v>
      </c>
      <c r="I1961" s="1" t="s">
        <v>1681</v>
      </c>
      <c r="J1961" s="1">
        <v>30</v>
      </c>
      <c r="K1961" s="1">
        <v>29</v>
      </c>
      <c r="L1961" s="3">
        <v>3.3300000000000003E-2</v>
      </c>
      <c r="N1961" t="s">
        <v>3763</v>
      </c>
      <c r="S1961" s="4" t="e">
        <f t="shared" si="122"/>
        <v>#NUM!</v>
      </c>
      <c r="T1961" s="4" t="str">
        <f t="shared" si="120"/>
        <v/>
      </c>
      <c r="U1961" s="4" t="s">
        <v>3763</v>
      </c>
    </row>
    <row r="1962" spans="1:21" x14ac:dyDescent="0.3">
      <c r="A1962" t="s">
        <v>2569</v>
      </c>
      <c r="B1962" s="1" t="s">
        <v>59</v>
      </c>
      <c r="C1962" s="1" t="s">
        <v>60</v>
      </c>
      <c r="D1962" s="1" t="s">
        <v>13</v>
      </c>
      <c r="E1962" s="2" t="s">
        <v>3451</v>
      </c>
      <c r="F1962" s="2" t="b">
        <f t="shared" si="123"/>
        <v>0</v>
      </c>
      <c r="G1962" s="2">
        <f t="shared" si="121"/>
        <v>41756</v>
      </c>
      <c r="H1962" s="1" t="s">
        <v>46</v>
      </c>
      <c r="I1962" s="1" t="s">
        <v>697</v>
      </c>
      <c r="J1962" s="1">
        <v>500</v>
      </c>
      <c r="K1962" s="1">
        <v>385</v>
      </c>
      <c r="L1962" s="3">
        <v>0.23</v>
      </c>
      <c r="N1962" t="s">
        <v>3451</v>
      </c>
      <c r="P1962">
        <v>4</v>
      </c>
      <c r="Q1962">
        <v>27</v>
      </c>
      <c r="R1962">
        <v>2014</v>
      </c>
      <c r="S1962" s="4">
        <f t="shared" si="122"/>
        <v>41756</v>
      </c>
      <c r="T1962" s="4">
        <f t="shared" si="120"/>
        <v>41756</v>
      </c>
      <c r="U1962" s="4">
        <v>41756</v>
      </c>
    </row>
    <row r="1963" spans="1:21" x14ac:dyDescent="0.3">
      <c r="A1963" t="s">
        <v>2570</v>
      </c>
      <c r="B1963" s="1" t="s">
        <v>146</v>
      </c>
      <c r="C1963" s="1" t="s">
        <v>147</v>
      </c>
      <c r="D1963" s="1" t="s">
        <v>13</v>
      </c>
      <c r="E1963" s="2">
        <v>42492</v>
      </c>
      <c r="F1963" s="2" t="b">
        <f t="shared" si="123"/>
        <v>1</v>
      </c>
      <c r="G1963" s="2">
        <f t="shared" si="121"/>
        <v>42492</v>
      </c>
      <c r="H1963" s="1" t="s">
        <v>55</v>
      </c>
      <c r="I1963" s="1" t="s">
        <v>1318</v>
      </c>
      <c r="J1963" s="1">
        <v>800</v>
      </c>
      <c r="K1963" s="1">
        <v>768</v>
      </c>
      <c r="L1963" s="3">
        <v>0.04</v>
      </c>
      <c r="N1963" t="s">
        <v>3763</v>
      </c>
      <c r="S1963" s="4" t="e">
        <f t="shared" si="122"/>
        <v>#NUM!</v>
      </c>
      <c r="T1963" s="4" t="str">
        <f t="shared" si="120"/>
        <v/>
      </c>
      <c r="U1963" s="4" t="s">
        <v>3763</v>
      </c>
    </row>
    <row r="1964" spans="1:21" x14ac:dyDescent="0.3">
      <c r="A1964" t="s">
        <v>2571</v>
      </c>
      <c r="B1964" s="1" t="s">
        <v>2243</v>
      </c>
      <c r="C1964" s="1" t="s">
        <v>108</v>
      </c>
      <c r="D1964" s="1" t="s">
        <v>19</v>
      </c>
      <c r="E1964" s="2">
        <v>42221</v>
      </c>
      <c r="F1964" s="2" t="b">
        <f t="shared" si="123"/>
        <v>1</v>
      </c>
      <c r="G1964" s="2">
        <f t="shared" si="121"/>
        <v>42221</v>
      </c>
      <c r="H1964" s="1" t="s">
        <v>104</v>
      </c>
      <c r="I1964" s="1" t="s">
        <v>2572</v>
      </c>
      <c r="J1964" s="1">
        <v>70</v>
      </c>
      <c r="K1964" s="1">
        <v>53</v>
      </c>
      <c r="L1964" s="3">
        <v>0.2429</v>
      </c>
      <c r="N1964" t="s">
        <v>3763</v>
      </c>
      <c r="S1964" s="4" t="e">
        <f t="shared" si="122"/>
        <v>#NUM!</v>
      </c>
      <c r="T1964" s="4" t="str">
        <f t="shared" si="120"/>
        <v/>
      </c>
      <c r="U1964" s="4" t="s">
        <v>3763</v>
      </c>
    </row>
    <row r="1965" spans="1:21" x14ac:dyDescent="0.3">
      <c r="A1965" t="s">
        <v>2573</v>
      </c>
      <c r="B1965" s="1" t="s">
        <v>324</v>
      </c>
      <c r="C1965" s="1" t="s">
        <v>325</v>
      </c>
      <c r="D1965" s="1" t="s">
        <v>13</v>
      </c>
      <c r="E1965" s="2">
        <v>42835</v>
      </c>
      <c r="F1965" s="2" t="b">
        <f t="shared" si="123"/>
        <v>1</v>
      </c>
      <c r="G1965" s="2">
        <f t="shared" si="121"/>
        <v>42835</v>
      </c>
      <c r="H1965" s="1" t="s">
        <v>115</v>
      </c>
      <c r="I1965" s="1" t="s">
        <v>365</v>
      </c>
      <c r="J1965" s="1">
        <v>250</v>
      </c>
      <c r="K1965" s="1">
        <v>248</v>
      </c>
      <c r="L1965" s="3">
        <v>8.0000000000000002E-3</v>
      </c>
      <c r="N1965" t="s">
        <v>3763</v>
      </c>
      <c r="S1965" s="4" t="e">
        <f t="shared" si="122"/>
        <v>#NUM!</v>
      </c>
      <c r="T1965" s="4" t="str">
        <f t="shared" si="120"/>
        <v/>
      </c>
      <c r="U1965" s="4" t="s">
        <v>3763</v>
      </c>
    </row>
    <row r="1966" spans="1:21" x14ac:dyDescent="0.3">
      <c r="A1966" t="s">
        <v>2574</v>
      </c>
      <c r="B1966" s="1" t="s">
        <v>127</v>
      </c>
      <c r="C1966" s="1" t="s">
        <v>128</v>
      </c>
      <c r="D1966" s="1" t="s">
        <v>13</v>
      </c>
      <c r="E1966" s="2" t="s">
        <v>3688</v>
      </c>
      <c r="F1966" s="2" t="b">
        <f t="shared" si="123"/>
        <v>0</v>
      </c>
      <c r="G1966" s="2">
        <f t="shared" si="121"/>
        <v>43125</v>
      </c>
      <c r="H1966" s="1" t="s">
        <v>115</v>
      </c>
      <c r="I1966" s="1" t="s">
        <v>1261</v>
      </c>
      <c r="J1966" s="1">
        <v>250</v>
      </c>
      <c r="K1966" s="1">
        <v>213</v>
      </c>
      <c r="L1966" s="3">
        <v>0.14799999999999999</v>
      </c>
      <c r="N1966" t="s">
        <v>3688</v>
      </c>
      <c r="P1966">
        <v>1</v>
      </c>
      <c r="Q1966">
        <v>25</v>
      </c>
      <c r="R1966">
        <v>2018</v>
      </c>
      <c r="S1966" s="4">
        <f t="shared" si="122"/>
        <v>43125</v>
      </c>
      <c r="T1966" s="4">
        <f t="shared" si="120"/>
        <v>43125</v>
      </c>
      <c r="U1966" s="4">
        <v>43125</v>
      </c>
    </row>
    <row r="1967" spans="1:21" x14ac:dyDescent="0.3">
      <c r="A1967" t="s">
        <v>2575</v>
      </c>
      <c r="B1967" s="1" t="s">
        <v>227</v>
      </c>
      <c r="C1967" s="1" t="s">
        <v>228</v>
      </c>
      <c r="D1967" s="1" t="s">
        <v>24</v>
      </c>
      <c r="E1967" s="2">
        <v>41946</v>
      </c>
      <c r="F1967" s="2" t="b">
        <f t="shared" si="123"/>
        <v>1</v>
      </c>
      <c r="G1967" s="2">
        <f t="shared" si="121"/>
        <v>41946</v>
      </c>
      <c r="H1967" s="1" t="s">
        <v>122</v>
      </c>
      <c r="I1967" s="1" t="s">
        <v>685</v>
      </c>
      <c r="J1967" s="1">
        <v>50</v>
      </c>
      <c r="K1967" s="1">
        <v>36</v>
      </c>
      <c r="L1967" s="3">
        <v>0.28000000000000003</v>
      </c>
      <c r="N1967" t="s">
        <v>3763</v>
      </c>
      <c r="S1967" s="4" t="e">
        <f t="shared" si="122"/>
        <v>#NUM!</v>
      </c>
      <c r="T1967" s="4" t="str">
        <f t="shared" si="120"/>
        <v/>
      </c>
      <c r="U1967" s="4" t="s">
        <v>3763</v>
      </c>
    </row>
    <row r="1968" spans="1:21" x14ac:dyDescent="0.3">
      <c r="A1968" t="s">
        <v>2576</v>
      </c>
      <c r="B1968" s="1" t="s">
        <v>131</v>
      </c>
      <c r="C1968" s="1" t="s">
        <v>108</v>
      </c>
      <c r="D1968" s="1" t="s">
        <v>19</v>
      </c>
      <c r="E1968" s="2">
        <v>42217</v>
      </c>
      <c r="F1968" s="2" t="b">
        <f t="shared" si="123"/>
        <v>1</v>
      </c>
      <c r="G1968" s="2">
        <f t="shared" si="121"/>
        <v>42217</v>
      </c>
      <c r="H1968" s="1" t="s">
        <v>104</v>
      </c>
      <c r="I1968" s="1" t="s">
        <v>546</v>
      </c>
      <c r="J1968" s="1">
        <v>70</v>
      </c>
      <c r="K1968" s="1">
        <v>66</v>
      </c>
      <c r="L1968" s="3">
        <v>5.7099999999999998E-2</v>
      </c>
      <c r="N1968" t="s">
        <v>3763</v>
      </c>
      <c r="S1968" s="4" t="e">
        <f t="shared" si="122"/>
        <v>#NUM!</v>
      </c>
      <c r="T1968" s="4" t="str">
        <f t="shared" si="120"/>
        <v/>
      </c>
      <c r="U1968" s="4" t="s">
        <v>3763</v>
      </c>
    </row>
    <row r="1969" spans="1:21" x14ac:dyDescent="0.3">
      <c r="A1969" t="s">
        <v>2577</v>
      </c>
      <c r="B1969" s="1" t="s">
        <v>187</v>
      </c>
      <c r="C1969" s="1" t="s">
        <v>188</v>
      </c>
      <c r="D1969" s="1" t="s">
        <v>13</v>
      </c>
      <c r="E1969" s="2">
        <v>42624</v>
      </c>
      <c r="F1969" s="2" t="b">
        <f t="shared" si="123"/>
        <v>1</v>
      </c>
      <c r="G1969" s="2">
        <f t="shared" si="121"/>
        <v>42624</v>
      </c>
      <c r="H1969" s="1" t="s">
        <v>46</v>
      </c>
      <c r="I1969" s="1" t="s">
        <v>237</v>
      </c>
      <c r="J1969" s="1">
        <v>500</v>
      </c>
      <c r="K1969" s="1">
        <v>445</v>
      </c>
      <c r="L1969" s="3">
        <v>0.11</v>
      </c>
      <c r="N1969" t="s">
        <v>3763</v>
      </c>
      <c r="S1969" s="4" t="e">
        <f t="shared" si="122"/>
        <v>#NUM!</v>
      </c>
      <c r="T1969" s="4" t="str">
        <f t="shared" si="120"/>
        <v/>
      </c>
      <c r="U1969" s="4" t="s">
        <v>3763</v>
      </c>
    </row>
    <row r="1970" spans="1:21" x14ac:dyDescent="0.3">
      <c r="A1970" t="s">
        <v>2578</v>
      </c>
      <c r="B1970" s="1" t="s">
        <v>85</v>
      </c>
      <c r="C1970" s="1" t="s">
        <v>86</v>
      </c>
      <c r="D1970" s="1" t="s">
        <v>13</v>
      </c>
      <c r="E1970" s="2" t="s">
        <v>3689</v>
      </c>
      <c r="F1970" s="2" t="b">
        <f t="shared" si="123"/>
        <v>0</v>
      </c>
      <c r="G1970" s="2">
        <f t="shared" si="121"/>
        <v>42155</v>
      </c>
      <c r="H1970" s="1" t="s">
        <v>36</v>
      </c>
      <c r="I1970" s="1" t="s">
        <v>363</v>
      </c>
      <c r="J1970" s="1">
        <v>50</v>
      </c>
      <c r="K1970" s="1">
        <v>30</v>
      </c>
      <c r="L1970" s="3">
        <v>0.4</v>
      </c>
      <c r="N1970" t="s">
        <v>3689</v>
      </c>
      <c r="P1970">
        <v>5</v>
      </c>
      <c r="Q1970">
        <v>31</v>
      </c>
      <c r="R1970">
        <v>2015</v>
      </c>
      <c r="S1970" s="4">
        <f t="shared" si="122"/>
        <v>42155</v>
      </c>
      <c r="T1970" s="4">
        <f t="shared" si="120"/>
        <v>42155</v>
      </c>
      <c r="U1970" s="4">
        <v>42155</v>
      </c>
    </row>
    <row r="1971" spans="1:21" x14ac:dyDescent="0.3">
      <c r="A1971" t="s">
        <v>2579</v>
      </c>
      <c r="B1971" s="1" t="s">
        <v>434</v>
      </c>
      <c r="C1971" s="1" t="s">
        <v>435</v>
      </c>
      <c r="D1971" s="1" t="s">
        <v>24</v>
      </c>
      <c r="E1971" s="2">
        <v>41643</v>
      </c>
      <c r="F1971" s="2" t="b">
        <f t="shared" si="123"/>
        <v>1</v>
      </c>
      <c r="G1971" s="2">
        <f t="shared" si="121"/>
        <v>41643</v>
      </c>
      <c r="H1971" s="1" t="s">
        <v>115</v>
      </c>
      <c r="I1971" s="1" t="s">
        <v>585</v>
      </c>
      <c r="J1971" s="1">
        <v>250</v>
      </c>
      <c r="K1971" s="1">
        <v>243</v>
      </c>
      <c r="L1971" s="3">
        <v>2.8000000000000001E-2</v>
      </c>
      <c r="N1971" t="s">
        <v>3763</v>
      </c>
      <c r="S1971" s="4" t="e">
        <f t="shared" si="122"/>
        <v>#NUM!</v>
      </c>
      <c r="T1971" s="4" t="str">
        <f t="shared" si="120"/>
        <v/>
      </c>
      <c r="U1971" s="4" t="s">
        <v>3763</v>
      </c>
    </row>
    <row r="1972" spans="1:21" x14ac:dyDescent="0.3">
      <c r="A1972" t="s">
        <v>2580</v>
      </c>
      <c r="B1972" s="1" t="s">
        <v>124</v>
      </c>
      <c r="C1972" s="1" t="s">
        <v>40</v>
      </c>
      <c r="D1972" s="1" t="s">
        <v>35</v>
      </c>
      <c r="E1972" s="2" t="s">
        <v>3665</v>
      </c>
      <c r="F1972" s="2" t="b">
        <f t="shared" si="123"/>
        <v>0</v>
      </c>
      <c r="G1972" s="2">
        <f t="shared" si="121"/>
        <v>42078</v>
      </c>
      <c r="H1972" s="1" t="s">
        <v>36</v>
      </c>
      <c r="I1972" s="1" t="s">
        <v>2496</v>
      </c>
      <c r="J1972" s="1">
        <v>50</v>
      </c>
      <c r="K1972" s="1">
        <v>45</v>
      </c>
      <c r="L1972" s="3">
        <v>0.1</v>
      </c>
      <c r="N1972" t="s">
        <v>3665</v>
      </c>
      <c r="P1972">
        <v>3</v>
      </c>
      <c r="Q1972">
        <v>15</v>
      </c>
      <c r="R1972">
        <v>2015</v>
      </c>
      <c r="S1972" s="4">
        <f t="shared" si="122"/>
        <v>42078</v>
      </c>
      <c r="T1972" s="4">
        <f t="shared" si="120"/>
        <v>42078</v>
      </c>
      <c r="U1972" s="4">
        <v>42078</v>
      </c>
    </row>
    <row r="1973" spans="1:21" x14ac:dyDescent="0.3">
      <c r="A1973" t="s">
        <v>2581</v>
      </c>
      <c r="B1973" s="1" t="s">
        <v>174</v>
      </c>
      <c r="C1973" s="1" t="s">
        <v>175</v>
      </c>
      <c r="D1973" s="1" t="s">
        <v>13</v>
      </c>
      <c r="E1973" s="2">
        <v>43081</v>
      </c>
      <c r="F1973" s="2" t="b">
        <f t="shared" si="123"/>
        <v>1</v>
      </c>
      <c r="G1973" s="2">
        <f t="shared" si="121"/>
        <v>43081</v>
      </c>
      <c r="H1973" s="1" t="s">
        <v>122</v>
      </c>
      <c r="I1973" s="1" t="s">
        <v>1277</v>
      </c>
      <c r="J1973" s="1">
        <v>50</v>
      </c>
      <c r="K1973" s="1">
        <v>50</v>
      </c>
      <c r="L1973" s="3">
        <v>0</v>
      </c>
      <c r="N1973" t="s">
        <v>3763</v>
      </c>
      <c r="S1973" s="4" t="e">
        <f t="shared" si="122"/>
        <v>#NUM!</v>
      </c>
      <c r="T1973" s="4" t="str">
        <f t="shared" si="120"/>
        <v/>
      </c>
      <c r="U1973" s="4" t="s">
        <v>3763</v>
      </c>
    </row>
    <row r="1974" spans="1:21" x14ac:dyDescent="0.3">
      <c r="A1974" t="s">
        <v>2582</v>
      </c>
      <c r="B1974" s="1" t="s">
        <v>241</v>
      </c>
      <c r="C1974" s="1" t="s">
        <v>242</v>
      </c>
      <c r="D1974" s="1" t="s">
        <v>13</v>
      </c>
      <c r="E1974" s="2" t="s">
        <v>3558</v>
      </c>
      <c r="F1974" s="2" t="b">
        <f t="shared" si="123"/>
        <v>0</v>
      </c>
      <c r="G1974" s="2">
        <f t="shared" si="121"/>
        <v>43216</v>
      </c>
      <c r="H1974" s="1" t="s">
        <v>115</v>
      </c>
      <c r="I1974" s="1" t="s">
        <v>380</v>
      </c>
      <c r="J1974" s="1">
        <v>250</v>
      </c>
      <c r="K1974" s="1">
        <v>220</v>
      </c>
      <c r="L1974" s="3">
        <v>0.12</v>
      </c>
      <c r="N1974" t="s">
        <v>3558</v>
      </c>
      <c r="P1974">
        <v>4</v>
      </c>
      <c r="Q1974">
        <v>26</v>
      </c>
      <c r="R1974">
        <v>2018</v>
      </c>
      <c r="S1974" s="4">
        <f t="shared" si="122"/>
        <v>43216</v>
      </c>
      <c r="T1974" s="4">
        <f t="shared" si="120"/>
        <v>43216</v>
      </c>
      <c r="U1974" s="4">
        <v>43216</v>
      </c>
    </row>
    <row r="1975" spans="1:21" x14ac:dyDescent="0.3">
      <c r="A1975" t="s">
        <v>2583</v>
      </c>
      <c r="B1975" s="1" t="s">
        <v>81</v>
      </c>
      <c r="C1975" s="1" t="s">
        <v>82</v>
      </c>
      <c r="D1975" s="1" t="s">
        <v>13</v>
      </c>
      <c r="E1975" s="2" t="s">
        <v>3178</v>
      </c>
      <c r="F1975" s="2" t="b">
        <f t="shared" si="123"/>
        <v>0</v>
      </c>
      <c r="G1975" s="2">
        <f t="shared" si="121"/>
        <v>42934</v>
      </c>
      <c r="H1975" s="1" t="s">
        <v>46</v>
      </c>
      <c r="I1975" s="1" t="s">
        <v>556</v>
      </c>
      <c r="J1975" s="1">
        <v>500</v>
      </c>
      <c r="K1975" s="1">
        <v>450</v>
      </c>
      <c r="L1975" s="3">
        <v>0.1</v>
      </c>
      <c r="N1975" t="s">
        <v>3178</v>
      </c>
      <c r="P1975">
        <v>7</v>
      </c>
      <c r="Q1975">
        <v>18</v>
      </c>
      <c r="R1975">
        <v>2017</v>
      </c>
      <c r="S1975" s="4">
        <f t="shared" si="122"/>
        <v>42934</v>
      </c>
      <c r="T1975" s="4">
        <f t="shared" si="120"/>
        <v>42934</v>
      </c>
      <c r="U1975" s="4">
        <v>42934</v>
      </c>
    </row>
    <row r="1976" spans="1:21" x14ac:dyDescent="0.3">
      <c r="A1976" t="s">
        <v>2584</v>
      </c>
      <c r="B1976" s="1" t="s">
        <v>64</v>
      </c>
      <c r="C1976" s="1" t="s">
        <v>65</v>
      </c>
      <c r="D1976" s="1" t="s">
        <v>35</v>
      </c>
      <c r="E1976" s="2">
        <v>43438</v>
      </c>
      <c r="F1976" s="2" t="b">
        <f t="shared" si="123"/>
        <v>1</v>
      </c>
      <c r="G1976" s="2">
        <f t="shared" si="121"/>
        <v>43438</v>
      </c>
      <c r="H1976" s="1" t="s">
        <v>36</v>
      </c>
      <c r="I1976" s="1" t="s">
        <v>1717</v>
      </c>
      <c r="J1976" s="1">
        <v>50</v>
      </c>
      <c r="K1976" s="1">
        <v>48</v>
      </c>
      <c r="L1976" s="3">
        <v>0.04</v>
      </c>
      <c r="N1976" t="s">
        <v>3763</v>
      </c>
      <c r="S1976" s="4" t="e">
        <f t="shared" si="122"/>
        <v>#NUM!</v>
      </c>
      <c r="T1976" s="4" t="str">
        <f t="shared" si="120"/>
        <v/>
      </c>
      <c r="U1976" s="4" t="s">
        <v>3763</v>
      </c>
    </row>
    <row r="1977" spans="1:21" x14ac:dyDescent="0.3">
      <c r="A1977" t="s">
        <v>2585</v>
      </c>
      <c r="B1977" s="1" t="s">
        <v>124</v>
      </c>
      <c r="C1977" s="1" t="s">
        <v>40</v>
      </c>
      <c r="D1977" s="1" t="s">
        <v>35</v>
      </c>
      <c r="E1977" s="2" t="s">
        <v>3319</v>
      </c>
      <c r="F1977" s="2" t="b">
        <f t="shared" si="123"/>
        <v>0</v>
      </c>
      <c r="G1977" s="2">
        <f t="shared" si="121"/>
        <v>42602</v>
      </c>
      <c r="H1977" s="1" t="s">
        <v>14</v>
      </c>
      <c r="I1977" s="1" t="s">
        <v>1017</v>
      </c>
      <c r="J1977" s="1">
        <v>80</v>
      </c>
      <c r="K1977" s="1">
        <v>78</v>
      </c>
      <c r="L1977" s="3">
        <v>2.5000000000000001E-2</v>
      </c>
      <c r="N1977" t="s">
        <v>3319</v>
      </c>
      <c r="P1977">
        <v>8</v>
      </c>
      <c r="Q1977">
        <v>20</v>
      </c>
      <c r="R1977">
        <v>2016</v>
      </c>
      <c r="S1977" s="4">
        <f t="shared" si="122"/>
        <v>42602</v>
      </c>
      <c r="T1977" s="4">
        <f t="shared" si="120"/>
        <v>42602</v>
      </c>
      <c r="U1977" s="4">
        <v>42602</v>
      </c>
    </row>
    <row r="1978" spans="1:21" x14ac:dyDescent="0.3">
      <c r="A1978" t="s">
        <v>2586</v>
      </c>
      <c r="B1978" s="1" t="s">
        <v>11</v>
      </c>
      <c r="C1978" s="1" t="s">
        <v>12</v>
      </c>
      <c r="D1978" s="1" t="s">
        <v>13</v>
      </c>
      <c r="E1978" s="2" t="s">
        <v>3144</v>
      </c>
      <c r="F1978" s="2" t="b">
        <f t="shared" si="123"/>
        <v>0</v>
      </c>
      <c r="G1978" s="2">
        <f t="shared" si="121"/>
        <v>42699</v>
      </c>
      <c r="H1978" s="1" t="s">
        <v>30</v>
      </c>
      <c r="I1978" s="1" t="s">
        <v>1159</v>
      </c>
      <c r="J1978" s="1">
        <v>150</v>
      </c>
      <c r="K1978" s="1">
        <v>149</v>
      </c>
      <c r="L1978" s="3">
        <v>6.7000000000000002E-3</v>
      </c>
      <c r="N1978" t="s">
        <v>3144</v>
      </c>
      <c r="P1978">
        <v>11</v>
      </c>
      <c r="Q1978">
        <v>25</v>
      </c>
      <c r="R1978">
        <v>2016</v>
      </c>
      <c r="S1978" s="4">
        <f t="shared" si="122"/>
        <v>42699</v>
      </c>
      <c r="T1978" s="4">
        <f t="shared" si="120"/>
        <v>42699</v>
      </c>
      <c r="U1978" s="4">
        <v>42699</v>
      </c>
    </row>
    <row r="1979" spans="1:21" x14ac:dyDescent="0.3">
      <c r="A1979" t="s">
        <v>2587</v>
      </c>
      <c r="B1979" s="1" t="s">
        <v>33</v>
      </c>
      <c r="C1979" s="1" t="s">
        <v>34</v>
      </c>
      <c r="D1979" s="1" t="s">
        <v>35</v>
      </c>
      <c r="E1979" s="2" t="s">
        <v>3369</v>
      </c>
      <c r="F1979" s="2" t="b">
        <f t="shared" si="123"/>
        <v>0</v>
      </c>
      <c r="G1979" s="2">
        <f t="shared" si="121"/>
        <v>42700</v>
      </c>
      <c r="H1979" s="1" t="s">
        <v>55</v>
      </c>
      <c r="I1979" s="1" t="s">
        <v>160</v>
      </c>
      <c r="J1979" s="1">
        <v>800</v>
      </c>
      <c r="K1979" s="1">
        <v>592</v>
      </c>
      <c r="L1979" s="3">
        <v>0.26</v>
      </c>
      <c r="N1979" t="s">
        <v>3369</v>
      </c>
      <c r="P1979">
        <v>11</v>
      </c>
      <c r="Q1979">
        <v>26</v>
      </c>
      <c r="R1979">
        <v>2016</v>
      </c>
      <c r="S1979" s="4">
        <f t="shared" si="122"/>
        <v>42700</v>
      </c>
      <c r="T1979" s="4">
        <f t="shared" si="120"/>
        <v>42700</v>
      </c>
      <c r="U1979" s="4">
        <v>42700</v>
      </c>
    </row>
    <row r="1980" spans="1:21" x14ac:dyDescent="0.3">
      <c r="A1980" t="s">
        <v>2588</v>
      </c>
      <c r="B1980" s="1" t="s">
        <v>146</v>
      </c>
      <c r="C1980" s="1" t="s">
        <v>147</v>
      </c>
      <c r="D1980" s="1" t="s">
        <v>13</v>
      </c>
      <c r="E1980" s="2">
        <v>42583</v>
      </c>
      <c r="F1980" s="2" t="b">
        <f t="shared" si="123"/>
        <v>1</v>
      </c>
      <c r="G1980" s="2">
        <f t="shared" si="121"/>
        <v>42583</v>
      </c>
      <c r="H1980" s="1" t="s">
        <v>55</v>
      </c>
      <c r="I1980" s="1" t="s">
        <v>1624</v>
      </c>
      <c r="J1980" s="1">
        <v>800</v>
      </c>
      <c r="K1980" s="1">
        <v>800</v>
      </c>
      <c r="L1980" s="3">
        <v>0</v>
      </c>
      <c r="N1980" t="s">
        <v>3763</v>
      </c>
      <c r="S1980" s="4" t="e">
        <f t="shared" si="122"/>
        <v>#NUM!</v>
      </c>
      <c r="T1980" s="4" t="str">
        <f t="shared" si="120"/>
        <v/>
      </c>
      <c r="U1980" s="4" t="s">
        <v>3763</v>
      </c>
    </row>
    <row r="1981" spans="1:21" x14ac:dyDescent="0.3">
      <c r="A1981" t="s">
        <v>2589</v>
      </c>
      <c r="B1981" s="1" t="s">
        <v>227</v>
      </c>
      <c r="C1981" s="1" t="s">
        <v>228</v>
      </c>
      <c r="D1981" s="1" t="s">
        <v>24</v>
      </c>
      <c r="E1981" s="2" t="s">
        <v>3690</v>
      </c>
      <c r="F1981" s="2" t="b">
        <f t="shared" si="123"/>
        <v>0</v>
      </c>
      <c r="G1981" s="2">
        <f t="shared" si="121"/>
        <v>42569</v>
      </c>
      <c r="H1981" s="1" t="s">
        <v>104</v>
      </c>
      <c r="I1981" s="1" t="s">
        <v>870</v>
      </c>
      <c r="J1981" s="1">
        <v>70</v>
      </c>
      <c r="K1981" s="1">
        <v>63</v>
      </c>
      <c r="L1981" s="3">
        <v>0.1</v>
      </c>
      <c r="N1981" t="s">
        <v>3690</v>
      </c>
      <c r="P1981">
        <v>7</v>
      </c>
      <c r="Q1981">
        <v>18</v>
      </c>
      <c r="R1981">
        <v>2016</v>
      </c>
      <c r="S1981" s="4">
        <f t="shared" si="122"/>
        <v>42569</v>
      </c>
      <c r="T1981" s="4">
        <f t="shared" si="120"/>
        <v>42569</v>
      </c>
      <c r="U1981" s="4">
        <v>42569</v>
      </c>
    </row>
    <row r="1982" spans="1:21" x14ac:dyDescent="0.3">
      <c r="A1982" t="s">
        <v>2590</v>
      </c>
      <c r="B1982" s="1" t="s">
        <v>107</v>
      </c>
      <c r="C1982" s="1" t="s">
        <v>108</v>
      </c>
      <c r="D1982" s="1" t="s">
        <v>19</v>
      </c>
      <c r="E1982" s="2">
        <v>41801</v>
      </c>
      <c r="F1982" s="2" t="b">
        <f t="shared" si="123"/>
        <v>1</v>
      </c>
      <c r="G1982" s="2">
        <f t="shared" si="121"/>
        <v>41801</v>
      </c>
      <c r="H1982" s="1" t="s">
        <v>25</v>
      </c>
      <c r="I1982" s="1" t="s">
        <v>946</v>
      </c>
      <c r="J1982" s="1">
        <v>700</v>
      </c>
      <c r="K1982" s="1">
        <v>651</v>
      </c>
      <c r="L1982" s="3">
        <v>7.0000000000000007E-2</v>
      </c>
      <c r="N1982" t="s">
        <v>3763</v>
      </c>
      <c r="S1982" s="4" t="e">
        <f t="shared" si="122"/>
        <v>#NUM!</v>
      </c>
      <c r="T1982" s="4" t="str">
        <f t="shared" si="120"/>
        <v/>
      </c>
      <c r="U1982" s="4" t="s">
        <v>3763</v>
      </c>
    </row>
    <row r="1983" spans="1:21" x14ac:dyDescent="0.3">
      <c r="A1983" t="s">
        <v>2591</v>
      </c>
      <c r="B1983" s="1" t="s">
        <v>107</v>
      </c>
      <c r="C1983" s="1" t="s">
        <v>108</v>
      </c>
      <c r="D1983" s="1" t="s">
        <v>19</v>
      </c>
      <c r="E1983" s="2">
        <v>42320</v>
      </c>
      <c r="F1983" s="2" t="b">
        <f t="shared" si="123"/>
        <v>1</v>
      </c>
      <c r="G1983" s="2">
        <f t="shared" si="121"/>
        <v>42320</v>
      </c>
      <c r="H1983" s="1" t="s">
        <v>14</v>
      </c>
      <c r="I1983" s="1" t="s">
        <v>894</v>
      </c>
      <c r="J1983" s="1">
        <v>80</v>
      </c>
      <c r="K1983" s="1">
        <v>54</v>
      </c>
      <c r="L1983" s="3">
        <v>0.32500000000000001</v>
      </c>
      <c r="N1983" t="s">
        <v>3763</v>
      </c>
      <c r="S1983" s="4" t="e">
        <f t="shared" si="122"/>
        <v>#NUM!</v>
      </c>
      <c r="T1983" s="4" t="str">
        <f t="shared" si="120"/>
        <v/>
      </c>
      <c r="U1983" s="4" t="s">
        <v>3763</v>
      </c>
    </row>
    <row r="1984" spans="1:21" x14ac:dyDescent="0.3">
      <c r="A1984" t="s">
        <v>2592</v>
      </c>
      <c r="B1984" s="1" t="s">
        <v>49</v>
      </c>
      <c r="C1984" s="1" t="s">
        <v>50</v>
      </c>
      <c r="D1984" s="1" t="s">
        <v>24</v>
      </c>
      <c r="E1984" s="2">
        <v>42522</v>
      </c>
      <c r="F1984" s="2" t="b">
        <f t="shared" si="123"/>
        <v>1</v>
      </c>
      <c r="G1984" s="2">
        <f t="shared" si="121"/>
        <v>42522</v>
      </c>
      <c r="H1984" s="1" t="s">
        <v>122</v>
      </c>
      <c r="I1984" s="1" t="s">
        <v>398</v>
      </c>
      <c r="J1984" s="1">
        <v>50</v>
      </c>
      <c r="K1984" s="1">
        <v>50</v>
      </c>
      <c r="L1984" s="3">
        <v>0</v>
      </c>
      <c r="N1984" t="s">
        <v>3763</v>
      </c>
      <c r="S1984" s="4" t="e">
        <f t="shared" si="122"/>
        <v>#NUM!</v>
      </c>
      <c r="T1984" s="4" t="str">
        <f t="shared" si="120"/>
        <v/>
      </c>
      <c r="U1984" s="4" t="s">
        <v>3763</v>
      </c>
    </row>
    <row r="1985" spans="1:21" x14ac:dyDescent="0.3">
      <c r="A1985" t="s">
        <v>2593</v>
      </c>
      <c r="B1985" s="1" t="s">
        <v>91</v>
      </c>
      <c r="C1985" s="1" t="s">
        <v>92</v>
      </c>
      <c r="D1985" s="1" t="s">
        <v>35</v>
      </c>
      <c r="E1985" s="2">
        <v>42156</v>
      </c>
      <c r="F1985" s="2" t="b">
        <f t="shared" si="123"/>
        <v>1</v>
      </c>
      <c r="G1985" s="2">
        <f t="shared" si="121"/>
        <v>42156</v>
      </c>
      <c r="H1985" s="1" t="s">
        <v>46</v>
      </c>
      <c r="I1985" s="1" t="s">
        <v>93</v>
      </c>
      <c r="J1985" s="1">
        <v>500</v>
      </c>
      <c r="K1985" s="1">
        <v>320</v>
      </c>
      <c r="L1985" s="3">
        <v>0.36</v>
      </c>
      <c r="N1985" t="s">
        <v>3763</v>
      </c>
      <c r="S1985" s="4" t="e">
        <f t="shared" si="122"/>
        <v>#NUM!</v>
      </c>
      <c r="T1985" s="4" t="str">
        <f t="shared" si="120"/>
        <v/>
      </c>
      <c r="U1985" s="4" t="s">
        <v>3763</v>
      </c>
    </row>
    <row r="1986" spans="1:21" x14ac:dyDescent="0.3">
      <c r="A1986" t="s">
        <v>2594</v>
      </c>
      <c r="B1986" s="1" t="s">
        <v>146</v>
      </c>
      <c r="C1986" s="1" t="s">
        <v>147</v>
      </c>
      <c r="D1986" s="1" t="s">
        <v>13</v>
      </c>
      <c r="E1986" s="2">
        <v>43436</v>
      </c>
      <c r="F1986" s="2" t="b">
        <f t="shared" si="123"/>
        <v>1</v>
      </c>
      <c r="G1986" s="2">
        <f t="shared" si="121"/>
        <v>43436</v>
      </c>
      <c r="H1986" s="1" t="s">
        <v>36</v>
      </c>
      <c r="I1986" s="1" t="s">
        <v>1334</v>
      </c>
      <c r="J1986" s="1">
        <v>50</v>
      </c>
      <c r="K1986" s="1">
        <v>43</v>
      </c>
      <c r="L1986" s="3">
        <v>0.14000000000000001</v>
      </c>
      <c r="N1986" t="s">
        <v>3763</v>
      </c>
      <c r="S1986" s="4" t="e">
        <f t="shared" si="122"/>
        <v>#NUM!</v>
      </c>
      <c r="T1986" s="4" t="str">
        <f t="shared" si="120"/>
        <v/>
      </c>
      <c r="U1986" s="4" t="s">
        <v>3763</v>
      </c>
    </row>
    <row r="1987" spans="1:21" x14ac:dyDescent="0.3">
      <c r="A1987" t="s">
        <v>2595</v>
      </c>
      <c r="B1987" s="1" t="s">
        <v>118</v>
      </c>
      <c r="C1987" s="1" t="s">
        <v>119</v>
      </c>
      <c r="D1987" s="1" t="s">
        <v>35</v>
      </c>
      <c r="E1987" s="2" t="s">
        <v>3691</v>
      </c>
      <c r="F1987" s="2" t="b">
        <f t="shared" si="123"/>
        <v>0</v>
      </c>
      <c r="G1987" s="2">
        <f t="shared" si="121"/>
        <v>42762</v>
      </c>
      <c r="H1987" s="1" t="s">
        <v>14</v>
      </c>
      <c r="I1987" s="1" t="s">
        <v>909</v>
      </c>
      <c r="J1987" s="1">
        <v>80</v>
      </c>
      <c r="K1987" s="1">
        <v>78</v>
      </c>
      <c r="L1987" s="3">
        <v>2.5000000000000001E-2</v>
      </c>
      <c r="N1987" t="s">
        <v>3691</v>
      </c>
      <c r="P1987">
        <v>1</v>
      </c>
      <c r="Q1987">
        <v>27</v>
      </c>
      <c r="R1987">
        <v>2017</v>
      </c>
      <c r="S1987" s="4">
        <f t="shared" si="122"/>
        <v>42762</v>
      </c>
      <c r="T1987" s="4">
        <f t="shared" ref="T1987:T2050" si="124">IF(AND(P1987&lt;&gt;"",Q1987&lt;&gt;"",R1987&lt;&gt;""),IFERROR(DATE(R1987,P1987,Q1987),""),"")</f>
        <v>42762</v>
      </c>
      <c r="U1987" s="4">
        <v>42762</v>
      </c>
    </row>
    <row r="1988" spans="1:21" x14ac:dyDescent="0.3">
      <c r="A1988" t="s">
        <v>2596</v>
      </c>
      <c r="B1988" s="1" t="s">
        <v>53</v>
      </c>
      <c r="C1988" s="1" t="s">
        <v>54</v>
      </c>
      <c r="D1988" s="1" t="s">
        <v>13</v>
      </c>
      <c r="E1988" s="2">
        <v>42042</v>
      </c>
      <c r="F1988" s="2" t="b">
        <f t="shared" si="123"/>
        <v>1</v>
      </c>
      <c r="G1988" s="2">
        <f t="shared" ref="G1988:G2051" si="125">IF(F1988=TRUE,E1988,U1988)</f>
        <v>42042</v>
      </c>
      <c r="H1988" s="1" t="s">
        <v>115</v>
      </c>
      <c r="I1988" s="1" t="s">
        <v>795</v>
      </c>
      <c r="J1988" s="1">
        <v>250</v>
      </c>
      <c r="K1988" s="1">
        <v>248</v>
      </c>
      <c r="L1988" s="3">
        <v>8.0000000000000002E-3</v>
      </c>
      <c r="N1988" t="s">
        <v>3763</v>
      </c>
      <c r="S1988" s="4" t="e">
        <f t="shared" ref="S1988:S2051" si="126">DATE(R1988,P1988,Q1988)</f>
        <v>#NUM!</v>
      </c>
      <c r="T1988" s="4" t="str">
        <f t="shared" si="124"/>
        <v/>
      </c>
      <c r="U1988" s="4" t="s">
        <v>3763</v>
      </c>
    </row>
    <row r="1989" spans="1:21" x14ac:dyDescent="0.3">
      <c r="A1989" t="s">
        <v>2597</v>
      </c>
      <c r="B1989" s="1" t="s">
        <v>44</v>
      </c>
      <c r="C1989" s="1" t="s">
        <v>45</v>
      </c>
      <c r="D1989" s="1" t="s">
        <v>24</v>
      </c>
      <c r="E1989" s="2">
        <v>42741</v>
      </c>
      <c r="F1989" s="2" t="b">
        <f t="shared" ref="F1989:F2052" si="127">ISNUMBER(E1989)</f>
        <v>1</v>
      </c>
      <c r="G1989" s="2">
        <f t="shared" si="125"/>
        <v>42741</v>
      </c>
      <c r="H1989" s="1" t="s">
        <v>41</v>
      </c>
      <c r="I1989" s="1" t="s">
        <v>1070</v>
      </c>
      <c r="J1989" s="1">
        <v>30</v>
      </c>
      <c r="K1989" s="1">
        <v>27</v>
      </c>
      <c r="L1989" s="3">
        <v>0.1</v>
      </c>
      <c r="N1989" t="s">
        <v>3763</v>
      </c>
      <c r="S1989" s="4" t="e">
        <f t="shared" si="126"/>
        <v>#NUM!</v>
      </c>
      <c r="T1989" s="4" t="str">
        <f t="shared" si="124"/>
        <v/>
      </c>
      <c r="U1989" s="4" t="s">
        <v>3763</v>
      </c>
    </row>
    <row r="1990" spans="1:21" x14ac:dyDescent="0.3">
      <c r="A1990" t="s">
        <v>2598</v>
      </c>
      <c r="B1990" s="1" t="s">
        <v>255</v>
      </c>
      <c r="C1990" s="1" t="s">
        <v>256</v>
      </c>
      <c r="D1990" s="1" t="s">
        <v>13</v>
      </c>
      <c r="E1990" s="2">
        <v>43193</v>
      </c>
      <c r="F1990" s="2" t="b">
        <f t="shared" si="127"/>
        <v>1</v>
      </c>
      <c r="G1990" s="2">
        <f t="shared" si="125"/>
        <v>43193</v>
      </c>
      <c r="H1990" s="1" t="s">
        <v>72</v>
      </c>
      <c r="I1990" s="1" t="s">
        <v>805</v>
      </c>
      <c r="J1990" s="1">
        <v>500</v>
      </c>
      <c r="K1990" s="1">
        <v>495</v>
      </c>
      <c r="L1990" s="3">
        <v>0.01</v>
      </c>
      <c r="N1990" t="s">
        <v>3763</v>
      </c>
      <c r="S1990" s="4" t="e">
        <f t="shared" si="126"/>
        <v>#NUM!</v>
      </c>
      <c r="T1990" s="4" t="str">
        <f t="shared" si="124"/>
        <v/>
      </c>
      <c r="U1990" s="4" t="s">
        <v>3763</v>
      </c>
    </row>
    <row r="1991" spans="1:21" x14ac:dyDescent="0.3">
      <c r="A1991" t="s">
        <v>2599</v>
      </c>
      <c r="B1991" s="1" t="s">
        <v>91</v>
      </c>
      <c r="C1991" s="1" t="s">
        <v>92</v>
      </c>
      <c r="D1991" s="1" t="s">
        <v>35</v>
      </c>
      <c r="E1991" s="2">
        <v>43143</v>
      </c>
      <c r="F1991" s="2" t="b">
        <f t="shared" si="127"/>
        <v>1</v>
      </c>
      <c r="G1991" s="2">
        <f t="shared" si="125"/>
        <v>43143</v>
      </c>
      <c r="H1991" s="1" t="s">
        <v>55</v>
      </c>
      <c r="I1991" s="1" t="s">
        <v>285</v>
      </c>
      <c r="J1991" s="1">
        <v>800</v>
      </c>
      <c r="K1991" s="1">
        <v>480</v>
      </c>
      <c r="L1991" s="3">
        <v>0.4</v>
      </c>
      <c r="N1991" t="s">
        <v>3763</v>
      </c>
      <c r="S1991" s="4" t="e">
        <f t="shared" si="126"/>
        <v>#NUM!</v>
      </c>
      <c r="T1991" s="4" t="str">
        <f t="shared" si="124"/>
        <v/>
      </c>
      <c r="U1991" s="4" t="s">
        <v>3763</v>
      </c>
    </row>
    <row r="1992" spans="1:21" x14ac:dyDescent="0.3">
      <c r="A1992" t="s">
        <v>2600</v>
      </c>
      <c r="B1992" s="1" t="s">
        <v>157</v>
      </c>
      <c r="C1992" s="1" t="s">
        <v>108</v>
      </c>
      <c r="D1992" s="1" t="s">
        <v>19</v>
      </c>
      <c r="E1992" s="2">
        <v>42430</v>
      </c>
      <c r="F1992" s="2" t="b">
        <f t="shared" si="127"/>
        <v>1</v>
      </c>
      <c r="G1992" s="2">
        <f t="shared" si="125"/>
        <v>42430</v>
      </c>
      <c r="H1992" s="1" t="s">
        <v>115</v>
      </c>
      <c r="I1992" s="1" t="s">
        <v>158</v>
      </c>
      <c r="J1992" s="1">
        <v>250</v>
      </c>
      <c r="K1992" s="1">
        <v>215</v>
      </c>
      <c r="L1992" s="3">
        <v>0.14000000000000001</v>
      </c>
      <c r="N1992" t="s">
        <v>3763</v>
      </c>
      <c r="S1992" s="4" t="e">
        <f t="shared" si="126"/>
        <v>#NUM!</v>
      </c>
      <c r="T1992" s="4" t="str">
        <f t="shared" si="124"/>
        <v/>
      </c>
      <c r="U1992" s="4" t="s">
        <v>3763</v>
      </c>
    </row>
    <row r="1993" spans="1:21" x14ac:dyDescent="0.3">
      <c r="A1993" t="s">
        <v>2601</v>
      </c>
      <c r="B1993" s="1" t="s">
        <v>99</v>
      </c>
      <c r="C1993" s="1" t="s">
        <v>100</v>
      </c>
      <c r="D1993" s="1" t="s">
        <v>13</v>
      </c>
      <c r="E1993" s="2">
        <v>42278</v>
      </c>
      <c r="F1993" s="2" t="b">
        <f t="shared" si="127"/>
        <v>1</v>
      </c>
      <c r="G1993" s="2">
        <f t="shared" si="125"/>
        <v>42278</v>
      </c>
      <c r="H1993" s="1" t="s">
        <v>46</v>
      </c>
      <c r="I1993" s="1" t="s">
        <v>1090</v>
      </c>
      <c r="J1993" s="1">
        <v>500</v>
      </c>
      <c r="K1993" s="1">
        <v>420</v>
      </c>
      <c r="L1993" s="3">
        <v>0.16</v>
      </c>
      <c r="N1993" t="s">
        <v>3763</v>
      </c>
      <c r="S1993" s="4" t="e">
        <f t="shared" si="126"/>
        <v>#NUM!</v>
      </c>
      <c r="T1993" s="4" t="str">
        <f t="shared" si="124"/>
        <v/>
      </c>
      <c r="U1993" s="4" t="s">
        <v>3763</v>
      </c>
    </row>
    <row r="1994" spans="1:21" x14ac:dyDescent="0.3">
      <c r="A1994" t="s">
        <v>2602</v>
      </c>
      <c r="B1994" s="1" t="s">
        <v>324</v>
      </c>
      <c r="C1994" s="1" t="s">
        <v>325</v>
      </c>
      <c r="D1994" s="1" t="s">
        <v>13</v>
      </c>
      <c r="E1994" s="2">
        <v>41975</v>
      </c>
      <c r="F1994" s="2" t="b">
        <f t="shared" si="127"/>
        <v>1</v>
      </c>
      <c r="G1994" s="2">
        <f t="shared" si="125"/>
        <v>41975</v>
      </c>
      <c r="H1994" s="1" t="s">
        <v>55</v>
      </c>
      <c r="I1994" s="1" t="s">
        <v>1468</v>
      </c>
      <c r="J1994" s="1">
        <v>800</v>
      </c>
      <c r="K1994" s="1">
        <v>648</v>
      </c>
      <c r="L1994" s="3">
        <v>0.19</v>
      </c>
      <c r="N1994" t="s">
        <v>3763</v>
      </c>
      <c r="S1994" s="4" t="e">
        <f t="shared" si="126"/>
        <v>#NUM!</v>
      </c>
      <c r="T1994" s="4" t="str">
        <f t="shared" si="124"/>
        <v/>
      </c>
      <c r="U1994" s="4" t="s">
        <v>3763</v>
      </c>
    </row>
    <row r="1995" spans="1:21" x14ac:dyDescent="0.3">
      <c r="A1995" t="s">
        <v>2603</v>
      </c>
      <c r="B1995" s="1" t="s">
        <v>81</v>
      </c>
      <c r="C1995" s="1" t="s">
        <v>82</v>
      </c>
      <c r="D1995" s="1" t="s">
        <v>13</v>
      </c>
      <c r="E1995" s="2">
        <v>43049</v>
      </c>
      <c r="F1995" s="2" t="b">
        <f t="shared" si="127"/>
        <v>1</v>
      </c>
      <c r="G1995" s="2">
        <f t="shared" si="125"/>
        <v>43049</v>
      </c>
      <c r="H1995" s="1" t="s">
        <v>36</v>
      </c>
      <c r="I1995" s="1" t="s">
        <v>1232</v>
      </c>
      <c r="J1995" s="1">
        <v>50</v>
      </c>
      <c r="K1995" s="1">
        <v>49</v>
      </c>
      <c r="L1995" s="3">
        <v>0.02</v>
      </c>
      <c r="N1995" t="s">
        <v>3763</v>
      </c>
      <c r="S1995" s="4" t="e">
        <f t="shared" si="126"/>
        <v>#NUM!</v>
      </c>
      <c r="T1995" s="4" t="str">
        <f t="shared" si="124"/>
        <v/>
      </c>
      <c r="U1995" s="4" t="s">
        <v>3763</v>
      </c>
    </row>
    <row r="1996" spans="1:21" x14ac:dyDescent="0.3">
      <c r="A1996" t="s">
        <v>2604</v>
      </c>
      <c r="B1996" s="1" t="s">
        <v>59</v>
      </c>
      <c r="C1996" s="1" t="s">
        <v>60</v>
      </c>
      <c r="D1996" s="1" t="s">
        <v>13</v>
      </c>
      <c r="E1996" s="2" t="s">
        <v>3692</v>
      </c>
      <c r="F1996" s="2" t="b">
        <f t="shared" si="127"/>
        <v>0</v>
      </c>
      <c r="G1996" s="2">
        <f t="shared" si="125"/>
        <v>43339</v>
      </c>
      <c r="H1996" s="1" t="s">
        <v>46</v>
      </c>
      <c r="I1996" s="1" t="s">
        <v>1842</v>
      </c>
      <c r="J1996" s="1">
        <v>500</v>
      </c>
      <c r="K1996" s="1">
        <v>465</v>
      </c>
      <c r="L1996" s="3">
        <v>7.0000000000000007E-2</v>
      </c>
      <c r="N1996" t="s">
        <v>3692</v>
      </c>
      <c r="P1996">
        <v>8</v>
      </c>
      <c r="Q1996">
        <v>27</v>
      </c>
      <c r="R1996">
        <v>2018</v>
      </c>
      <c r="S1996" s="4">
        <f t="shared" si="126"/>
        <v>43339</v>
      </c>
      <c r="T1996" s="4">
        <f t="shared" si="124"/>
        <v>43339</v>
      </c>
      <c r="U1996" s="4">
        <v>43339</v>
      </c>
    </row>
    <row r="1997" spans="1:21" x14ac:dyDescent="0.3">
      <c r="A1997" t="s">
        <v>2605</v>
      </c>
      <c r="B1997" s="1" t="s">
        <v>224</v>
      </c>
      <c r="C1997" s="1" t="s">
        <v>50</v>
      </c>
      <c r="D1997" s="1" t="s">
        <v>24</v>
      </c>
      <c r="E1997" s="2" t="s">
        <v>3693</v>
      </c>
      <c r="F1997" s="2" t="b">
        <f t="shared" si="127"/>
        <v>0</v>
      </c>
      <c r="G1997" s="2">
        <f t="shared" si="125"/>
        <v>41683</v>
      </c>
      <c r="H1997" s="1" t="s">
        <v>115</v>
      </c>
      <c r="I1997" s="1" t="s">
        <v>1038</v>
      </c>
      <c r="J1997" s="1">
        <v>250</v>
      </c>
      <c r="K1997" s="1">
        <v>215</v>
      </c>
      <c r="L1997" s="3">
        <v>0.14000000000000001</v>
      </c>
      <c r="N1997" t="s">
        <v>3693</v>
      </c>
      <c r="P1997">
        <v>2</v>
      </c>
      <c r="Q1997">
        <v>13</v>
      </c>
      <c r="R1997">
        <v>2014</v>
      </c>
      <c r="S1997" s="4">
        <f t="shared" si="126"/>
        <v>41683</v>
      </c>
      <c r="T1997" s="4">
        <f t="shared" si="124"/>
        <v>41683</v>
      </c>
      <c r="U1997" s="4">
        <v>41683</v>
      </c>
    </row>
    <row r="1998" spans="1:21" x14ac:dyDescent="0.3">
      <c r="A1998" t="s">
        <v>2606</v>
      </c>
      <c r="B1998" s="1" t="s">
        <v>111</v>
      </c>
      <c r="C1998" s="1" t="s">
        <v>82</v>
      </c>
      <c r="D1998" s="1" t="s">
        <v>13</v>
      </c>
      <c r="E1998" s="2" t="s">
        <v>3259</v>
      </c>
      <c r="F1998" s="2" t="b">
        <f t="shared" si="127"/>
        <v>0</v>
      </c>
      <c r="G1998" s="2">
        <f t="shared" si="125"/>
        <v>42544</v>
      </c>
      <c r="H1998" s="1" t="s">
        <v>30</v>
      </c>
      <c r="I1998" s="1" t="s">
        <v>372</v>
      </c>
      <c r="J1998" s="1">
        <v>150</v>
      </c>
      <c r="K1998" s="1">
        <v>149</v>
      </c>
      <c r="L1998" s="3">
        <v>6.7000000000000002E-3</v>
      </c>
      <c r="N1998" t="s">
        <v>3259</v>
      </c>
      <c r="P1998">
        <v>6</v>
      </c>
      <c r="Q1998">
        <v>23</v>
      </c>
      <c r="R1998">
        <v>2016</v>
      </c>
      <c r="S1998" s="4">
        <f t="shared" si="126"/>
        <v>42544</v>
      </c>
      <c r="T1998" s="4">
        <f t="shared" si="124"/>
        <v>42544</v>
      </c>
      <c r="U1998" s="4">
        <v>42544</v>
      </c>
    </row>
    <row r="1999" spans="1:21" x14ac:dyDescent="0.3">
      <c r="A1999" t="s">
        <v>2607</v>
      </c>
      <c r="B1999" s="1" t="s">
        <v>124</v>
      </c>
      <c r="C1999" s="1" t="s">
        <v>40</v>
      </c>
      <c r="D1999" s="1" t="s">
        <v>35</v>
      </c>
      <c r="E1999" s="2" t="s">
        <v>3393</v>
      </c>
      <c r="F1999" s="2" t="b">
        <f t="shared" si="127"/>
        <v>0</v>
      </c>
      <c r="G1999" s="2">
        <f t="shared" si="125"/>
        <v>41967</v>
      </c>
      <c r="H1999" s="1" t="s">
        <v>122</v>
      </c>
      <c r="I1999" s="1" t="s">
        <v>569</v>
      </c>
      <c r="J1999" s="1">
        <v>50</v>
      </c>
      <c r="K1999" s="1">
        <v>38</v>
      </c>
      <c r="L1999" s="3">
        <v>0.24</v>
      </c>
      <c r="N1999" t="s">
        <v>3393</v>
      </c>
      <c r="P1999">
        <v>11</v>
      </c>
      <c r="Q1999">
        <v>24</v>
      </c>
      <c r="R1999">
        <v>2014</v>
      </c>
      <c r="S1999" s="4">
        <f t="shared" si="126"/>
        <v>41967</v>
      </c>
      <c r="T1999" s="4">
        <f t="shared" si="124"/>
        <v>41967</v>
      </c>
      <c r="U1999" s="4">
        <v>41967</v>
      </c>
    </row>
    <row r="2000" spans="1:21" x14ac:dyDescent="0.3">
      <c r="A2000" t="s">
        <v>2608</v>
      </c>
      <c r="B2000" s="1" t="s">
        <v>77</v>
      </c>
      <c r="C2000" s="1" t="s">
        <v>78</v>
      </c>
      <c r="D2000" s="1" t="s">
        <v>35</v>
      </c>
      <c r="E2000" s="2" t="s">
        <v>3694</v>
      </c>
      <c r="F2000" s="2" t="b">
        <f t="shared" si="127"/>
        <v>0</v>
      </c>
      <c r="G2000" s="2">
        <f t="shared" si="125"/>
        <v>42998</v>
      </c>
      <c r="H2000" s="1" t="s">
        <v>61</v>
      </c>
      <c r="I2000" s="1" t="s">
        <v>1093</v>
      </c>
      <c r="J2000" s="1">
        <v>1000</v>
      </c>
      <c r="K2000" s="1">
        <v>670</v>
      </c>
      <c r="L2000" s="3">
        <v>0.33</v>
      </c>
      <c r="N2000" t="s">
        <v>3694</v>
      </c>
      <c r="P2000">
        <v>9</v>
      </c>
      <c r="Q2000">
        <v>20</v>
      </c>
      <c r="R2000">
        <v>2017</v>
      </c>
      <c r="S2000" s="4">
        <f t="shared" si="126"/>
        <v>42998</v>
      </c>
      <c r="T2000" s="4">
        <f t="shared" si="124"/>
        <v>42998</v>
      </c>
      <c r="U2000" s="4">
        <v>42998</v>
      </c>
    </row>
    <row r="2001" spans="1:21" x14ac:dyDescent="0.3">
      <c r="A2001" t="s">
        <v>2609</v>
      </c>
      <c r="B2001" s="1" t="s">
        <v>77</v>
      </c>
      <c r="C2001" s="1" t="s">
        <v>78</v>
      </c>
      <c r="D2001" s="1" t="s">
        <v>35</v>
      </c>
      <c r="E2001" s="2">
        <v>43263</v>
      </c>
      <c r="F2001" s="2" t="b">
        <f t="shared" si="127"/>
        <v>1</v>
      </c>
      <c r="G2001" s="2">
        <f t="shared" si="125"/>
        <v>43263</v>
      </c>
      <c r="H2001" s="1" t="s">
        <v>61</v>
      </c>
      <c r="I2001" s="1" t="s">
        <v>2439</v>
      </c>
      <c r="J2001" s="1">
        <v>1000</v>
      </c>
      <c r="K2001" s="1">
        <v>590</v>
      </c>
      <c r="L2001" s="3">
        <v>0.41</v>
      </c>
      <c r="N2001" t="s">
        <v>3763</v>
      </c>
      <c r="S2001" s="4" t="e">
        <f t="shared" si="126"/>
        <v>#NUM!</v>
      </c>
      <c r="T2001" s="4" t="str">
        <f t="shared" si="124"/>
        <v/>
      </c>
      <c r="U2001" s="4" t="s">
        <v>3763</v>
      </c>
    </row>
    <row r="2002" spans="1:21" x14ac:dyDescent="0.3">
      <c r="A2002" t="s">
        <v>2610</v>
      </c>
      <c r="B2002" s="1" t="s">
        <v>270</v>
      </c>
      <c r="C2002" s="1" t="s">
        <v>271</v>
      </c>
      <c r="D2002" s="1" t="s">
        <v>35</v>
      </c>
      <c r="E2002" s="2" t="s">
        <v>3695</v>
      </c>
      <c r="F2002" s="2" t="b">
        <f t="shared" si="127"/>
        <v>0</v>
      </c>
      <c r="G2002" s="2">
        <f t="shared" si="125"/>
        <v>41925</v>
      </c>
      <c r="H2002" s="1" t="s">
        <v>122</v>
      </c>
      <c r="I2002" s="1" t="s">
        <v>713</v>
      </c>
      <c r="J2002" s="1">
        <v>50</v>
      </c>
      <c r="K2002" s="1">
        <v>49</v>
      </c>
      <c r="L2002" s="3">
        <v>0.02</v>
      </c>
      <c r="N2002" t="s">
        <v>3695</v>
      </c>
      <c r="P2002">
        <v>10</v>
      </c>
      <c r="Q2002">
        <v>13</v>
      </c>
      <c r="R2002">
        <v>2014</v>
      </c>
      <c r="S2002" s="4">
        <f t="shared" si="126"/>
        <v>41925</v>
      </c>
      <c r="T2002" s="4">
        <f t="shared" si="124"/>
        <v>41925</v>
      </c>
      <c r="U2002" s="4">
        <v>41925</v>
      </c>
    </row>
    <row r="2003" spans="1:21" x14ac:dyDescent="0.3">
      <c r="A2003" t="s">
        <v>2611</v>
      </c>
      <c r="B2003" s="1" t="s">
        <v>157</v>
      </c>
      <c r="C2003" s="1" t="s">
        <v>108</v>
      </c>
      <c r="D2003" s="1" t="s">
        <v>19</v>
      </c>
      <c r="E2003" s="2" t="s">
        <v>3696</v>
      </c>
      <c r="F2003" s="2" t="b">
        <f t="shared" si="127"/>
        <v>0</v>
      </c>
      <c r="G2003" s="2">
        <f t="shared" si="125"/>
        <v>42354</v>
      </c>
      <c r="H2003" s="1" t="s">
        <v>41</v>
      </c>
      <c r="I2003" s="1" t="s">
        <v>925</v>
      </c>
      <c r="J2003" s="1">
        <v>30</v>
      </c>
      <c r="K2003" s="1">
        <v>20</v>
      </c>
      <c r="L2003" s="3">
        <v>0.33329999999999999</v>
      </c>
      <c r="N2003" t="s">
        <v>3696</v>
      </c>
      <c r="P2003">
        <v>12</v>
      </c>
      <c r="Q2003">
        <v>16</v>
      </c>
      <c r="R2003">
        <v>2015</v>
      </c>
      <c r="S2003" s="4">
        <f t="shared" si="126"/>
        <v>42354</v>
      </c>
      <c r="T2003" s="4">
        <f t="shared" si="124"/>
        <v>42354</v>
      </c>
      <c r="U2003" s="4">
        <v>42354</v>
      </c>
    </row>
    <row r="2004" spans="1:21" x14ac:dyDescent="0.3">
      <c r="A2004" t="s">
        <v>2612</v>
      </c>
      <c r="B2004" s="1" t="s">
        <v>146</v>
      </c>
      <c r="C2004" s="1" t="s">
        <v>147</v>
      </c>
      <c r="D2004" s="1" t="s">
        <v>13</v>
      </c>
      <c r="E2004" s="2" t="s">
        <v>3102</v>
      </c>
      <c r="F2004" s="2" t="b">
        <f t="shared" si="127"/>
        <v>0</v>
      </c>
      <c r="G2004" s="2">
        <f t="shared" si="125"/>
        <v>41868</v>
      </c>
      <c r="H2004" s="1" t="s">
        <v>46</v>
      </c>
      <c r="I2004" s="1" t="s">
        <v>1006</v>
      </c>
      <c r="J2004" s="1">
        <v>500</v>
      </c>
      <c r="K2004" s="1">
        <v>450</v>
      </c>
      <c r="L2004" s="3">
        <v>0.1</v>
      </c>
      <c r="N2004" t="s">
        <v>3102</v>
      </c>
      <c r="P2004">
        <v>8</v>
      </c>
      <c r="Q2004">
        <v>17</v>
      </c>
      <c r="R2004">
        <v>2014</v>
      </c>
      <c r="S2004" s="4">
        <f t="shared" si="126"/>
        <v>41868</v>
      </c>
      <c r="T2004" s="4">
        <f t="shared" si="124"/>
        <v>41868</v>
      </c>
      <c r="U2004" s="4">
        <v>41868</v>
      </c>
    </row>
    <row r="2005" spans="1:21" x14ac:dyDescent="0.3">
      <c r="A2005" t="s">
        <v>2613</v>
      </c>
      <c r="B2005" s="1" t="s">
        <v>264</v>
      </c>
      <c r="C2005" s="1" t="s">
        <v>265</v>
      </c>
      <c r="D2005" s="1" t="s">
        <v>13</v>
      </c>
      <c r="E2005" s="2">
        <v>43324</v>
      </c>
      <c r="F2005" s="2" t="b">
        <f t="shared" si="127"/>
        <v>1</v>
      </c>
      <c r="G2005" s="2">
        <f t="shared" si="125"/>
        <v>43324</v>
      </c>
      <c r="H2005" s="1" t="s">
        <v>72</v>
      </c>
      <c r="I2005" s="1" t="s">
        <v>599</v>
      </c>
      <c r="J2005" s="1">
        <v>500</v>
      </c>
      <c r="K2005" s="1">
        <v>490</v>
      </c>
      <c r="L2005" s="3">
        <v>0.02</v>
      </c>
      <c r="N2005" t="s">
        <v>3763</v>
      </c>
      <c r="S2005" s="4" t="e">
        <f t="shared" si="126"/>
        <v>#NUM!</v>
      </c>
      <c r="T2005" s="4" t="str">
        <f t="shared" si="124"/>
        <v/>
      </c>
      <c r="U2005" s="4" t="s">
        <v>3763</v>
      </c>
    </row>
    <row r="2006" spans="1:21" x14ac:dyDescent="0.3">
      <c r="A2006" t="s">
        <v>2614</v>
      </c>
      <c r="B2006" s="1" t="s">
        <v>170</v>
      </c>
      <c r="C2006" s="1" t="s">
        <v>171</v>
      </c>
      <c r="D2006" s="1" t="s">
        <v>13</v>
      </c>
      <c r="E2006" s="2" t="s">
        <v>3666</v>
      </c>
      <c r="F2006" s="2" t="b">
        <f t="shared" si="127"/>
        <v>0</v>
      </c>
      <c r="G2006" s="2">
        <f t="shared" si="125"/>
        <v>42725</v>
      </c>
      <c r="H2006" s="1" t="s">
        <v>115</v>
      </c>
      <c r="I2006" s="1" t="s">
        <v>1100</v>
      </c>
      <c r="J2006" s="1">
        <v>250</v>
      </c>
      <c r="K2006" s="1">
        <v>103</v>
      </c>
      <c r="L2006" s="3">
        <v>0.58799999999999997</v>
      </c>
      <c r="N2006" t="s">
        <v>3666</v>
      </c>
      <c r="P2006">
        <v>12</v>
      </c>
      <c r="Q2006">
        <v>21</v>
      </c>
      <c r="R2006">
        <v>2016</v>
      </c>
      <c r="S2006" s="4">
        <f t="shared" si="126"/>
        <v>42725</v>
      </c>
      <c r="T2006" s="4">
        <f t="shared" si="124"/>
        <v>42725</v>
      </c>
      <c r="U2006" s="4">
        <v>42725</v>
      </c>
    </row>
    <row r="2007" spans="1:21" x14ac:dyDescent="0.3">
      <c r="A2007" t="s">
        <v>2615</v>
      </c>
      <c r="B2007" s="1" t="s">
        <v>146</v>
      </c>
      <c r="C2007" s="1" t="s">
        <v>147</v>
      </c>
      <c r="D2007" s="1" t="s">
        <v>13</v>
      </c>
      <c r="E2007" s="2" t="s">
        <v>3697</v>
      </c>
      <c r="F2007" s="2" t="b">
        <f t="shared" si="127"/>
        <v>0</v>
      </c>
      <c r="G2007" s="2">
        <f t="shared" si="125"/>
        <v>42631</v>
      </c>
      <c r="H2007" s="1" t="s">
        <v>41</v>
      </c>
      <c r="I2007" s="1" t="s">
        <v>1006</v>
      </c>
      <c r="J2007" s="1">
        <v>30</v>
      </c>
      <c r="K2007" s="1">
        <v>26</v>
      </c>
      <c r="L2007" s="3">
        <v>0.1333</v>
      </c>
      <c r="N2007" t="s">
        <v>3697</v>
      </c>
      <c r="P2007">
        <v>9</v>
      </c>
      <c r="Q2007">
        <v>18</v>
      </c>
      <c r="R2007">
        <v>2016</v>
      </c>
      <c r="S2007" s="4">
        <f t="shared" si="126"/>
        <v>42631</v>
      </c>
      <c r="T2007" s="4">
        <f t="shared" si="124"/>
        <v>42631</v>
      </c>
      <c r="U2007" s="4">
        <v>42631</v>
      </c>
    </row>
    <row r="2008" spans="1:21" x14ac:dyDescent="0.3">
      <c r="A2008" t="s">
        <v>2616</v>
      </c>
      <c r="B2008" s="1" t="s">
        <v>103</v>
      </c>
      <c r="C2008" s="1" t="s">
        <v>71</v>
      </c>
      <c r="D2008" s="1" t="s">
        <v>35</v>
      </c>
      <c r="E2008" s="2">
        <v>42895</v>
      </c>
      <c r="F2008" s="2" t="b">
        <f t="shared" si="127"/>
        <v>1</v>
      </c>
      <c r="G2008" s="2">
        <f t="shared" si="125"/>
        <v>42895</v>
      </c>
      <c r="H2008" s="1" t="s">
        <v>61</v>
      </c>
      <c r="I2008" s="1" t="s">
        <v>497</v>
      </c>
      <c r="J2008" s="1">
        <v>1000</v>
      </c>
      <c r="K2008" s="1">
        <v>570</v>
      </c>
      <c r="L2008" s="3">
        <v>0.43</v>
      </c>
      <c r="N2008" t="s">
        <v>3763</v>
      </c>
      <c r="S2008" s="4" t="e">
        <f t="shared" si="126"/>
        <v>#NUM!</v>
      </c>
      <c r="T2008" s="4" t="str">
        <f t="shared" si="124"/>
        <v/>
      </c>
      <c r="U2008" s="4" t="s">
        <v>3763</v>
      </c>
    </row>
    <row r="2009" spans="1:21" x14ac:dyDescent="0.3">
      <c r="A2009" t="s">
        <v>2617</v>
      </c>
      <c r="B2009" s="1" t="s">
        <v>187</v>
      </c>
      <c r="C2009" s="1" t="s">
        <v>188</v>
      </c>
      <c r="D2009" s="1" t="s">
        <v>13</v>
      </c>
      <c r="E2009" s="2" t="s">
        <v>3698</v>
      </c>
      <c r="F2009" s="2" t="b">
        <f t="shared" si="127"/>
        <v>0</v>
      </c>
      <c r="G2009" s="2">
        <f t="shared" si="125"/>
        <v>41691</v>
      </c>
      <c r="H2009" s="1" t="s">
        <v>36</v>
      </c>
      <c r="I2009" s="1" t="s">
        <v>683</v>
      </c>
      <c r="J2009" s="1">
        <v>50</v>
      </c>
      <c r="K2009" s="1">
        <v>50</v>
      </c>
      <c r="L2009" s="3">
        <v>0</v>
      </c>
      <c r="N2009" t="s">
        <v>3698</v>
      </c>
      <c r="P2009">
        <v>2</v>
      </c>
      <c r="Q2009">
        <v>21</v>
      </c>
      <c r="R2009">
        <v>2014</v>
      </c>
      <c r="S2009" s="4">
        <f t="shared" si="126"/>
        <v>41691</v>
      </c>
      <c r="T2009" s="4">
        <f t="shared" si="124"/>
        <v>41691</v>
      </c>
      <c r="U2009" s="4">
        <v>41691</v>
      </c>
    </row>
    <row r="2010" spans="1:21" x14ac:dyDescent="0.3">
      <c r="A2010" t="s">
        <v>2618</v>
      </c>
      <c r="B2010" s="1" t="s">
        <v>131</v>
      </c>
      <c r="C2010" s="1" t="s">
        <v>108</v>
      </c>
      <c r="D2010" s="1" t="s">
        <v>19</v>
      </c>
      <c r="E2010" s="2" t="s">
        <v>3175</v>
      </c>
      <c r="F2010" s="2" t="b">
        <f t="shared" si="127"/>
        <v>0</v>
      </c>
      <c r="G2010" s="2">
        <f t="shared" si="125"/>
        <v>42483</v>
      </c>
      <c r="H2010" s="1" t="s">
        <v>14</v>
      </c>
      <c r="I2010" s="1" t="s">
        <v>212</v>
      </c>
      <c r="J2010" s="1">
        <v>80</v>
      </c>
      <c r="K2010" s="1">
        <v>79</v>
      </c>
      <c r="L2010" s="3">
        <v>1.2500000000000001E-2</v>
      </c>
      <c r="N2010" t="s">
        <v>3175</v>
      </c>
      <c r="P2010">
        <v>4</v>
      </c>
      <c r="Q2010">
        <v>23</v>
      </c>
      <c r="R2010">
        <v>2016</v>
      </c>
      <c r="S2010" s="4">
        <f t="shared" si="126"/>
        <v>42483</v>
      </c>
      <c r="T2010" s="4">
        <f t="shared" si="124"/>
        <v>42483</v>
      </c>
      <c r="U2010" s="4">
        <v>42483</v>
      </c>
    </row>
    <row r="2011" spans="1:21" x14ac:dyDescent="0.3">
      <c r="A2011" t="s">
        <v>2619</v>
      </c>
      <c r="B2011" s="1" t="s">
        <v>150</v>
      </c>
      <c r="C2011" s="1" t="s">
        <v>151</v>
      </c>
      <c r="D2011" s="1" t="s">
        <v>13</v>
      </c>
      <c r="E2011" s="2" t="s">
        <v>3699</v>
      </c>
      <c r="F2011" s="2" t="b">
        <f t="shared" si="127"/>
        <v>0</v>
      </c>
      <c r="G2011" s="2">
        <f t="shared" si="125"/>
        <v>42178</v>
      </c>
      <c r="H2011" s="1" t="s">
        <v>41</v>
      </c>
      <c r="I2011" s="1" t="s">
        <v>824</v>
      </c>
      <c r="J2011" s="1">
        <v>30</v>
      </c>
      <c r="K2011" s="1">
        <v>27</v>
      </c>
      <c r="L2011" s="3">
        <v>0.1</v>
      </c>
      <c r="N2011" t="s">
        <v>3699</v>
      </c>
      <c r="P2011">
        <v>6</v>
      </c>
      <c r="Q2011">
        <v>23</v>
      </c>
      <c r="R2011">
        <v>2015</v>
      </c>
      <c r="S2011" s="4">
        <f t="shared" si="126"/>
        <v>42178</v>
      </c>
      <c r="T2011" s="4">
        <f t="shared" si="124"/>
        <v>42178</v>
      </c>
      <c r="U2011" s="4">
        <v>42178</v>
      </c>
    </row>
    <row r="2012" spans="1:21" x14ac:dyDescent="0.3">
      <c r="A2012" t="s">
        <v>2620</v>
      </c>
      <c r="B2012" s="1" t="s">
        <v>205</v>
      </c>
      <c r="C2012" s="1" t="s">
        <v>206</v>
      </c>
      <c r="D2012" s="1" t="s">
        <v>24</v>
      </c>
      <c r="E2012" s="2" t="s">
        <v>3700</v>
      </c>
      <c r="F2012" s="2" t="b">
        <f t="shared" si="127"/>
        <v>0</v>
      </c>
      <c r="G2012" s="2">
        <f t="shared" si="125"/>
        <v>41962</v>
      </c>
      <c r="H2012" s="1" t="s">
        <v>61</v>
      </c>
      <c r="I2012" s="1" t="s">
        <v>1872</v>
      </c>
      <c r="J2012" s="1">
        <v>1000</v>
      </c>
      <c r="K2012" s="1">
        <v>800</v>
      </c>
      <c r="L2012" s="3">
        <v>0.2</v>
      </c>
      <c r="N2012" t="s">
        <v>3700</v>
      </c>
      <c r="P2012">
        <v>11</v>
      </c>
      <c r="Q2012">
        <v>19</v>
      </c>
      <c r="R2012">
        <v>2014</v>
      </c>
      <c r="S2012" s="4">
        <f t="shared" si="126"/>
        <v>41962</v>
      </c>
      <c r="T2012" s="4">
        <f t="shared" si="124"/>
        <v>41962</v>
      </c>
      <c r="U2012" s="4">
        <v>41962</v>
      </c>
    </row>
    <row r="2013" spans="1:21" x14ac:dyDescent="0.3">
      <c r="A2013" t="s">
        <v>2621</v>
      </c>
      <c r="B2013" s="1" t="s">
        <v>170</v>
      </c>
      <c r="C2013" s="1" t="s">
        <v>171</v>
      </c>
      <c r="D2013" s="1" t="s">
        <v>13</v>
      </c>
      <c r="E2013" s="2">
        <v>42676</v>
      </c>
      <c r="F2013" s="2" t="b">
        <f t="shared" si="127"/>
        <v>1</v>
      </c>
      <c r="G2013" s="2">
        <f t="shared" si="125"/>
        <v>42676</v>
      </c>
      <c r="H2013" s="1" t="s">
        <v>36</v>
      </c>
      <c r="I2013" s="1" t="s">
        <v>172</v>
      </c>
      <c r="J2013" s="1">
        <v>50</v>
      </c>
      <c r="K2013" s="1">
        <v>46</v>
      </c>
      <c r="L2013" s="3">
        <v>0.08</v>
      </c>
      <c r="N2013" t="s">
        <v>3763</v>
      </c>
      <c r="S2013" s="4" t="e">
        <f t="shared" si="126"/>
        <v>#NUM!</v>
      </c>
      <c r="T2013" s="4" t="str">
        <f t="shared" si="124"/>
        <v/>
      </c>
      <c r="U2013" s="4" t="s">
        <v>3763</v>
      </c>
    </row>
    <row r="2014" spans="1:21" x14ac:dyDescent="0.3">
      <c r="A2014" t="s">
        <v>2622</v>
      </c>
      <c r="B2014" s="1" t="s">
        <v>131</v>
      </c>
      <c r="C2014" s="1" t="s">
        <v>108</v>
      </c>
      <c r="D2014" s="1" t="s">
        <v>19</v>
      </c>
      <c r="E2014" s="2">
        <v>42311</v>
      </c>
      <c r="F2014" s="2" t="b">
        <f t="shared" si="127"/>
        <v>1</v>
      </c>
      <c r="G2014" s="2">
        <f t="shared" si="125"/>
        <v>42311</v>
      </c>
      <c r="H2014" s="1" t="s">
        <v>55</v>
      </c>
      <c r="I2014" s="1" t="s">
        <v>546</v>
      </c>
      <c r="J2014" s="1">
        <v>800</v>
      </c>
      <c r="K2014" s="1">
        <v>440</v>
      </c>
      <c r="L2014" s="3">
        <v>0.45</v>
      </c>
      <c r="N2014" t="s">
        <v>3763</v>
      </c>
      <c r="S2014" s="4" t="e">
        <f t="shared" si="126"/>
        <v>#NUM!</v>
      </c>
      <c r="T2014" s="4" t="str">
        <f t="shared" si="124"/>
        <v/>
      </c>
      <c r="U2014" s="4" t="s">
        <v>3763</v>
      </c>
    </row>
    <row r="2015" spans="1:21" x14ac:dyDescent="0.3">
      <c r="A2015" t="s">
        <v>2623</v>
      </c>
      <c r="B2015" s="1" t="s">
        <v>17</v>
      </c>
      <c r="C2015" s="1" t="s">
        <v>18</v>
      </c>
      <c r="D2015" s="1" t="s">
        <v>19</v>
      </c>
      <c r="E2015" s="2">
        <v>41768</v>
      </c>
      <c r="F2015" s="2" t="b">
        <f t="shared" si="127"/>
        <v>1</v>
      </c>
      <c r="G2015" s="2">
        <f t="shared" si="125"/>
        <v>41768</v>
      </c>
      <c r="H2015" s="1" t="s">
        <v>14</v>
      </c>
      <c r="I2015" s="1" t="s">
        <v>776</v>
      </c>
      <c r="J2015" s="1">
        <v>80</v>
      </c>
      <c r="K2015" s="1">
        <v>71</v>
      </c>
      <c r="L2015" s="3">
        <v>0.1125</v>
      </c>
      <c r="N2015" t="s">
        <v>3763</v>
      </c>
      <c r="S2015" s="4" t="e">
        <f t="shared" si="126"/>
        <v>#NUM!</v>
      </c>
      <c r="T2015" s="4" t="str">
        <f t="shared" si="124"/>
        <v/>
      </c>
      <c r="U2015" s="4" t="s">
        <v>3763</v>
      </c>
    </row>
    <row r="2016" spans="1:21" x14ac:dyDescent="0.3">
      <c r="A2016" t="s">
        <v>2624</v>
      </c>
      <c r="B2016" s="1" t="s">
        <v>131</v>
      </c>
      <c r="C2016" s="1" t="s">
        <v>108</v>
      </c>
      <c r="D2016" s="1" t="s">
        <v>19</v>
      </c>
      <c r="E2016" s="2" t="s">
        <v>3555</v>
      </c>
      <c r="F2016" s="2" t="b">
        <f t="shared" si="127"/>
        <v>0</v>
      </c>
      <c r="G2016" s="2">
        <f t="shared" si="125"/>
        <v>42420</v>
      </c>
      <c r="H2016" s="1" t="s">
        <v>55</v>
      </c>
      <c r="I2016" s="1" t="s">
        <v>536</v>
      </c>
      <c r="J2016" s="1">
        <v>800</v>
      </c>
      <c r="K2016" s="1">
        <v>512</v>
      </c>
      <c r="L2016" s="3">
        <v>0.36</v>
      </c>
      <c r="N2016" t="s">
        <v>3555</v>
      </c>
      <c r="P2016">
        <v>2</v>
      </c>
      <c r="Q2016">
        <v>20</v>
      </c>
      <c r="R2016">
        <v>2016</v>
      </c>
      <c r="S2016" s="4">
        <f t="shared" si="126"/>
        <v>42420</v>
      </c>
      <c r="T2016" s="4">
        <f t="shared" si="124"/>
        <v>42420</v>
      </c>
      <c r="U2016" s="4">
        <v>42420</v>
      </c>
    </row>
    <row r="2017" spans="1:21" x14ac:dyDescent="0.3">
      <c r="A2017" t="s">
        <v>2625</v>
      </c>
      <c r="B2017" s="1" t="s">
        <v>44</v>
      </c>
      <c r="C2017" s="1" t="s">
        <v>45</v>
      </c>
      <c r="D2017" s="1" t="s">
        <v>24</v>
      </c>
      <c r="E2017" s="2">
        <v>41703</v>
      </c>
      <c r="F2017" s="2" t="b">
        <f t="shared" si="127"/>
        <v>1</v>
      </c>
      <c r="G2017" s="2">
        <f t="shared" si="125"/>
        <v>41703</v>
      </c>
      <c r="H2017" s="1" t="s">
        <v>14</v>
      </c>
      <c r="I2017" s="1" t="s">
        <v>431</v>
      </c>
      <c r="J2017" s="1">
        <v>80</v>
      </c>
      <c r="K2017" s="1">
        <v>77</v>
      </c>
      <c r="L2017" s="3">
        <v>3.7499999999999999E-2</v>
      </c>
      <c r="N2017" t="s">
        <v>3763</v>
      </c>
      <c r="S2017" s="4" t="e">
        <f t="shared" si="126"/>
        <v>#NUM!</v>
      </c>
      <c r="T2017" s="4" t="str">
        <f t="shared" si="124"/>
        <v/>
      </c>
      <c r="U2017" s="4" t="s">
        <v>3763</v>
      </c>
    </row>
    <row r="2018" spans="1:21" x14ac:dyDescent="0.3">
      <c r="A2018" t="s">
        <v>2626</v>
      </c>
      <c r="B2018" s="1" t="s">
        <v>270</v>
      </c>
      <c r="C2018" s="1" t="s">
        <v>271</v>
      </c>
      <c r="D2018" s="1" t="s">
        <v>35</v>
      </c>
      <c r="E2018" s="2">
        <v>41798</v>
      </c>
      <c r="F2018" s="2" t="b">
        <f t="shared" si="127"/>
        <v>1</v>
      </c>
      <c r="G2018" s="2">
        <f t="shared" si="125"/>
        <v>41798</v>
      </c>
      <c r="H2018" s="1" t="s">
        <v>72</v>
      </c>
      <c r="I2018" s="1" t="s">
        <v>272</v>
      </c>
      <c r="J2018" s="1">
        <v>500</v>
      </c>
      <c r="K2018" s="1">
        <v>490</v>
      </c>
      <c r="L2018" s="3">
        <v>0.02</v>
      </c>
      <c r="N2018" t="s">
        <v>3763</v>
      </c>
      <c r="S2018" s="4" t="e">
        <f t="shared" si="126"/>
        <v>#NUM!</v>
      </c>
      <c r="T2018" s="4" t="str">
        <f t="shared" si="124"/>
        <v/>
      </c>
      <c r="U2018" s="4" t="s">
        <v>3763</v>
      </c>
    </row>
    <row r="2019" spans="1:21" x14ac:dyDescent="0.3">
      <c r="A2019" t="s">
        <v>2627</v>
      </c>
      <c r="B2019" s="1" t="s">
        <v>53</v>
      </c>
      <c r="C2019" s="1" t="s">
        <v>54</v>
      </c>
      <c r="D2019" s="1" t="s">
        <v>13</v>
      </c>
      <c r="E2019" s="2" t="s">
        <v>3232</v>
      </c>
      <c r="F2019" s="2" t="b">
        <f t="shared" si="127"/>
        <v>0</v>
      </c>
      <c r="G2019" s="2">
        <f t="shared" si="125"/>
        <v>42333</v>
      </c>
      <c r="H2019" s="1" t="s">
        <v>61</v>
      </c>
      <c r="I2019" s="1" t="s">
        <v>56</v>
      </c>
      <c r="J2019" s="1">
        <v>1000</v>
      </c>
      <c r="K2019" s="1">
        <v>920</v>
      </c>
      <c r="L2019" s="3">
        <v>0.08</v>
      </c>
      <c r="N2019" t="s">
        <v>3232</v>
      </c>
      <c r="P2019">
        <v>11</v>
      </c>
      <c r="Q2019">
        <v>25</v>
      </c>
      <c r="R2019">
        <v>2015</v>
      </c>
      <c r="S2019" s="4">
        <f t="shared" si="126"/>
        <v>42333</v>
      </c>
      <c r="T2019" s="4">
        <f t="shared" si="124"/>
        <v>42333</v>
      </c>
      <c r="U2019" s="4">
        <v>42333</v>
      </c>
    </row>
    <row r="2020" spans="1:21" x14ac:dyDescent="0.3">
      <c r="A2020" t="s">
        <v>2628</v>
      </c>
      <c r="B2020" s="1" t="s">
        <v>59</v>
      </c>
      <c r="C2020" s="1" t="s">
        <v>60</v>
      </c>
      <c r="D2020" s="1" t="s">
        <v>13</v>
      </c>
      <c r="E2020" s="2" t="s">
        <v>3581</v>
      </c>
      <c r="F2020" s="2" t="b">
        <f t="shared" si="127"/>
        <v>0</v>
      </c>
      <c r="G2020" s="2">
        <f t="shared" si="125"/>
        <v>42849</v>
      </c>
      <c r="H2020" s="1" t="s">
        <v>61</v>
      </c>
      <c r="I2020" s="1" t="s">
        <v>697</v>
      </c>
      <c r="J2020" s="1">
        <v>1000</v>
      </c>
      <c r="K2020" s="1">
        <v>740</v>
      </c>
      <c r="L2020" s="3">
        <v>0.26</v>
      </c>
      <c r="N2020" t="s">
        <v>3581</v>
      </c>
      <c r="P2020">
        <v>4</v>
      </c>
      <c r="Q2020">
        <v>24</v>
      </c>
      <c r="R2020">
        <v>2017</v>
      </c>
      <c r="S2020" s="4">
        <f t="shared" si="126"/>
        <v>42849</v>
      </c>
      <c r="T2020" s="4">
        <f t="shared" si="124"/>
        <v>42849</v>
      </c>
      <c r="U2020" s="4">
        <v>42849</v>
      </c>
    </row>
    <row r="2021" spans="1:21" x14ac:dyDescent="0.3">
      <c r="A2021" t="s">
        <v>2629</v>
      </c>
      <c r="B2021" s="1" t="s">
        <v>95</v>
      </c>
      <c r="C2021" s="1" t="s">
        <v>96</v>
      </c>
      <c r="D2021" s="1" t="s">
        <v>13</v>
      </c>
      <c r="E2021" s="2" t="s">
        <v>3534</v>
      </c>
      <c r="F2021" s="2" t="b">
        <f t="shared" si="127"/>
        <v>0</v>
      </c>
      <c r="G2021" s="2">
        <f t="shared" si="125"/>
        <v>42912</v>
      </c>
      <c r="H2021" s="1" t="s">
        <v>46</v>
      </c>
      <c r="I2021" s="1" t="s">
        <v>731</v>
      </c>
      <c r="J2021" s="1">
        <v>500</v>
      </c>
      <c r="K2021" s="1">
        <v>450</v>
      </c>
      <c r="L2021" s="3">
        <v>0.1</v>
      </c>
      <c r="N2021" t="s">
        <v>3534</v>
      </c>
      <c r="P2021">
        <v>6</v>
      </c>
      <c r="Q2021">
        <v>26</v>
      </c>
      <c r="R2021">
        <v>2017</v>
      </c>
      <c r="S2021" s="4">
        <f t="shared" si="126"/>
        <v>42912</v>
      </c>
      <c r="T2021" s="4">
        <f t="shared" si="124"/>
        <v>42912</v>
      </c>
      <c r="U2021" s="4">
        <v>42912</v>
      </c>
    </row>
    <row r="2022" spans="1:21" x14ac:dyDescent="0.3">
      <c r="A2022" t="s">
        <v>2630</v>
      </c>
      <c r="B2022" s="1" t="s">
        <v>221</v>
      </c>
      <c r="C2022" s="1" t="s">
        <v>40</v>
      </c>
      <c r="D2022" s="1" t="s">
        <v>35</v>
      </c>
      <c r="E2022" s="2">
        <v>43292</v>
      </c>
      <c r="F2022" s="2" t="b">
        <f t="shared" si="127"/>
        <v>1</v>
      </c>
      <c r="G2022" s="2">
        <f t="shared" si="125"/>
        <v>43292</v>
      </c>
      <c r="H2022" s="1" t="s">
        <v>41</v>
      </c>
      <c r="I2022" s="1" t="s">
        <v>2425</v>
      </c>
      <c r="J2022" s="1">
        <v>30</v>
      </c>
      <c r="K2022" s="1">
        <v>30</v>
      </c>
      <c r="L2022" s="3">
        <v>0</v>
      </c>
      <c r="N2022" t="s">
        <v>3763</v>
      </c>
      <c r="S2022" s="4" t="e">
        <f t="shared" si="126"/>
        <v>#NUM!</v>
      </c>
      <c r="T2022" s="4" t="str">
        <f t="shared" si="124"/>
        <v/>
      </c>
      <c r="U2022" s="4" t="s">
        <v>3763</v>
      </c>
    </row>
    <row r="2023" spans="1:21" x14ac:dyDescent="0.3">
      <c r="A2023" t="s">
        <v>2631</v>
      </c>
      <c r="B2023" s="1" t="s">
        <v>111</v>
      </c>
      <c r="C2023" s="1" t="s">
        <v>82</v>
      </c>
      <c r="D2023" s="1" t="s">
        <v>13</v>
      </c>
      <c r="E2023" s="2" t="s">
        <v>3701</v>
      </c>
      <c r="F2023" s="2" t="b">
        <f t="shared" si="127"/>
        <v>0</v>
      </c>
      <c r="G2023" s="2">
        <f t="shared" si="125"/>
        <v>42210</v>
      </c>
      <c r="H2023" s="1" t="s">
        <v>104</v>
      </c>
      <c r="I2023" s="1" t="s">
        <v>826</v>
      </c>
      <c r="J2023" s="1">
        <v>70</v>
      </c>
      <c r="K2023" s="1">
        <v>56</v>
      </c>
      <c r="L2023" s="3">
        <v>0.2</v>
      </c>
      <c r="N2023" t="s">
        <v>3701</v>
      </c>
      <c r="P2023">
        <v>7</v>
      </c>
      <c r="Q2023">
        <v>25</v>
      </c>
      <c r="R2023">
        <v>2015</v>
      </c>
      <c r="S2023" s="4">
        <f t="shared" si="126"/>
        <v>42210</v>
      </c>
      <c r="T2023" s="4">
        <f t="shared" si="124"/>
        <v>42210</v>
      </c>
      <c r="U2023" s="4">
        <v>42210</v>
      </c>
    </row>
    <row r="2024" spans="1:21" x14ac:dyDescent="0.3">
      <c r="A2024" t="s">
        <v>2632</v>
      </c>
      <c r="B2024" s="1" t="s">
        <v>2170</v>
      </c>
      <c r="C2024" s="1" t="s">
        <v>18</v>
      </c>
      <c r="D2024" s="1" t="s">
        <v>19</v>
      </c>
      <c r="E2024" s="2">
        <v>42951</v>
      </c>
      <c r="F2024" s="2" t="b">
        <f t="shared" si="127"/>
        <v>1</v>
      </c>
      <c r="G2024" s="2">
        <f t="shared" si="125"/>
        <v>42951</v>
      </c>
      <c r="H2024" s="1" t="s">
        <v>61</v>
      </c>
      <c r="I2024" s="1" t="s">
        <v>2363</v>
      </c>
      <c r="J2024" s="1">
        <v>1000</v>
      </c>
      <c r="K2024" s="1">
        <v>560</v>
      </c>
      <c r="L2024" s="3">
        <v>0.44</v>
      </c>
      <c r="N2024" t="s">
        <v>3763</v>
      </c>
      <c r="S2024" s="4" t="e">
        <f t="shared" si="126"/>
        <v>#NUM!</v>
      </c>
      <c r="T2024" s="4" t="str">
        <f t="shared" si="124"/>
        <v/>
      </c>
      <c r="U2024" s="4" t="s">
        <v>3763</v>
      </c>
    </row>
    <row r="2025" spans="1:21" x14ac:dyDescent="0.3">
      <c r="A2025" t="s">
        <v>2633</v>
      </c>
      <c r="B2025" s="1" t="s">
        <v>111</v>
      </c>
      <c r="C2025" s="1" t="s">
        <v>82</v>
      </c>
      <c r="D2025" s="1" t="s">
        <v>13</v>
      </c>
      <c r="E2025" s="2" t="s">
        <v>3489</v>
      </c>
      <c r="F2025" s="2" t="b">
        <f t="shared" si="127"/>
        <v>0</v>
      </c>
      <c r="G2025" s="2">
        <f t="shared" si="125"/>
        <v>41654</v>
      </c>
      <c r="H2025" s="1" t="s">
        <v>122</v>
      </c>
      <c r="I2025" s="1" t="s">
        <v>372</v>
      </c>
      <c r="J2025" s="1">
        <v>50</v>
      </c>
      <c r="K2025" s="1">
        <v>48</v>
      </c>
      <c r="L2025" s="3">
        <v>0.04</v>
      </c>
      <c r="N2025" t="s">
        <v>3489</v>
      </c>
      <c r="P2025">
        <v>1</v>
      </c>
      <c r="Q2025">
        <v>15</v>
      </c>
      <c r="R2025">
        <v>2014</v>
      </c>
      <c r="S2025" s="4">
        <f t="shared" si="126"/>
        <v>41654</v>
      </c>
      <c r="T2025" s="4">
        <f t="shared" si="124"/>
        <v>41654</v>
      </c>
      <c r="U2025" s="4">
        <v>41654</v>
      </c>
    </row>
    <row r="2026" spans="1:21" x14ac:dyDescent="0.3">
      <c r="A2026" t="s">
        <v>2634</v>
      </c>
      <c r="B2026" s="1" t="s">
        <v>77</v>
      </c>
      <c r="C2026" s="1" t="s">
        <v>78</v>
      </c>
      <c r="D2026" s="1" t="s">
        <v>35</v>
      </c>
      <c r="E2026" s="2">
        <v>43413</v>
      </c>
      <c r="F2026" s="2" t="b">
        <f t="shared" si="127"/>
        <v>1</v>
      </c>
      <c r="G2026" s="2">
        <f t="shared" si="125"/>
        <v>43413</v>
      </c>
      <c r="H2026" s="1" t="s">
        <v>46</v>
      </c>
      <c r="I2026" s="1" t="s">
        <v>1093</v>
      </c>
      <c r="J2026" s="1">
        <v>500</v>
      </c>
      <c r="K2026" s="1">
        <v>490</v>
      </c>
      <c r="L2026" s="3">
        <v>0.02</v>
      </c>
      <c r="N2026" t="s">
        <v>3763</v>
      </c>
      <c r="S2026" s="4" t="e">
        <f t="shared" si="126"/>
        <v>#NUM!</v>
      </c>
      <c r="T2026" s="4" t="str">
        <f t="shared" si="124"/>
        <v/>
      </c>
      <c r="U2026" s="4" t="s">
        <v>3763</v>
      </c>
    </row>
    <row r="2027" spans="1:21" x14ac:dyDescent="0.3">
      <c r="A2027" t="s">
        <v>2635</v>
      </c>
      <c r="B2027" s="1" t="s">
        <v>53</v>
      </c>
      <c r="C2027" s="1" t="s">
        <v>54</v>
      </c>
      <c r="D2027" s="1" t="s">
        <v>13</v>
      </c>
      <c r="E2027" s="2" t="s">
        <v>3451</v>
      </c>
      <c r="F2027" s="2" t="b">
        <f t="shared" si="127"/>
        <v>0</v>
      </c>
      <c r="G2027" s="2">
        <f t="shared" si="125"/>
        <v>41756</v>
      </c>
      <c r="H2027" s="1" t="s">
        <v>72</v>
      </c>
      <c r="I2027" s="1" t="s">
        <v>404</v>
      </c>
      <c r="J2027" s="1">
        <v>500</v>
      </c>
      <c r="K2027" s="1">
        <v>500</v>
      </c>
      <c r="L2027" s="3">
        <v>0</v>
      </c>
      <c r="N2027" t="s">
        <v>3451</v>
      </c>
      <c r="P2027">
        <v>4</v>
      </c>
      <c r="Q2027">
        <v>27</v>
      </c>
      <c r="R2027">
        <v>2014</v>
      </c>
      <c r="S2027" s="4">
        <f t="shared" si="126"/>
        <v>41756</v>
      </c>
      <c r="T2027" s="4">
        <f t="shared" si="124"/>
        <v>41756</v>
      </c>
      <c r="U2027" s="4">
        <v>41756</v>
      </c>
    </row>
    <row r="2028" spans="1:21" x14ac:dyDescent="0.3">
      <c r="A2028" t="s">
        <v>2636</v>
      </c>
      <c r="B2028" s="1" t="s">
        <v>157</v>
      </c>
      <c r="C2028" s="1" t="s">
        <v>108</v>
      </c>
      <c r="D2028" s="1" t="s">
        <v>19</v>
      </c>
      <c r="E2028" s="2" t="s">
        <v>3208</v>
      </c>
      <c r="F2028" s="2" t="b">
        <f t="shared" si="127"/>
        <v>0</v>
      </c>
      <c r="G2028" s="2">
        <f t="shared" si="125"/>
        <v>42077</v>
      </c>
      <c r="H2028" s="1" t="s">
        <v>72</v>
      </c>
      <c r="I2028" s="1" t="s">
        <v>1286</v>
      </c>
      <c r="J2028" s="1">
        <v>500</v>
      </c>
      <c r="K2028" s="1">
        <v>490</v>
      </c>
      <c r="L2028" s="3">
        <v>0.02</v>
      </c>
      <c r="N2028" t="s">
        <v>3208</v>
      </c>
      <c r="P2028">
        <v>3</v>
      </c>
      <c r="Q2028">
        <v>14</v>
      </c>
      <c r="R2028">
        <v>2015</v>
      </c>
      <c r="S2028" s="4">
        <f t="shared" si="126"/>
        <v>42077</v>
      </c>
      <c r="T2028" s="4">
        <f t="shared" si="124"/>
        <v>42077</v>
      </c>
      <c r="U2028" s="4">
        <v>42077</v>
      </c>
    </row>
    <row r="2029" spans="1:21" x14ac:dyDescent="0.3">
      <c r="A2029" t="s">
        <v>2637</v>
      </c>
      <c r="B2029" s="1" t="s">
        <v>2191</v>
      </c>
      <c r="C2029" s="1" t="s">
        <v>108</v>
      </c>
      <c r="D2029" s="1" t="s">
        <v>19</v>
      </c>
      <c r="E2029" s="2">
        <v>42318</v>
      </c>
      <c r="F2029" s="2" t="b">
        <f t="shared" si="127"/>
        <v>1</v>
      </c>
      <c r="G2029" s="2">
        <f t="shared" si="125"/>
        <v>42318</v>
      </c>
      <c r="H2029" s="1" t="s">
        <v>30</v>
      </c>
      <c r="I2029" s="1" t="s">
        <v>2638</v>
      </c>
      <c r="J2029" s="1">
        <v>150</v>
      </c>
      <c r="K2029" s="1">
        <v>101</v>
      </c>
      <c r="L2029" s="3">
        <v>0.32669999999999999</v>
      </c>
      <c r="N2029" t="s">
        <v>3763</v>
      </c>
      <c r="S2029" s="4" t="e">
        <f t="shared" si="126"/>
        <v>#NUM!</v>
      </c>
      <c r="T2029" s="4" t="str">
        <f t="shared" si="124"/>
        <v/>
      </c>
      <c r="U2029" s="4" t="s">
        <v>3763</v>
      </c>
    </row>
    <row r="2030" spans="1:21" x14ac:dyDescent="0.3">
      <c r="A2030" t="s">
        <v>2639</v>
      </c>
      <c r="B2030" s="1" t="s">
        <v>49</v>
      </c>
      <c r="C2030" s="1" t="s">
        <v>50</v>
      </c>
      <c r="D2030" s="1" t="s">
        <v>24</v>
      </c>
      <c r="E2030" s="2">
        <v>42472</v>
      </c>
      <c r="F2030" s="2" t="b">
        <f t="shared" si="127"/>
        <v>1</v>
      </c>
      <c r="G2030" s="2">
        <f t="shared" si="125"/>
        <v>42472</v>
      </c>
      <c r="H2030" s="1" t="s">
        <v>104</v>
      </c>
      <c r="I2030" s="1" t="s">
        <v>398</v>
      </c>
      <c r="J2030" s="1">
        <v>70</v>
      </c>
      <c r="K2030" s="1">
        <v>69</v>
      </c>
      <c r="L2030" s="3">
        <v>1.43E-2</v>
      </c>
      <c r="N2030" t="s">
        <v>3763</v>
      </c>
      <c r="S2030" s="4" t="e">
        <f t="shared" si="126"/>
        <v>#NUM!</v>
      </c>
      <c r="T2030" s="4" t="str">
        <f t="shared" si="124"/>
        <v/>
      </c>
      <c r="U2030" s="4" t="s">
        <v>3763</v>
      </c>
    </row>
    <row r="2031" spans="1:21" x14ac:dyDescent="0.3">
      <c r="A2031" t="s">
        <v>2640</v>
      </c>
      <c r="B2031" s="1" t="s">
        <v>154</v>
      </c>
      <c r="C2031" s="1" t="s">
        <v>108</v>
      </c>
      <c r="D2031" s="1" t="s">
        <v>19</v>
      </c>
      <c r="E2031" s="2" t="s">
        <v>3450</v>
      </c>
      <c r="F2031" s="2" t="b">
        <f t="shared" si="127"/>
        <v>0</v>
      </c>
      <c r="G2031" s="2">
        <f t="shared" si="125"/>
        <v>42511</v>
      </c>
      <c r="H2031" s="1" t="s">
        <v>55</v>
      </c>
      <c r="I2031" s="1" t="s">
        <v>1185</v>
      </c>
      <c r="J2031" s="1">
        <v>800</v>
      </c>
      <c r="K2031" s="1">
        <v>696</v>
      </c>
      <c r="L2031" s="3">
        <v>0.13</v>
      </c>
      <c r="N2031" t="s">
        <v>3450</v>
      </c>
      <c r="P2031">
        <v>5</v>
      </c>
      <c r="Q2031">
        <v>21</v>
      </c>
      <c r="R2031">
        <v>2016</v>
      </c>
      <c r="S2031" s="4">
        <f t="shared" si="126"/>
        <v>42511</v>
      </c>
      <c r="T2031" s="4">
        <f t="shared" si="124"/>
        <v>42511</v>
      </c>
      <c r="U2031" s="4">
        <v>42511</v>
      </c>
    </row>
    <row r="2032" spans="1:21" x14ac:dyDescent="0.3">
      <c r="A2032" t="s">
        <v>2641</v>
      </c>
      <c r="B2032" s="1" t="s">
        <v>11</v>
      </c>
      <c r="C2032" s="1" t="s">
        <v>12</v>
      </c>
      <c r="D2032" s="1" t="s">
        <v>13</v>
      </c>
      <c r="E2032" s="2">
        <v>43194</v>
      </c>
      <c r="F2032" s="2" t="b">
        <f t="shared" si="127"/>
        <v>1</v>
      </c>
      <c r="G2032" s="2">
        <f t="shared" si="125"/>
        <v>43194</v>
      </c>
      <c r="H2032" s="1" t="s">
        <v>104</v>
      </c>
      <c r="I2032" s="1" t="s">
        <v>137</v>
      </c>
      <c r="J2032" s="1">
        <v>70</v>
      </c>
      <c r="K2032" s="1">
        <v>69</v>
      </c>
      <c r="L2032" s="3">
        <v>1.43E-2</v>
      </c>
      <c r="N2032" t="s">
        <v>3763</v>
      </c>
      <c r="S2032" s="4" t="e">
        <f t="shared" si="126"/>
        <v>#NUM!</v>
      </c>
      <c r="T2032" s="4" t="str">
        <f t="shared" si="124"/>
        <v/>
      </c>
      <c r="U2032" s="4" t="s">
        <v>3763</v>
      </c>
    </row>
    <row r="2033" spans="1:21" x14ac:dyDescent="0.3">
      <c r="A2033" t="s">
        <v>2642</v>
      </c>
      <c r="B2033" s="1" t="s">
        <v>33</v>
      </c>
      <c r="C2033" s="1" t="s">
        <v>34</v>
      </c>
      <c r="D2033" s="1" t="s">
        <v>35</v>
      </c>
      <c r="E2033" s="2" t="s">
        <v>3386</v>
      </c>
      <c r="F2033" s="2" t="b">
        <f t="shared" si="127"/>
        <v>0</v>
      </c>
      <c r="G2033" s="2">
        <f t="shared" si="125"/>
        <v>43069</v>
      </c>
      <c r="H2033" s="1" t="s">
        <v>55</v>
      </c>
      <c r="I2033" s="1" t="s">
        <v>1131</v>
      </c>
      <c r="J2033" s="1">
        <v>800</v>
      </c>
      <c r="K2033" s="1">
        <v>520</v>
      </c>
      <c r="L2033" s="3">
        <v>0.35</v>
      </c>
      <c r="N2033" t="s">
        <v>3386</v>
      </c>
      <c r="P2033">
        <v>11</v>
      </c>
      <c r="Q2033">
        <v>30</v>
      </c>
      <c r="R2033">
        <v>2017</v>
      </c>
      <c r="S2033" s="4">
        <f t="shared" si="126"/>
        <v>43069</v>
      </c>
      <c r="T2033" s="4">
        <f t="shared" si="124"/>
        <v>43069</v>
      </c>
      <c r="U2033" s="4">
        <v>43069</v>
      </c>
    </row>
    <row r="2034" spans="1:21" x14ac:dyDescent="0.3">
      <c r="A2034" t="s">
        <v>2643</v>
      </c>
      <c r="B2034" s="1" t="s">
        <v>81</v>
      </c>
      <c r="C2034" s="1" t="s">
        <v>82</v>
      </c>
      <c r="D2034" s="1" t="s">
        <v>13</v>
      </c>
      <c r="E2034" s="2" t="s">
        <v>3702</v>
      </c>
      <c r="F2034" s="2" t="b">
        <f t="shared" si="127"/>
        <v>0</v>
      </c>
      <c r="G2034" s="2">
        <f t="shared" si="125"/>
        <v>42542</v>
      </c>
      <c r="H2034" s="1" t="s">
        <v>122</v>
      </c>
      <c r="I2034" s="1" t="s">
        <v>1493</v>
      </c>
      <c r="J2034" s="1">
        <v>50</v>
      </c>
      <c r="K2034" s="1">
        <v>44</v>
      </c>
      <c r="L2034" s="3">
        <v>0.12</v>
      </c>
      <c r="N2034" t="s">
        <v>3702</v>
      </c>
      <c r="P2034">
        <v>6</v>
      </c>
      <c r="Q2034">
        <v>21</v>
      </c>
      <c r="R2034">
        <v>2016</v>
      </c>
      <c r="S2034" s="4">
        <f t="shared" si="126"/>
        <v>42542</v>
      </c>
      <c r="T2034" s="4">
        <f t="shared" si="124"/>
        <v>42542</v>
      </c>
      <c r="U2034" s="4">
        <v>42542</v>
      </c>
    </row>
    <row r="2035" spans="1:21" x14ac:dyDescent="0.3">
      <c r="A2035" t="s">
        <v>2644</v>
      </c>
      <c r="B2035" s="1" t="s">
        <v>118</v>
      </c>
      <c r="C2035" s="1" t="s">
        <v>119</v>
      </c>
      <c r="D2035" s="1" t="s">
        <v>35</v>
      </c>
      <c r="E2035" s="2">
        <v>42127</v>
      </c>
      <c r="F2035" s="2" t="b">
        <f t="shared" si="127"/>
        <v>1</v>
      </c>
      <c r="G2035" s="2">
        <f t="shared" si="125"/>
        <v>42127</v>
      </c>
      <c r="H2035" s="1" t="s">
        <v>14</v>
      </c>
      <c r="I2035" s="1" t="s">
        <v>120</v>
      </c>
      <c r="J2035" s="1">
        <v>80</v>
      </c>
      <c r="K2035" s="1">
        <v>77</v>
      </c>
      <c r="L2035" s="3">
        <v>3.7499999999999999E-2</v>
      </c>
      <c r="N2035" t="s">
        <v>3763</v>
      </c>
      <c r="S2035" s="4" t="e">
        <f t="shared" si="126"/>
        <v>#NUM!</v>
      </c>
      <c r="T2035" s="4" t="str">
        <f t="shared" si="124"/>
        <v/>
      </c>
      <c r="U2035" s="4" t="s">
        <v>3763</v>
      </c>
    </row>
    <row r="2036" spans="1:21" x14ac:dyDescent="0.3">
      <c r="A2036" t="s">
        <v>2645</v>
      </c>
      <c r="B2036" s="1" t="s">
        <v>91</v>
      </c>
      <c r="C2036" s="1" t="s">
        <v>92</v>
      </c>
      <c r="D2036" s="1" t="s">
        <v>35</v>
      </c>
      <c r="E2036" s="2">
        <v>42349</v>
      </c>
      <c r="F2036" s="2" t="b">
        <f t="shared" si="127"/>
        <v>1</v>
      </c>
      <c r="G2036" s="2">
        <f t="shared" si="125"/>
        <v>42349</v>
      </c>
      <c r="H2036" s="1" t="s">
        <v>25</v>
      </c>
      <c r="I2036" s="1" t="s">
        <v>199</v>
      </c>
      <c r="J2036" s="1">
        <v>700</v>
      </c>
      <c r="K2036" s="1">
        <v>455</v>
      </c>
      <c r="L2036" s="3">
        <v>0.35</v>
      </c>
      <c r="N2036" t="s">
        <v>3763</v>
      </c>
      <c r="S2036" s="4" t="e">
        <f t="shared" si="126"/>
        <v>#NUM!</v>
      </c>
      <c r="T2036" s="4" t="str">
        <f t="shared" si="124"/>
        <v/>
      </c>
      <c r="U2036" s="4" t="s">
        <v>3763</v>
      </c>
    </row>
    <row r="2037" spans="1:21" x14ac:dyDescent="0.3">
      <c r="A2037" t="s">
        <v>2646</v>
      </c>
      <c r="B2037" s="1" t="s">
        <v>44</v>
      </c>
      <c r="C2037" s="1" t="s">
        <v>45</v>
      </c>
      <c r="D2037" s="1" t="s">
        <v>24</v>
      </c>
      <c r="E2037" s="2" t="s">
        <v>3703</v>
      </c>
      <c r="F2037" s="2" t="b">
        <f t="shared" si="127"/>
        <v>0</v>
      </c>
      <c r="G2037" s="2">
        <f t="shared" si="125"/>
        <v>43270</v>
      </c>
      <c r="H2037" s="1" t="s">
        <v>46</v>
      </c>
      <c r="I2037" s="1" t="s">
        <v>1102</v>
      </c>
      <c r="J2037" s="1">
        <v>500</v>
      </c>
      <c r="K2037" s="1">
        <v>485</v>
      </c>
      <c r="L2037" s="3">
        <v>0.03</v>
      </c>
      <c r="N2037" t="s">
        <v>3703</v>
      </c>
      <c r="P2037">
        <v>6</v>
      </c>
      <c r="Q2037">
        <v>19</v>
      </c>
      <c r="R2037">
        <v>2018</v>
      </c>
      <c r="S2037" s="4">
        <f t="shared" si="126"/>
        <v>43270</v>
      </c>
      <c r="T2037" s="4">
        <f t="shared" si="124"/>
        <v>43270</v>
      </c>
      <c r="U2037" s="4">
        <v>43270</v>
      </c>
    </row>
    <row r="2038" spans="1:21" x14ac:dyDescent="0.3">
      <c r="A2038" t="s">
        <v>2647</v>
      </c>
      <c r="B2038" s="1" t="s">
        <v>39</v>
      </c>
      <c r="C2038" s="1" t="s">
        <v>40</v>
      </c>
      <c r="D2038" s="1" t="s">
        <v>35</v>
      </c>
      <c r="E2038" s="2" t="s">
        <v>3704</v>
      </c>
      <c r="F2038" s="2" t="b">
        <f t="shared" si="127"/>
        <v>0</v>
      </c>
      <c r="G2038" s="2">
        <f t="shared" si="125"/>
        <v>43309</v>
      </c>
      <c r="H2038" s="1" t="s">
        <v>72</v>
      </c>
      <c r="I2038" s="1" t="s">
        <v>1304</v>
      </c>
      <c r="J2038" s="1">
        <v>500</v>
      </c>
      <c r="K2038" s="1">
        <v>500</v>
      </c>
      <c r="L2038" s="3">
        <v>0</v>
      </c>
      <c r="N2038" t="s">
        <v>3704</v>
      </c>
      <c r="P2038">
        <v>7</v>
      </c>
      <c r="Q2038">
        <v>28</v>
      </c>
      <c r="R2038">
        <v>2018</v>
      </c>
      <c r="S2038" s="4">
        <f t="shared" si="126"/>
        <v>43309</v>
      </c>
      <c r="T2038" s="4">
        <f t="shared" si="124"/>
        <v>43309</v>
      </c>
      <c r="U2038" s="4">
        <v>43309</v>
      </c>
    </row>
    <row r="2039" spans="1:21" x14ac:dyDescent="0.3">
      <c r="A2039" t="s">
        <v>2648</v>
      </c>
      <c r="B2039" s="1" t="s">
        <v>154</v>
      </c>
      <c r="C2039" s="1" t="s">
        <v>108</v>
      </c>
      <c r="D2039" s="1" t="s">
        <v>19</v>
      </c>
      <c r="E2039" s="2" t="s">
        <v>3705</v>
      </c>
      <c r="F2039" s="2" t="b">
        <f t="shared" si="127"/>
        <v>0</v>
      </c>
      <c r="G2039" s="2">
        <f t="shared" si="125"/>
        <v>41842</v>
      </c>
      <c r="H2039" s="1" t="s">
        <v>30</v>
      </c>
      <c r="I2039" s="1" t="s">
        <v>155</v>
      </c>
      <c r="J2039" s="1">
        <v>150</v>
      </c>
      <c r="K2039" s="1">
        <v>119</v>
      </c>
      <c r="L2039" s="3">
        <v>0.20669999999999999</v>
      </c>
      <c r="N2039" t="s">
        <v>3705</v>
      </c>
      <c r="P2039">
        <v>7</v>
      </c>
      <c r="Q2039">
        <v>22</v>
      </c>
      <c r="R2039">
        <v>2014</v>
      </c>
      <c r="S2039" s="4">
        <f t="shared" si="126"/>
        <v>41842</v>
      </c>
      <c r="T2039" s="4">
        <f t="shared" si="124"/>
        <v>41842</v>
      </c>
      <c r="U2039" s="4">
        <v>41842</v>
      </c>
    </row>
    <row r="2040" spans="1:21" x14ac:dyDescent="0.3">
      <c r="A2040" t="s">
        <v>2649</v>
      </c>
      <c r="B2040" s="1" t="s">
        <v>44</v>
      </c>
      <c r="C2040" s="1" t="s">
        <v>45</v>
      </c>
      <c r="D2040" s="1" t="s">
        <v>24</v>
      </c>
      <c r="E2040" s="2" t="s">
        <v>3706</v>
      </c>
      <c r="F2040" s="2" t="b">
        <f t="shared" si="127"/>
        <v>0</v>
      </c>
      <c r="G2040" s="2">
        <f t="shared" si="125"/>
        <v>42360</v>
      </c>
      <c r="H2040" s="1" t="s">
        <v>104</v>
      </c>
      <c r="I2040" s="1" t="s">
        <v>1070</v>
      </c>
      <c r="J2040" s="1">
        <v>70</v>
      </c>
      <c r="K2040" s="1">
        <v>60</v>
      </c>
      <c r="L2040" s="3">
        <v>0.1429</v>
      </c>
      <c r="N2040" t="s">
        <v>3706</v>
      </c>
      <c r="P2040">
        <v>12</v>
      </c>
      <c r="Q2040">
        <v>22</v>
      </c>
      <c r="R2040">
        <v>2015</v>
      </c>
      <c r="S2040" s="4">
        <f t="shared" si="126"/>
        <v>42360</v>
      </c>
      <c r="T2040" s="4">
        <f t="shared" si="124"/>
        <v>42360</v>
      </c>
      <c r="U2040" s="4">
        <v>42360</v>
      </c>
    </row>
    <row r="2041" spans="1:21" x14ac:dyDescent="0.3">
      <c r="A2041" t="s">
        <v>2650</v>
      </c>
      <c r="B2041" s="1" t="s">
        <v>33</v>
      </c>
      <c r="C2041" s="1" t="s">
        <v>34</v>
      </c>
      <c r="D2041" s="1" t="s">
        <v>35</v>
      </c>
      <c r="E2041" s="2" t="s">
        <v>3707</v>
      </c>
      <c r="F2041" s="2" t="b">
        <f t="shared" si="127"/>
        <v>0</v>
      </c>
      <c r="G2041" s="2">
        <f t="shared" si="125"/>
        <v>43392</v>
      </c>
      <c r="H2041" s="1" t="s">
        <v>122</v>
      </c>
      <c r="I2041" s="1" t="s">
        <v>75</v>
      </c>
      <c r="J2041" s="1">
        <v>50</v>
      </c>
      <c r="K2041" s="1">
        <v>45</v>
      </c>
      <c r="L2041" s="3">
        <v>0.1</v>
      </c>
      <c r="N2041" t="s">
        <v>3707</v>
      </c>
      <c r="P2041">
        <v>10</v>
      </c>
      <c r="Q2041">
        <v>19</v>
      </c>
      <c r="R2041">
        <v>2018</v>
      </c>
      <c r="S2041" s="4">
        <f t="shared" si="126"/>
        <v>43392</v>
      </c>
      <c r="T2041" s="4">
        <f t="shared" si="124"/>
        <v>43392</v>
      </c>
      <c r="U2041" s="4">
        <v>43392</v>
      </c>
    </row>
    <row r="2042" spans="1:21" x14ac:dyDescent="0.3">
      <c r="A2042" t="s">
        <v>2651</v>
      </c>
      <c r="B2042" s="1" t="s">
        <v>11</v>
      </c>
      <c r="C2042" s="1" t="s">
        <v>12</v>
      </c>
      <c r="D2042" s="1" t="s">
        <v>13</v>
      </c>
      <c r="E2042" s="2" t="s">
        <v>2984</v>
      </c>
      <c r="F2042" s="2" t="b">
        <f t="shared" si="127"/>
        <v>0</v>
      </c>
      <c r="G2042" s="2">
        <f t="shared" si="125"/>
        <v>42936</v>
      </c>
      <c r="H2042" s="1" t="s">
        <v>55</v>
      </c>
      <c r="I2042" s="1" t="s">
        <v>293</v>
      </c>
      <c r="J2042" s="1">
        <v>800</v>
      </c>
      <c r="K2042" s="1">
        <v>744</v>
      </c>
      <c r="L2042" s="3">
        <v>7.0000000000000007E-2</v>
      </c>
      <c r="N2042" t="s">
        <v>2984</v>
      </c>
      <c r="P2042">
        <v>7</v>
      </c>
      <c r="Q2042">
        <v>20</v>
      </c>
      <c r="R2042">
        <v>2017</v>
      </c>
      <c r="S2042" s="4">
        <f t="shared" si="126"/>
        <v>42936</v>
      </c>
      <c r="T2042" s="4">
        <f t="shared" si="124"/>
        <v>42936</v>
      </c>
      <c r="U2042" s="4">
        <v>42936</v>
      </c>
    </row>
    <row r="2043" spans="1:21" x14ac:dyDescent="0.3">
      <c r="A2043" t="s">
        <v>2652</v>
      </c>
      <c r="B2043" s="1" t="s">
        <v>2243</v>
      </c>
      <c r="C2043" s="1" t="s">
        <v>108</v>
      </c>
      <c r="D2043" s="1" t="s">
        <v>19</v>
      </c>
      <c r="E2043" s="2" t="s">
        <v>3189</v>
      </c>
      <c r="F2043" s="2" t="b">
        <f t="shared" si="127"/>
        <v>0</v>
      </c>
      <c r="G2043" s="2">
        <f t="shared" si="125"/>
        <v>42944</v>
      </c>
      <c r="H2043" s="1" t="s">
        <v>46</v>
      </c>
      <c r="I2043" s="1" t="s">
        <v>2310</v>
      </c>
      <c r="J2043" s="1">
        <v>500</v>
      </c>
      <c r="K2043" s="1">
        <v>470</v>
      </c>
      <c r="L2043" s="3">
        <v>0.06</v>
      </c>
      <c r="N2043" t="s">
        <v>3189</v>
      </c>
      <c r="P2043">
        <v>7</v>
      </c>
      <c r="Q2043">
        <v>28</v>
      </c>
      <c r="R2043">
        <v>2017</v>
      </c>
      <c r="S2043" s="4">
        <f t="shared" si="126"/>
        <v>42944</v>
      </c>
      <c r="T2043" s="4">
        <f t="shared" si="124"/>
        <v>42944</v>
      </c>
      <c r="U2043" s="4">
        <v>42944</v>
      </c>
    </row>
    <row r="2044" spans="1:21" x14ac:dyDescent="0.3">
      <c r="A2044" t="s">
        <v>2653</v>
      </c>
      <c r="B2044" s="1" t="s">
        <v>49</v>
      </c>
      <c r="C2044" s="1" t="s">
        <v>50</v>
      </c>
      <c r="D2044" s="1" t="s">
        <v>24</v>
      </c>
      <c r="E2044" s="2">
        <v>43224</v>
      </c>
      <c r="F2044" s="2" t="b">
        <f t="shared" si="127"/>
        <v>1</v>
      </c>
      <c r="G2044" s="2">
        <f t="shared" si="125"/>
        <v>43224</v>
      </c>
      <c r="H2044" s="1" t="s">
        <v>104</v>
      </c>
      <c r="I2044" s="1" t="s">
        <v>68</v>
      </c>
      <c r="J2044" s="1">
        <v>70</v>
      </c>
      <c r="K2044" s="1">
        <v>61</v>
      </c>
      <c r="L2044" s="3">
        <v>0.12859999999999999</v>
      </c>
      <c r="N2044" t="s">
        <v>3763</v>
      </c>
      <c r="S2044" s="4" t="e">
        <f t="shared" si="126"/>
        <v>#NUM!</v>
      </c>
      <c r="T2044" s="4" t="str">
        <f t="shared" si="124"/>
        <v/>
      </c>
      <c r="U2044" s="4" t="s">
        <v>3763</v>
      </c>
    </row>
    <row r="2045" spans="1:21" x14ac:dyDescent="0.3">
      <c r="A2045" t="s">
        <v>2654</v>
      </c>
      <c r="B2045" s="1" t="s">
        <v>91</v>
      </c>
      <c r="C2045" s="1" t="s">
        <v>92</v>
      </c>
      <c r="D2045" s="1" t="s">
        <v>35</v>
      </c>
      <c r="E2045" s="2" t="s">
        <v>3708</v>
      </c>
      <c r="F2045" s="2" t="b">
        <f t="shared" si="127"/>
        <v>0</v>
      </c>
      <c r="G2045" s="2">
        <f t="shared" si="125"/>
        <v>42151</v>
      </c>
      <c r="H2045" s="1" t="s">
        <v>25</v>
      </c>
      <c r="I2045" s="1" t="s">
        <v>507</v>
      </c>
      <c r="J2045" s="1">
        <v>700</v>
      </c>
      <c r="K2045" s="1">
        <v>546</v>
      </c>
      <c r="L2045" s="3">
        <v>0.22</v>
      </c>
      <c r="N2045" t="s">
        <v>3708</v>
      </c>
      <c r="P2045">
        <v>5</v>
      </c>
      <c r="Q2045">
        <v>27</v>
      </c>
      <c r="R2045">
        <v>2015</v>
      </c>
      <c r="S2045" s="4">
        <f t="shared" si="126"/>
        <v>42151</v>
      </c>
      <c r="T2045" s="4">
        <f t="shared" si="124"/>
        <v>42151</v>
      </c>
      <c r="U2045" s="4">
        <v>42151</v>
      </c>
    </row>
    <row r="2046" spans="1:21" x14ac:dyDescent="0.3">
      <c r="A2046" t="s">
        <v>2655</v>
      </c>
      <c r="B2046" s="1" t="s">
        <v>33</v>
      </c>
      <c r="C2046" s="1" t="s">
        <v>34</v>
      </c>
      <c r="D2046" s="1" t="s">
        <v>35</v>
      </c>
      <c r="E2046" s="2" t="s">
        <v>3285</v>
      </c>
      <c r="F2046" s="2" t="b">
        <f t="shared" si="127"/>
        <v>0</v>
      </c>
      <c r="G2046" s="2">
        <f t="shared" si="125"/>
        <v>41755</v>
      </c>
      <c r="H2046" s="1" t="s">
        <v>72</v>
      </c>
      <c r="I2046" s="1" t="s">
        <v>37</v>
      </c>
      <c r="J2046" s="1">
        <v>500</v>
      </c>
      <c r="K2046" s="1">
        <v>495</v>
      </c>
      <c r="L2046" s="3">
        <v>0.01</v>
      </c>
      <c r="N2046" t="s">
        <v>3285</v>
      </c>
      <c r="P2046">
        <v>4</v>
      </c>
      <c r="Q2046">
        <v>26</v>
      </c>
      <c r="R2046">
        <v>2014</v>
      </c>
      <c r="S2046" s="4">
        <f t="shared" si="126"/>
        <v>41755</v>
      </c>
      <c r="T2046" s="4">
        <f t="shared" si="124"/>
        <v>41755</v>
      </c>
      <c r="U2046" s="4">
        <v>41755</v>
      </c>
    </row>
    <row r="2047" spans="1:21" x14ac:dyDescent="0.3">
      <c r="A2047" t="s">
        <v>2656</v>
      </c>
      <c r="B2047" s="1" t="s">
        <v>224</v>
      </c>
      <c r="C2047" s="1" t="s">
        <v>50</v>
      </c>
      <c r="D2047" s="1" t="s">
        <v>24</v>
      </c>
      <c r="E2047" s="2" t="s">
        <v>3554</v>
      </c>
      <c r="F2047" s="2" t="b">
        <f t="shared" si="127"/>
        <v>0</v>
      </c>
      <c r="G2047" s="2">
        <f t="shared" si="125"/>
        <v>42417</v>
      </c>
      <c r="H2047" s="1" t="s">
        <v>55</v>
      </c>
      <c r="I2047" s="1" t="s">
        <v>225</v>
      </c>
      <c r="J2047" s="1">
        <v>800</v>
      </c>
      <c r="K2047" s="1">
        <v>592</v>
      </c>
      <c r="L2047" s="3">
        <v>0.26</v>
      </c>
      <c r="N2047" t="s">
        <v>3554</v>
      </c>
      <c r="P2047">
        <v>2</v>
      </c>
      <c r="Q2047">
        <v>17</v>
      </c>
      <c r="R2047">
        <v>2016</v>
      </c>
      <c r="S2047" s="4">
        <f t="shared" si="126"/>
        <v>42417</v>
      </c>
      <c r="T2047" s="4">
        <f t="shared" si="124"/>
        <v>42417</v>
      </c>
      <c r="U2047" s="4">
        <v>42417</v>
      </c>
    </row>
    <row r="2048" spans="1:21" x14ac:dyDescent="0.3">
      <c r="A2048" t="s">
        <v>2657</v>
      </c>
      <c r="B2048" s="1" t="s">
        <v>187</v>
      </c>
      <c r="C2048" s="1" t="s">
        <v>188</v>
      </c>
      <c r="D2048" s="1" t="s">
        <v>13</v>
      </c>
      <c r="E2048" s="2">
        <v>42314</v>
      </c>
      <c r="F2048" s="2" t="b">
        <f t="shared" si="127"/>
        <v>1</v>
      </c>
      <c r="G2048" s="2">
        <f t="shared" si="125"/>
        <v>42314</v>
      </c>
      <c r="H2048" s="1" t="s">
        <v>14</v>
      </c>
      <c r="I2048" s="1" t="s">
        <v>1150</v>
      </c>
      <c r="J2048" s="1">
        <v>80</v>
      </c>
      <c r="K2048" s="1">
        <v>64</v>
      </c>
      <c r="L2048" s="3">
        <v>0.2</v>
      </c>
      <c r="N2048" t="s">
        <v>3763</v>
      </c>
      <c r="S2048" s="4" t="e">
        <f t="shared" si="126"/>
        <v>#NUM!</v>
      </c>
      <c r="T2048" s="4" t="str">
        <f t="shared" si="124"/>
        <v/>
      </c>
      <c r="U2048" s="4" t="s">
        <v>3763</v>
      </c>
    </row>
    <row r="2049" spans="1:21" x14ac:dyDescent="0.3">
      <c r="A2049" t="s">
        <v>2658</v>
      </c>
      <c r="B2049" s="1" t="s">
        <v>221</v>
      </c>
      <c r="C2049" s="1" t="s">
        <v>40</v>
      </c>
      <c r="D2049" s="1" t="s">
        <v>35</v>
      </c>
      <c r="E2049" s="2" t="s">
        <v>3709</v>
      </c>
      <c r="F2049" s="2" t="b">
        <f t="shared" si="127"/>
        <v>0</v>
      </c>
      <c r="G2049" s="2">
        <f t="shared" si="125"/>
        <v>41965</v>
      </c>
      <c r="H2049" s="1" t="s">
        <v>25</v>
      </c>
      <c r="I2049" s="1" t="s">
        <v>1920</v>
      </c>
      <c r="J2049" s="1">
        <v>700</v>
      </c>
      <c r="K2049" s="1">
        <v>693</v>
      </c>
      <c r="L2049" s="3">
        <v>0.01</v>
      </c>
      <c r="N2049" t="s">
        <v>3709</v>
      </c>
      <c r="P2049">
        <v>11</v>
      </c>
      <c r="Q2049">
        <v>22</v>
      </c>
      <c r="R2049">
        <v>2014</v>
      </c>
      <c r="S2049" s="4">
        <f t="shared" si="126"/>
        <v>41965</v>
      </c>
      <c r="T2049" s="4">
        <f t="shared" si="124"/>
        <v>41965</v>
      </c>
      <c r="U2049" s="4">
        <v>41965</v>
      </c>
    </row>
    <row r="2050" spans="1:21" x14ac:dyDescent="0.3">
      <c r="A2050" t="s">
        <v>2659</v>
      </c>
      <c r="B2050" s="1" t="s">
        <v>150</v>
      </c>
      <c r="C2050" s="1" t="s">
        <v>151</v>
      </c>
      <c r="D2050" s="1" t="s">
        <v>13</v>
      </c>
      <c r="E2050" s="2">
        <v>42047</v>
      </c>
      <c r="F2050" s="2" t="b">
        <f t="shared" si="127"/>
        <v>1</v>
      </c>
      <c r="G2050" s="2">
        <f t="shared" si="125"/>
        <v>42047</v>
      </c>
      <c r="H2050" s="1" t="s">
        <v>122</v>
      </c>
      <c r="I2050" s="1" t="s">
        <v>409</v>
      </c>
      <c r="J2050" s="1">
        <v>50</v>
      </c>
      <c r="K2050" s="1">
        <v>38</v>
      </c>
      <c r="L2050" s="3">
        <v>0.24</v>
      </c>
      <c r="N2050" t="s">
        <v>3763</v>
      </c>
      <c r="S2050" s="4" t="e">
        <f t="shared" si="126"/>
        <v>#NUM!</v>
      </c>
      <c r="T2050" s="4" t="str">
        <f t="shared" si="124"/>
        <v/>
      </c>
      <c r="U2050" s="4" t="s">
        <v>3763</v>
      </c>
    </row>
    <row r="2051" spans="1:21" x14ac:dyDescent="0.3">
      <c r="A2051" t="s">
        <v>2660</v>
      </c>
      <c r="B2051" s="1" t="s">
        <v>224</v>
      </c>
      <c r="C2051" s="1" t="s">
        <v>50</v>
      </c>
      <c r="D2051" s="1" t="s">
        <v>24</v>
      </c>
      <c r="E2051" s="2">
        <v>42040</v>
      </c>
      <c r="F2051" s="2" t="b">
        <f t="shared" si="127"/>
        <v>1</v>
      </c>
      <c r="G2051" s="2">
        <f t="shared" si="125"/>
        <v>42040</v>
      </c>
      <c r="H2051" s="1" t="s">
        <v>30</v>
      </c>
      <c r="I2051" s="1" t="s">
        <v>2661</v>
      </c>
      <c r="J2051" s="1">
        <v>150</v>
      </c>
      <c r="K2051" s="1">
        <v>140</v>
      </c>
      <c r="L2051" s="3">
        <v>6.6699999999999995E-2</v>
      </c>
      <c r="N2051" t="s">
        <v>3763</v>
      </c>
      <c r="S2051" s="4" t="e">
        <f t="shared" si="126"/>
        <v>#NUM!</v>
      </c>
      <c r="T2051" s="4" t="str">
        <f t="shared" ref="T2051:T2114" si="128">IF(AND(P2051&lt;&gt;"",Q2051&lt;&gt;"",R2051&lt;&gt;""),IFERROR(DATE(R2051,P2051,Q2051),""),"")</f>
        <v/>
      </c>
      <c r="U2051" s="4" t="s">
        <v>3763</v>
      </c>
    </row>
    <row r="2052" spans="1:21" x14ac:dyDescent="0.3">
      <c r="A2052" t="s">
        <v>2662</v>
      </c>
      <c r="B2052" s="1" t="s">
        <v>111</v>
      </c>
      <c r="C2052" s="1" t="s">
        <v>82</v>
      </c>
      <c r="D2052" s="1" t="s">
        <v>13</v>
      </c>
      <c r="E2052" s="2" t="s">
        <v>3710</v>
      </c>
      <c r="F2052" s="2" t="b">
        <f t="shared" si="127"/>
        <v>0</v>
      </c>
      <c r="G2052" s="2">
        <f t="shared" ref="G2052:G2115" si="129">IF(F2052=TRUE,E2052,U2052)</f>
        <v>41811</v>
      </c>
      <c r="H2052" s="1" t="s">
        <v>41</v>
      </c>
      <c r="I2052" s="1" t="s">
        <v>372</v>
      </c>
      <c r="J2052" s="1">
        <v>30</v>
      </c>
      <c r="K2052" s="1">
        <v>24</v>
      </c>
      <c r="L2052" s="3">
        <v>0.2</v>
      </c>
      <c r="N2052" t="s">
        <v>3710</v>
      </c>
      <c r="P2052">
        <v>6</v>
      </c>
      <c r="Q2052">
        <v>21</v>
      </c>
      <c r="R2052">
        <v>2014</v>
      </c>
      <c r="S2052" s="4">
        <f t="shared" ref="S2052:S2115" si="130">DATE(R2052,P2052,Q2052)</f>
        <v>41811</v>
      </c>
      <c r="T2052" s="4">
        <f t="shared" si="128"/>
        <v>41811</v>
      </c>
      <c r="U2052" s="4">
        <v>41811</v>
      </c>
    </row>
    <row r="2053" spans="1:21" x14ac:dyDescent="0.3">
      <c r="A2053" t="s">
        <v>2663</v>
      </c>
      <c r="B2053" s="1" t="s">
        <v>22</v>
      </c>
      <c r="C2053" s="1" t="s">
        <v>23</v>
      </c>
      <c r="D2053" s="1" t="s">
        <v>24</v>
      </c>
      <c r="E2053" s="2" t="s">
        <v>3711</v>
      </c>
      <c r="F2053" s="2" t="b">
        <f t="shared" ref="F2053:F2116" si="131">ISNUMBER(E2053)</f>
        <v>0</v>
      </c>
      <c r="G2053" s="2">
        <f t="shared" si="129"/>
        <v>43034</v>
      </c>
      <c r="H2053" s="1" t="s">
        <v>14</v>
      </c>
      <c r="I2053" s="1" t="s">
        <v>624</v>
      </c>
      <c r="J2053" s="1">
        <v>80</v>
      </c>
      <c r="K2053" s="1">
        <v>74</v>
      </c>
      <c r="L2053" s="3">
        <v>7.4999999999999997E-2</v>
      </c>
      <c r="N2053" t="s">
        <v>3711</v>
      </c>
      <c r="P2053">
        <v>10</v>
      </c>
      <c r="Q2053">
        <v>26</v>
      </c>
      <c r="R2053">
        <v>2017</v>
      </c>
      <c r="S2053" s="4">
        <f t="shared" si="130"/>
        <v>43034</v>
      </c>
      <c r="T2053" s="4">
        <f t="shared" si="128"/>
        <v>43034</v>
      </c>
      <c r="U2053" s="4">
        <v>43034</v>
      </c>
    </row>
    <row r="2054" spans="1:21" x14ac:dyDescent="0.3">
      <c r="A2054" t="s">
        <v>2664</v>
      </c>
      <c r="B2054" s="1" t="s">
        <v>400</v>
      </c>
      <c r="C2054" s="1" t="s">
        <v>401</v>
      </c>
      <c r="D2054" s="1" t="s">
        <v>13</v>
      </c>
      <c r="E2054" s="2" t="s">
        <v>3712</v>
      </c>
      <c r="F2054" s="2" t="b">
        <f t="shared" si="131"/>
        <v>0</v>
      </c>
      <c r="G2054" s="2">
        <f t="shared" si="129"/>
        <v>42421</v>
      </c>
      <c r="H2054" s="1" t="s">
        <v>104</v>
      </c>
      <c r="I2054" s="1" t="s">
        <v>1281</v>
      </c>
      <c r="J2054" s="1">
        <v>70</v>
      </c>
      <c r="K2054" s="1">
        <v>62</v>
      </c>
      <c r="L2054" s="3">
        <v>0.1143</v>
      </c>
      <c r="N2054" t="s">
        <v>3712</v>
      </c>
      <c r="P2054">
        <v>2</v>
      </c>
      <c r="Q2054">
        <v>21</v>
      </c>
      <c r="R2054">
        <v>2016</v>
      </c>
      <c r="S2054" s="4">
        <f t="shared" si="130"/>
        <v>42421</v>
      </c>
      <c r="T2054" s="4">
        <f t="shared" si="128"/>
        <v>42421</v>
      </c>
      <c r="U2054" s="4">
        <v>42421</v>
      </c>
    </row>
    <row r="2055" spans="1:21" x14ac:dyDescent="0.3">
      <c r="A2055" t="s">
        <v>2665</v>
      </c>
      <c r="B2055" s="1" t="s">
        <v>70</v>
      </c>
      <c r="C2055" s="1" t="s">
        <v>71</v>
      </c>
      <c r="D2055" s="1" t="s">
        <v>35</v>
      </c>
      <c r="E2055" s="2" t="s">
        <v>3627</v>
      </c>
      <c r="F2055" s="2" t="b">
        <f t="shared" si="131"/>
        <v>0</v>
      </c>
      <c r="G2055" s="2">
        <f t="shared" si="129"/>
        <v>41880</v>
      </c>
      <c r="H2055" s="1" t="s">
        <v>14</v>
      </c>
      <c r="I2055" s="1" t="s">
        <v>142</v>
      </c>
      <c r="J2055" s="1">
        <v>80</v>
      </c>
      <c r="K2055" s="1">
        <v>76</v>
      </c>
      <c r="L2055" s="3">
        <v>0.05</v>
      </c>
      <c r="N2055" t="s">
        <v>3627</v>
      </c>
      <c r="P2055">
        <v>8</v>
      </c>
      <c r="Q2055">
        <v>29</v>
      </c>
      <c r="R2055">
        <v>2014</v>
      </c>
      <c r="S2055" s="4">
        <f t="shared" si="130"/>
        <v>41880</v>
      </c>
      <c r="T2055" s="4">
        <f t="shared" si="128"/>
        <v>41880</v>
      </c>
      <c r="U2055" s="4">
        <v>41880</v>
      </c>
    </row>
    <row r="2056" spans="1:21" x14ac:dyDescent="0.3">
      <c r="A2056" t="s">
        <v>2666</v>
      </c>
      <c r="B2056" s="1" t="s">
        <v>154</v>
      </c>
      <c r="C2056" s="1" t="s">
        <v>108</v>
      </c>
      <c r="D2056" s="1" t="s">
        <v>19</v>
      </c>
      <c r="E2056" s="2" t="s">
        <v>3518</v>
      </c>
      <c r="F2056" s="2" t="b">
        <f t="shared" si="131"/>
        <v>0</v>
      </c>
      <c r="G2056" s="2">
        <f t="shared" si="129"/>
        <v>43424</v>
      </c>
      <c r="H2056" s="1" t="s">
        <v>36</v>
      </c>
      <c r="I2056" s="1" t="s">
        <v>2667</v>
      </c>
      <c r="J2056" s="1">
        <v>50</v>
      </c>
      <c r="K2056" s="1">
        <v>45</v>
      </c>
      <c r="L2056" s="3">
        <v>0.1</v>
      </c>
      <c r="N2056" t="s">
        <v>3518</v>
      </c>
      <c r="P2056">
        <v>11</v>
      </c>
      <c r="Q2056">
        <v>20</v>
      </c>
      <c r="R2056">
        <v>2018</v>
      </c>
      <c r="S2056" s="4">
        <f t="shared" si="130"/>
        <v>43424</v>
      </c>
      <c r="T2056" s="4">
        <f t="shared" si="128"/>
        <v>43424</v>
      </c>
      <c r="U2056" s="4">
        <v>43424</v>
      </c>
    </row>
    <row r="2057" spans="1:21" x14ac:dyDescent="0.3">
      <c r="A2057" t="s">
        <v>2668</v>
      </c>
      <c r="B2057" s="1" t="s">
        <v>2191</v>
      </c>
      <c r="C2057" s="1" t="s">
        <v>108</v>
      </c>
      <c r="D2057" s="1" t="s">
        <v>19</v>
      </c>
      <c r="E2057" s="2" t="s">
        <v>3162</v>
      </c>
      <c r="F2057" s="2" t="b">
        <f t="shared" si="131"/>
        <v>0</v>
      </c>
      <c r="G2057" s="2">
        <f t="shared" si="129"/>
        <v>43233</v>
      </c>
      <c r="H2057" s="1" t="s">
        <v>61</v>
      </c>
      <c r="I2057" s="1" t="s">
        <v>2201</v>
      </c>
      <c r="J2057" s="1">
        <v>1000</v>
      </c>
      <c r="K2057" s="1">
        <v>670</v>
      </c>
      <c r="L2057" s="3">
        <v>0.33</v>
      </c>
      <c r="N2057" t="s">
        <v>3162</v>
      </c>
      <c r="P2057">
        <v>5</v>
      </c>
      <c r="Q2057">
        <v>13</v>
      </c>
      <c r="R2057">
        <v>2018</v>
      </c>
      <c r="S2057" s="4">
        <f t="shared" si="130"/>
        <v>43233</v>
      </c>
      <c r="T2057" s="4">
        <f t="shared" si="128"/>
        <v>43233</v>
      </c>
      <c r="U2057" s="4">
        <v>43233</v>
      </c>
    </row>
    <row r="2058" spans="1:21" x14ac:dyDescent="0.3">
      <c r="A2058" t="s">
        <v>2669</v>
      </c>
      <c r="B2058" s="1" t="s">
        <v>174</v>
      </c>
      <c r="C2058" s="1" t="s">
        <v>175</v>
      </c>
      <c r="D2058" s="1" t="s">
        <v>13</v>
      </c>
      <c r="E2058" s="2">
        <v>43290</v>
      </c>
      <c r="F2058" s="2" t="b">
        <f t="shared" si="131"/>
        <v>1</v>
      </c>
      <c r="G2058" s="2">
        <f t="shared" si="129"/>
        <v>43290</v>
      </c>
      <c r="H2058" s="1" t="s">
        <v>104</v>
      </c>
      <c r="I2058" s="1" t="s">
        <v>1277</v>
      </c>
      <c r="J2058" s="1">
        <v>70</v>
      </c>
      <c r="K2058" s="1">
        <v>67</v>
      </c>
      <c r="L2058" s="3">
        <v>4.2900000000000001E-2</v>
      </c>
      <c r="N2058" t="s">
        <v>3763</v>
      </c>
      <c r="S2058" s="4" t="e">
        <f t="shared" si="130"/>
        <v>#NUM!</v>
      </c>
      <c r="T2058" s="4" t="str">
        <f t="shared" si="128"/>
        <v/>
      </c>
      <c r="U2058" s="4" t="s">
        <v>3763</v>
      </c>
    </row>
    <row r="2059" spans="1:21" x14ac:dyDescent="0.3">
      <c r="A2059" t="s">
        <v>2670</v>
      </c>
      <c r="B2059" s="1" t="s">
        <v>2191</v>
      </c>
      <c r="C2059" s="1" t="s">
        <v>108</v>
      </c>
      <c r="D2059" s="1" t="s">
        <v>19</v>
      </c>
      <c r="E2059" s="2" t="s">
        <v>3713</v>
      </c>
      <c r="F2059" s="2" t="b">
        <f t="shared" si="131"/>
        <v>0</v>
      </c>
      <c r="G2059" s="2">
        <f t="shared" si="129"/>
        <v>42997</v>
      </c>
      <c r="H2059" s="1" t="s">
        <v>36</v>
      </c>
      <c r="I2059" s="1" t="s">
        <v>2192</v>
      </c>
      <c r="J2059" s="1">
        <v>50</v>
      </c>
      <c r="K2059" s="1">
        <v>46</v>
      </c>
      <c r="L2059" s="3">
        <v>0.08</v>
      </c>
      <c r="N2059" t="s">
        <v>3713</v>
      </c>
      <c r="P2059">
        <v>9</v>
      </c>
      <c r="Q2059">
        <v>19</v>
      </c>
      <c r="R2059">
        <v>2017</v>
      </c>
      <c r="S2059" s="4">
        <f t="shared" si="130"/>
        <v>42997</v>
      </c>
      <c r="T2059" s="4">
        <f t="shared" si="128"/>
        <v>42997</v>
      </c>
      <c r="U2059" s="4">
        <v>42997</v>
      </c>
    </row>
    <row r="2060" spans="1:21" x14ac:dyDescent="0.3">
      <c r="A2060" t="s">
        <v>2671</v>
      </c>
      <c r="B2060" s="1" t="s">
        <v>91</v>
      </c>
      <c r="C2060" s="1" t="s">
        <v>92</v>
      </c>
      <c r="D2060" s="1" t="s">
        <v>35</v>
      </c>
      <c r="E2060" s="2" t="s">
        <v>2998</v>
      </c>
      <c r="F2060" s="2" t="b">
        <f t="shared" si="131"/>
        <v>0</v>
      </c>
      <c r="G2060" s="2">
        <f t="shared" si="129"/>
        <v>43342</v>
      </c>
      <c r="H2060" s="1" t="s">
        <v>55</v>
      </c>
      <c r="I2060" s="1" t="s">
        <v>900</v>
      </c>
      <c r="J2060" s="1">
        <v>800</v>
      </c>
      <c r="K2060" s="1">
        <v>752</v>
      </c>
      <c r="L2060" s="3">
        <v>0.06</v>
      </c>
      <c r="N2060" t="s">
        <v>2998</v>
      </c>
      <c r="P2060">
        <v>8</v>
      </c>
      <c r="Q2060">
        <v>30</v>
      </c>
      <c r="R2060">
        <v>2018</v>
      </c>
      <c r="S2060" s="4">
        <f t="shared" si="130"/>
        <v>43342</v>
      </c>
      <c r="T2060" s="4">
        <f t="shared" si="128"/>
        <v>43342</v>
      </c>
      <c r="U2060" s="4">
        <v>43342</v>
      </c>
    </row>
    <row r="2061" spans="1:21" x14ac:dyDescent="0.3">
      <c r="A2061" t="s">
        <v>2672</v>
      </c>
      <c r="B2061" s="1" t="s">
        <v>434</v>
      </c>
      <c r="C2061" s="1" t="s">
        <v>435</v>
      </c>
      <c r="D2061" s="1" t="s">
        <v>24</v>
      </c>
      <c r="E2061" s="2" t="s">
        <v>3550</v>
      </c>
      <c r="F2061" s="2" t="b">
        <f t="shared" si="131"/>
        <v>0</v>
      </c>
      <c r="G2061" s="2">
        <f t="shared" si="129"/>
        <v>43209</v>
      </c>
      <c r="H2061" s="1" t="s">
        <v>72</v>
      </c>
      <c r="I2061" s="1" t="s">
        <v>828</v>
      </c>
      <c r="J2061" s="1">
        <v>500</v>
      </c>
      <c r="K2061" s="1">
        <v>490</v>
      </c>
      <c r="L2061" s="3">
        <v>0.02</v>
      </c>
      <c r="N2061" t="s">
        <v>3550</v>
      </c>
      <c r="P2061">
        <v>4</v>
      </c>
      <c r="Q2061">
        <v>19</v>
      </c>
      <c r="R2061">
        <v>2018</v>
      </c>
      <c r="S2061" s="4">
        <f t="shared" si="130"/>
        <v>43209</v>
      </c>
      <c r="T2061" s="4">
        <f t="shared" si="128"/>
        <v>43209</v>
      </c>
      <c r="U2061" s="4">
        <v>43209</v>
      </c>
    </row>
    <row r="2062" spans="1:21" x14ac:dyDescent="0.3">
      <c r="A2062" t="s">
        <v>2673</v>
      </c>
      <c r="B2062" s="1" t="s">
        <v>28</v>
      </c>
      <c r="C2062" s="1" t="s">
        <v>29</v>
      </c>
      <c r="D2062" s="1" t="s">
        <v>13</v>
      </c>
      <c r="E2062" s="2" t="s">
        <v>2985</v>
      </c>
      <c r="F2062" s="2" t="b">
        <f t="shared" si="131"/>
        <v>0</v>
      </c>
      <c r="G2062" s="2">
        <f t="shared" si="129"/>
        <v>42673</v>
      </c>
      <c r="H2062" s="1" t="s">
        <v>30</v>
      </c>
      <c r="I2062" s="1" t="s">
        <v>249</v>
      </c>
      <c r="J2062" s="1">
        <v>150</v>
      </c>
      <c r="K2062" s="1">
        <v>147</v>
      </c>
      <c r="L2062" s="3">
        <v>0.02</v>
      </c>
      <c r="N2062" t="s">
        <v>2985</v>
      </c>
      <c r="P2062">
        <v>10</v>
      </c>
      <c r="Q2062">
        <v>30</v>
      </c>
      <c r="R2062">
        <v>2016</v>
      </c>
      <c r="S2062" s="4">
        <f t="shared" si="130"/>
        <v>42673</v>
      </c>
      <c r="T2062" s="4">
        <f t="shared" si="128"/>
        <v>42673</v>
      </c>
      <c r="U2062" s="4">
        <v>42673</v>
      </c>
    </row>
    <row r="2063" spans="1:21" x14ac:dyDescent="0.3">
      <c r="A2063" t="s">
        <v>2674</v>
      </c>
      <c r="B2063" s="1" t="s">
        <v>95</v>
      </c>
      <c r="C2063" s="1" t="s">
        <v>96</v>
      </c>
      <c r="D2063" s="1" t="s">
        <v>13</v>
      </c>
      <c r="E2063" s="2" t="s">
        <v>3299</v>
      </c>
      <c r="F2063" s="2" t="b">
        <f t="shared" si="131"/>
        <v>0</v>
      </c>
      <c r="G2063" s="2">
        <f t="shared" si="129"/>
        <v>42301</v>
      </c>
      <c r="H2063" s="1" t="s">
        <v>72</v>
      </c>
      <c r="I2063" s="1" t="s">
        <v>731</v>
      </c>
      <c r="J2063" s="1">
        <v>500</v>
      </c>
      <c r="K2063" s="1">
        <v>495</v>
      </c>
      <c r="L2063" s="3">
        <v>0.01</v>
      </c>
      <c r="N2063" t="s">
        <v>3299</v>
      </c>
      <c r="P2063">
        <v>10</v>
      </c>
      <c r="Q2063">
        <v>24</v>
      </c>
      <c r="R2063">
        <v>2015</v>
      </c>
      <c r="S2063" s="4">
        <f t="shared" si="130"/>
        <v>42301</v>
      </c>
      <c r="T2063" s="4">
        <f t="shared" si="128"/>
        <v>42301</v>
      </c>
      <c r="U2063" s="4">
        <v>42301</v>
      </c>
    </row>
    <row r="2064" spans="1:21" x14ac:dyDescent="0.3">
      <c r="A2064" t="s">
        <v>2675</v>
      </c>
      <c r="B2064" s="1" t="s">
        <v>111</v>
      </c>
      <c r="C2064" s="1" t="s">
        <v>82</v>
      </c>
      <c r="D2064" s="1" t="s">
        <v>13</v>
      </c>
      <c r="E2064" s="2">
        <v>42741</v>
      </c>
      <c r="F2064" s="2" t="b">
        <f t="shared" si="131"/>
        <v>1</v>
      </c>
      <c r="G2064" s="2">
        <f t="shared" si="129"/>
        <v>42741</v>
      </c>
      <c r="H2064" s="1" t="s">
        <v>72</v>
      </c>
      <c r="I2064" s="1" t="s">
        <v>1688</v>
      </c>
      <c r="J2064" s="1">
        <v>500</v>
      </c>
      <c r="K2064" s="1">
        <v>500</v>
      </c>
      <c r="L2064" s="3">
        <v>0</v>
      </c>
      <c r="N2064" t="s">
        <v>3763</v>
      </c>
      <c r="S2064" s="4" t="e">
        <f t="shared" si="130"/>
        <v>#NUM!</v>
      </c>
      <c r="T2064" s="4" t="str">
        <f t="shared" si="128"/>
        <v/>
      </c>
      <c r="U2064" s="4" t="s">
        <v>3763</v>
      </c>
    </row>
    <row r="2065" spans="1:21" x14ac:dyDescent="0.3">
      <c r="A2065" t="s">
        <v>2676</v>
      </c>
      <c r="B2065" s="1" t="s">
        <v>255</v>
      </c>
      <c r="C2065" s="1" t="s">
        <v>256</v>
      </c>
      <c r="D2065" s="1" t="s">
        <v>13</v>
      </c>
      <c r="E2065" s="2" t="s">
        <v>3628</v>
      </c>
      <c r="F2065" s="2" t="b">
        <f t="shared" si="131"/>
        <v>0</v>
      </c>
      <c r="G2065" s="2">
        <f t="shared" si="129"/>
        <v>42426</v>
      </c>
      <c r="H2065" s="1" t="s">
        <v>61</v>
      </c>
      <c r="I2065" s="1" t="s">
        <v>805</v>
      </c>
      <c r="J2065" s="1">
        <v>1000</v>
      </c>
      <c r="K2065" s="1">
        <v>680</v>
      </c>
      <c r="L2065" s="3">
        <v>0.32</v>
      </c>
      <c r="N2065" t="s">
        <v>3628</v>
      </c>
      <c r="P2065">
        <v>2</v>
      </c>
      <c r="Q2065">
        <v>26</v>
      </c>
      <c r="R2065">
        <v>2016</v>
      </c>
      <c r="S2065" s="4">
        <f t="shared" si="130"/>
        <v>42426</v>
      </c>
      <c r="T2065" s="4">
        <f t="shared" si="128"/>
        <v>42426</v>
      </c>
      <c r="U2065" s="4">
        <v>42426</v>
      </c>
    </row>
    <row r="2066" spans="1:21" x14ac:dyDescent="0.3">
      <c r="A2066" t="s">
        <v>2677</v>
      </c>
      <c r="B2066" s="1" t="s">
        <v>2243</v>
      </c>
      <c r="C2066" s="1" t="s">
        <v>108</v>
      </c>
      <c r="D2066" s="1" t="s">
        <v>19</v>
      </c>
      <c r="E2066" s="2">
        <v>43354</v>
      </c>
      <c r="F2066" s="2" t="b">
        <f t="shared" si="131"/>
        <v>1</v>
      </c>
      <c r="G2066" s="2">
        <f t="shared" si="129"/>
        <v>43354</v>
      </c>
      <c r="H2066" s="1" t="s">
        <v>41</v>
      </c>
      <c r="I2066" s="1" t="s">
        <v>2310</v>
      </c>
      <c r="J2066" s="1">
        <v>30</v>
      </c>
      <c r="K2066" s="1">
        <v>27</v>
      </c>
      <c r="L2066" s="3">
        <v>0.1</v>
      </c>
      <c r="N2066" t="s">
        <v>3763</v>
      </c>
      <c r="S2066" s="4" t="e">
        <f t="shared" si="130"/>
        <v>#NUM!</v>
      </c>
      <c r="T2066" s="4" t="str">
        <f t="shared" si="128"/>
        <v/>
      </c>
      <c r="U2066" s="4" t="s">
        <v>3763</v>
      </c>
    </row>
    <row r="2067" spans="1:21" x14ac:dyDescent="0.3">
      <c r="A2067" t="s">
        <v>2678</v>
      </c>
      <c r="B2067" s="1" t="s">
        <v>224</v>
      </c>
      <c r="C2067" s="1" t="s">
        <v>50</v>
      </c>
      <c r="D2067" s="1" t="s">
        <v>24</v>
      </c>
      <c r="E2067" s="2" t="s">
        <v>3188</v>
      </c>
      <c r="F2067" s="2" t="b">
        <f t="shared" si="131"/>
        <v>0</v>
      </c>
      <c r="G2067" s="2">
        <f t="shared" si="129"/>
        <v>43397</v>
      </c>
      <c r="H2067" s="1" t="s">
        <v>122</v>
      </c>
      <c r="I2067" s="1" t="s">
        <v>225</v>
      </c>
      <c r="J2067" s="1">
        <v>50</v>
      </c>
      <c r="K2067" s="1">
        <v>44</v>
      </c>
      <c r="L2067" s="3">
        <v>0.12</v>
      </c>
      <c r="N2067" t="s">
        <v>3188</v>
      </c>
      <c r="P2067">
        <v>10</v>
      </c>
      <c r="Q2067">
        <v>24</v>
      </c>
      <c r="R2067">
        <v>2018</v>
      </c>
      <c r="S2067" s="4">
        <f t="shared" si="130"/>
        <v>43397</v>
      </c>
      <c r="T2067" s="4">
        <f t="shared" si="128"/>
        <v>43397</v>
      </c>
      <c r="U2067" s="4">
        <v>43397</v>
      </c>
    </row>
    <row r="2068" spans="1:21" x14ac:dyDescent="0.3">
      <c r="A2068" t="s">
        <v>2679</v>
      </c>
      <c r="B2068" s="1" t="s">
        <v>289</v>
      </c>
      <c r="C2068" s="1" t="s">
        <v>108</v>
      </c>
      <c r="D2068" s="1" t="s">
        <v>19</v>
      </c>
      <c r="E2068" s="2" t="s">
        <v>3384</v>
      </c>
      <c r="F2068" s="2" t="b">
        <f t="shared" si="131"/>
        <v>0</v>
      </c>
      <c r="G2068" s="2">
        <f t="shared" si="129"/>
        <v>43203</v>
      </c>
      <c r="H2068" s="1" t="s">
        <v>14</v>
      </c>
      <c r="I2068" s="1" t="s">
        <v>1129</v>
      </c>
      <c r="J2068" s="1">
        <v>80</v>
      </c>
      <c r="K2068" s="1">
        <v>80</v>
      </c>
      <c r="L2068" s="3">
        <v>0</v>
      </c>
      <c r="N2068" t="s">
        <v>3384</v>
      </c>
      <c r="P2068">
        <v>4</v>
      </c>
      <c r="Q2068">
        <v>13</v>
      </c>
      <c r="R2068">
        <v>2018</v>
      </c>
      <c r="S2068" s="4">
        <f t="shared" si="130"/>
        <v>43203</v>
      </c>
      <c r="T2068" s="4">
        <f t="shared" si="128"/>
        <v>43203</v>
      </c>
      <c r="U2068" s="4">
        <v>43203</v>
      </c>
    </row>
    <row r="2069" spans="1:21" x14ac:dyDescent="0.3">
      <c r="A2069" t="s">
        <v>2680</v>
      </c>
      <c r="B2069" s="1" t="s">
        <v>150</v>
      </c>
      <c r="C2069" s="1" t="s">
        <v>151</v>
      </c>
      <c r="D2069" s="1" t="s">
        <v>13</v>
      </c>
      <c r="E2069" s="2" t="s">
        <v>3556</v>
      </c>
      <c r="F2069" s="2" t="b">
        <f t="shared" si="131"/>
        <v>0</v>
      </c>
      <c r="G2069" s="2">
        <f t="shared" si="129"/>
        <v>41660</v>
      </c>
      <c r="H2069" s="1" t="s">
        <v>46</v>
      </c>
      <c r="I2069" s="1" t="s">
        <v>306</v>
      </c>
      <c r="J2069" s="1">
        <v>500</v>
      </c>
      <c r="K2069" s="1">
        <v>360</v>
      </c>
      <c r="L2069" s="3">
        <v>0.28000000000000003</v>
      </c>
      <c r="N2069" t="s">
        <v>3556</v>
      </c>
      <c r="P2069">
        <v>1</v>
      </c>
      <c r="Q2069">
        <v>21</v>
      </c>
      <c r="R2069">
        <v>2014</v>
      </c>
      <c r="S2069" s="4">
        <f t="shared" si="130"/>
        <v>41660</v>
      </c>
      <c r="T2069" s="4">
        <f t="shared" si="128"/>
        <v>41660</v>
      </c>
      <c r="U2069" s="4">
        <v>41660</v>
      </c>
    </row>
    <row r="2070" spans="1:21" x14ac:dyDescent="0.3">
      <c r="A2070" t="s">
        <v>2681</v>
      </c>
      <c r="B2070" s="1" t="s">
        <v>2191</v>
      </c>
      <c r="C2070" s="1" t="s">
        <v>108</v>
      </c>
      <c r="D2070" s="1" t="s">
        <v>19</v>
      </c>
      <c r="E2070" s="2">
        <v>41859</v>
      </c>
      <c r="F2070" s="2" t="b">
        <f t="shared" si="131"/>
        <v>1</v>
      </c>
      <c r="G2070" s="2">
        <f t="shared" si="129"/>
        <v>41859</v>
      </c>
      <c r="H2070" s="1" t="s">
        <v>55</v>
      </c>
      <c r="I2070" s="1" t="s">
        <v>2201</v>
      </c>
      <c r="J2070" s="1">
        <v>800</v>
      </c>
      <c r="K2070" s="1">
        <v>656</v>
      </c>
      <c r="L2070" s="3">
        <v>0.18</v>
      </c>
      <c r="N2070" t="s">
        <v>3763</v>
      </c>
      <c r="S2070" s="4" t="e">
        <f t="shared" si="130"/>
        <v>#NUM!</v>
      </c>
      <c r="T2070" s="4" t="str">
        <f t="shared" si="128"/>
        <v/>
      </c>
      <c r="U2070" s="4" t="s">
        <v>3763</v>
      </c>
    </row>
    <row r="2071" spans="1:21" x14ac:dyDescent="0.3">
      <c r="A2071" t="s">
        <v>2682</v>
      </c>
      <c r="B2071" s="1" t="s">
        <v>2243</v>
      </c>
      <c r="C2071" s="1" t="s">
        <v>108</v>
      </c>
      <c r="D2071" s="1" t="s">
        <v>19</v>
      </c>
      <c r="E2071" s="2" t="s">
        <v>3648</v>
      </c>
      <c r="F2071" s="2" t="b">
        <f t="shared" si="131"/>
        <v>0</v>
      </c>
      <c r="G2071" s="2">
        <f t="shared" si="129"/>
        <v>42507</v>
      </c>
      <c r="H2071" s="1" t="s">
        <v>115</v>
      </c>
      <c r="I2071" s="1" t="s">
        <v>2244</v>
      </c>
      <c r="J2071" s="1">
        <v>250</v>
      </c>
      <c r="K2071" s="1">
        <v>248</v>
      </c>
      <c r="L2071" s="3">
        <v>8.0000000000000002E-3</v>
      </c>
      <c r="N2071" t="s">
        <v>3648</v>
      </c>
      <c r="P2071">
        <v>5</v>
      </c>
      <c r="Q2071">
        <v>17</v>
      </c>
      <c r="R2071">
        <v>2016</v>
      </c>
      <c r="S2071" s="4">
        <f t="shared" si="130"/>
        <v>42507</v>
      </c>
      <c r="T2071" s="4">
        <f t="shared" si="128"/>
        <v>42507</v>
      </c>
      <c r="U2071" s="4">
        <v>42507</v>
      </c>
    </row>
    <row r="2072" spans="1:21" x14ac:dyDescent="0.3">
      <c r="A2072" t="s">
        <v>2683</v>
      </c>
      <c r="B2072" s="1" t="s">
        <v>44</v>
      </c>
      <c r="C2072" s="1" t="s">
        <v>45</v>
      </c>
      <c r="D2072" s="1" t="s">
        <v>24</v>
      </c>
      <c r="E2072" s="2" t="s">
        <v>3714</v>
      </c>
      <c r="F2072" s="2" t="b">
        <f t="shared" si="131"/>
        <v>0</v>
      </c>
      <c r="G2072" s="2">
        <f t="shared" si="129"/>
        <v>42634</v>
      </c>
      <c r="H2072" s="1" t="s">
        <v>122</v>
      </c>
      <c r="I2072" s="1" t="s">
        <v>431</v>
      </c>
      <c r="J2072" s="1">
        <v>50</v>
      </c>
      <c r="K2072" s="1">
        <v>49</v>
      </c>
      <c r="L2072" s="3">
        <v>0.02</v>
      </c>
      <c r="N2072" t="s">
        <v>3714</v>
      </c>
      <c r="P2072">
        <v>9</v>
      </c>
      <c r="Q2072">
        <v>21</v>
      </c>
      <c r="R2072">
        <v>2016</v>
      </c>
      <c r="S2072" s="4">
        <f t="shared" si="130"/>
        <v>42634</v>
      </c>
      <c r="T2072" s="4">
        <f t="shared" si="128"/>
        <v>42634</v>
      </c>
      <c r="U2072" s="4">
        <v>42634</v>
      </c>
    </row>
    <row r="2073" spans="1:21" x14ac:dyDescent="0.3">
      <c r="A2073" t="s">
        <v>2684</v>
      </c>
      <c r="B2073" s="1" t="s">
        <v>11</v>
      </c>
      <c r="C2073" s="1" t="s">
        <v>12</v>
      </c>
      <c r="D2073" s="1" t="s">
        <v>13</v>
      </c>
      <c r="E2073" s="2">
        <v>42560</v>
      </c>
      <c r="F2073" s="2" t="b">
        <f t="shared" si="131"/>
        <v>1</v>
      </c>
      <c r="G2073" s="2">
        <f t="shared" si="129"/>
        <v>42560</v>
      </c>
      <c r="H2073" s="1" t="s">
        <v>46</v>
      </c>
      <c r="I2073" s="1" t="s">
        <v>348</v>
      </c>
      <c r="J2073" s="1">
        <v>500</v>
      </c>
      <c r="K2073" s="1">
        <v>480</v>
      </c>
      <c r="L2073" s="3">
        <v>0.04</v>
      </c>
      <c r="N2073" t="s">
        <v>3763</v>
      </c>
      <c r="S2073" s="4" t="e">
        <f t="shared" si="130"/>
        <v>#NUM!</v>
      </c>
      <c r="T2073" s="4" t="str">
        <f t="shared" si="128"/>
        <v/>
      </c>
      <c r="U2073" s="4" t="s">
        <v>3763</v>
      </c>
    </row>
    <row r="2074" spans="1:21" x14ac:dyDescent="0.3">
      <c r="A2074" t="s">
        <v>2685</v>
      </c>
      <c r="B2074" s="1" t="s">
        <v>134</v>
      </c>
      <c r="C2074" s="1" t="s">
        <v>92</v>
      </c>
      <c r="D2074" s="1" t="s">
        <v>35</v>
      </c>
      <c r="E2074" s="2">
        <v>41699</v>
      </c>
      <c r="F2074" s="2" t="b">
        <f t="shared" si="131"/>
        <v>1</v>
      </c>
      <c r="G2074" s="2">
        <f t="shared" si="129"/>
        <v>41699</v>
      </c>
      <c r="H2074" s="1" t="s">
        <v>61</v>
      </c>
      <c r="I2074" s="1" t="s">
        <v>1135</v>
      </c>
      <c r="J2074" s="1">
        <v>1000</v>
      </c>
      <c r="K2074" s="1">
        <v>620</v>
      </c>
      <c r="L2074" s="3">
        <v>0.38</v>
      </c>
      <c r="N2074" t="s">
        <v>3763</v>
      </c>
      <c r="S2074" s="4" t="e">
        <f t="shared" si="130"/>
        <v>#NUM!</v>
      </c>
      <c r="T2074" s="4" t="str">
        <f t="shared" si="128"/>
        <v/>
      </c>
      <c r="U2074" s="4" t="s">
        <v>3763</v>
      </c>
    </row>
    <row r="2075" spans="1:21" x14ac:dyDescent="0.3">
      <c r="A2075" t="s">
        <v>2686</v>
      </c>
      <c r="B2075" s="1" t="s">
        <v>17</v>
      </c>
      <c r="C2075" s="1" t="s">
        <v>18</v>
      </c>
      <c r="D2075" s="1" t="s">
        <v>19</v>
      </c>
      <c r="E2075" s="2">
        <v>42163</v>
      </c>
      <c r="F2075" s="2" t="b">
        <f t="shared" si="131"/>
        <v>1</v>
      </c>
      <c r="G2075" s="2">
        <f t="shared" si="129"/>
        <v>42163</v>
      </c>
      <c r="H2075" s="1" t="s">
        <v>115</v>
      </c>
      <c r="I2075" s="1" t="s">
        <v>20</v>
      </c>
      <c r="J2075" s="1">
        <v>250</v>
      </c>
      <c r="K2075" s="1">
        <v>190</v>
      </c>
      <c r="L2075" s="3">
        <v>0.24</v>
      </c>
      <c r="N2075" t="s">
        <v>3763</v>
      </c>
      <c r="S2075" s="4" t="e">
        <f t="shared" si="130"/>
        <v>#NUM!</v>
      </c>
      <c r="T2075" s="4" t="str">
        <f t="shared" si="128"/>
        <v/>
      </c>
      <c r="U2075" s="4" t="s">
        <v>3763</v>
      </c>
    </row>
    <row r="2076" spans="1:21" x14ac:dyDescent="0.3">
      <c r="A2076" t="s">
        <v>2687</v>
      </c>
      <c r="B2076" s="1" t="s">
        <v>53</v>
      </c>
      <c r="C2076" s="1" t="s">
        <v>54</v>
      </c>
      <c r="D2076" s="1" t="s">
        <v>13</v>
      </c>
      <c r="E2076" s="2" t="s">
        <v>3113</v>
      </c>
      <c r="F2076" s="2" t="b">
        <f t="shared" si="131"/>
        <v>0</v>
      </c>
      <c r="G2076" s="2">
        <f t="shared" si="129"/>
        <v>42875</v>
      </c>
      <c r="H2076" s="1" t="s">
        <v>55</v>
      </c>
      <c r="I2076" s="1" t="s">
        <v>56</v>
      </c>
      <c r="J2076" s="1">
        <v>800</v>
      </c>
      <c r="K2076" s="1">
        <v>680</v>
      </c>
      <c r="L2076" s="3">
        <v>0.15</v>
      </c>
      <c r="N2076" t="s">
        <v>3113</v>
      </c>
      <c r="P2076">
        <v>5</v>
      </c>
      <c r="Q2076">
        <v>20</v>
      </c>
      <c r="R2076">
        <v>2017</v>
      </c>
      <c r="S2076" s="4">
        <f t="shared" si="130"/>
        <v>42875</v>
      </c>
      <c r="T2076" s="4">
        <f t="shared" si="128"/>
        <v>42875</v>
      </c>
      <c r="U2076" s="4">
        <v>42875</v>
      </c>
    </row>
    <row r="2077" spans="1:21" x14ac:dyDescent="0.3">
      <c r="A2077" t="s">
        <v>2688</v>
      </c>
      <c r="B2077" s="1" t="s">
        <v>70</v>
      </c>
      <c r="C2077" s="1" t="s">
        <v>71</v>
      </c>
      <c r="D2077" s="1" t="s">
        <v>35</v>
      </c>
      <c r="E2077" s="2">
        <v>43229</v>
      </c>
      <c r="F2077" s="2" t="b">
        <f t="shared" si="131"/>
        <v>1</v>
      </c>
      <c r="G2077" s="2">
        <f t="shared" si="129"/>
        <v>43229</v>
      </c>
      <c r="H2077" s="1" t="s">
        <v>46</v>
      </c>
      <c r="I2077" s="1" t="s">
        <v>73</v>
      </c>
      <c r="J2077" s="1">
        <v>500</v>
      </c>
      <c r="K2077" s="1">
        <v>480</v>
      </c>
      <c r="L2077" s="3">
        <v>0.04</v>
      </c>
      <c r="N2077" t="s">
        <v>3763</v>
      </c>
      <c r="S2077" s="4" t="e">
        <f t="shared" si="130"/>
        <v>#NUM!</v>
      </c>
      <c r="T2077" s="4" t="str">
        <f t="shared" si="128"/>
        <v/>
      </c>
      <c r="U2077" s="4" t="s">
        <v>3763</v>
      </c>
    </row>
    <row r="2078" spans="1:21" x14ac:dyDescent="0.3">
      <c r="A2078" t="s">
        <v>2689</v>
      </c>
      <c r="B2078" s="1" t="s">
        <v>434</v>
      </c>
      <c r="C2078" s="1" t="s">
        <v>435</v>
      </c>
      <c r="D2078" s="1" t="s">
        <v>24</v>
      </c>
      <c r="E2078" s="2" t="s">
        <v>3198</v>
      </c>
      <c r="F2078" s="2" t="b">
        <f t="shared" si="131"/>
        <v>0</v>
      </c>
      <c r="G2078" s="2">
        <f t="shared" si="129"/>
        <v>43450</v>
      </c>
      <c r="H2078" s="1" t="s">
        <v>122</v>
      </c>
      <c r="I2078" s="1" t="s">
        <v>858</v>
      </c>
      <c r="J2078" s="1">
        <v>50</v>
      </c>
      <c r="K2078" s="1">
        <v>49</v>
      </c>
      <c r="L2078" s="3">
        <v>0.02</v>
      </c>
      <c r="N2078" t="s">
        <v>3198</v>
      </c>
      <c r="P2078">
        <v>12</v>
      </c>
      <c r="Q2078">
        <v>16</v>
      </c>
      <c r="R2078">
        <v>2018</v>
      </c>
      <c r="S2078" s="4">
        <f t="shared" si="130"/>
        <v>43450</v>
      </c>
      <c r="T2078" s="4">
        <f t="shared" si="128"/>
        <v>43450</v>
      </c>
      <c r="U2078" s="4">
        <v>43450</v>
      </c>
    </row>
    <row r="2079" spans="1:21" x14ac:dyDescent="0.3">
      <c r="A2079" t="s">
        <v>2690</v>
      </c>
      <c r="B2079" s="1" t="s">
        <v>400</v>
      </c>
      <c r="C2079" s="1" t="s">
        <v>401</v>
      </c>
      <c r="D2079" s="1" t="s">
        <v>13</v>
      </c>
      <c r="E2079" s="2" t="s">
        <v>3715</v>
      </c>
      <c r="F2079" s="2" t="b">
        <f t="shared" si="131"/>
        <v>0</v>
      </c>
      <c r="G2079" s="2">
        <f t="shared" si="129"/>
        <v>42054</v>
      </c>
      <c r="H2079" s="1" t="s">
        <v>14</v>
      </c>
      <c r="I2079" s="1" t="s">
        <v>443</v>
      </c>
      <c r="J2079" s="1">
        <v>80</v>
      </c>
      <c r="K2079" s="1">
        <v>58</v>
      </c>
      <c r="L2079" s="3">
        <v>0.27500000000000002</v>
      </c>
      <c r="N2079" t="s">
        <v>3715</v>
      </c>
      <c r="P2079">
        <v>2</v>
      </c>
      <c r="Q2079">
        <v>19</v>
      </c>
      <c r="R2079">
        <v>2015</v>
      </c>
      <c r="S2079" s="4">
        <f t="shared" si="130"/>
        <v>42054</v>
      </c>
      <c r="T2079" s="4">
        <f t="shared" si="128"/>
        <v>42054</v>
      </c>
      <c r="U2079" s="4">
        <v>42054</v>
      </c>
    </row>
    <row r="2080" spans="1:21" x14ac:dyDescent="0.3">
      <c r="A2080" t="s">
        <v>2691</v>
      </c>
      <c r="B2080" s="1" t="s">
        <v>289</v>
      </c>
      <c r="C2080" s="1" t="s">
        <v>108</v>
      </c>
      <c r="D2080" s="1" t="s">
        <v>19</v>
      </c>
      <c r="E2080" s="2">
        <v>42374</v>
      </c>
      <c r="F2080" s="2" t="b">
        <f t="shared" si="131"/>
        <v>1</v>
      </c>
      <c r="G2080" s="2">
        <f t="shared" si="129"/>
        <v>42374</v>
      </c>
      <c r="H2080" s="1" t="s">
        <v>46</v>
      </c>
      <c r="I2080" s="1" t="s">
        <v>877</v>
      </c>
      <c r="J2080" s="1">
        <v>500</v>
      </c>
      <c r="K2080" s="1">
        <v>500</v>
      </c>
      <c r="L2080" s="3">
        <v>0</v>
      </c>
      <c r="N2080" t="s">
        <v>3763</v>
      </c>
      <c r="S2080" s="4" t="e">
        <f t="shared" si="130"/>
        <v>#NUM!</v>
      </c>
      <c r="T2080" s="4" t="str">
        <f t="shared" si="128"/>
        <v/>
      </c>
      <c r="U2080" s="4" t="s">
        <v>3763</v>
      </c>
    </row>
    <row r="2081" spans="1:21" x14ac:dyDescent="0.3">
      <c r="A2081" t="s">
        <v>2692</v>
      </c>
      <c r="B2081" s="1" t="s">
        <v>81</v>
      </c>
      <c r="C2081" s="1" t="s">
        <v>82</v>
      </c>
      <c r="D2081" s="1" t="s">
        <v>13</v>
      </c>
      <c r="E2081" s="2" t="s">
        <v>3716</v>
      </c>
      <c r="F2081" s="2" t="b">
        <f t="shared" si="131"/>
        <v>0</v>
      </c>
      <c r="G2081" s="2">
        <f t="shared" si="129"/>
        <v>41926</v>
      </c>
      <c r="H2081" s="1" t="s">
        <v>25</v>
      </c>
      <c r="I2081" s="1" t="s">
        <v>1232</v>
      </c>
      <c r="J2081" s="1">
        <v>700</v>
      </c>
      <c r="K2081" s="1">
        <v>574</v>
      </c>
      <c r="L2081" s="3">
        <v>0.18</v>
      </c>
      <c r="N2081" t="s">
        <v>3716</v>
      </c>
      <c r="P2081">
        <v>10</v>
      </c>
      <c r="Q2081">
        <v>14</v>
      </c>
      <c r="R2081">
        <v>2014</v>
      </c>
      <c r="S2081" s="4">
        <f t="shared" si="130"/>
        <v>41926</v>
      </c>
      <c r="T2081" s="4">
        <f t="shared" si="128"/>
        <v>41926</v>
      </c>
      <c r="U2081" s="4">
        <v>41926</v>
      </c>
    </row>
    <row r="2082" spans="1:21" x14ac:dyDescent="0.3">
      <c r="A2082" t="s">
        <v>2693</v>
      </c>
      <c r="B2082" s="1" t="s">
        <v>241</v>
      </c>
      <c r="C2082" s="1" t="s">
        <v>242</v>
      </c>
      <c r="D2082" s="1" t="s">
        <v>13</v>
      </c>
      <c r="E2082" s="2">
        <v>43102</v>
      </c>
      <c r="F2082" s="2" t="b">
        <f t="shared" si="131"/>
        <v>1</v>
      </c>
      <c r="G2082" s="2">
        <f t="shared" si="129"/>
        <v>43102</v>
      </c>
      <c r="H2082" s="1" t="s">
        <v>36</v>
      </c>
      <c r="I2082" s="1" t="s">
        <v>287</v>
      </c>
      <c r="J2082" s="1">
        <v>50</v>
      </c>
      <c r="K2082" s="1">
        <v>47</v>
      </c>
      <c r="L2082" s="3">
        <v>0.06</v>
      </c>
      <c r="N2082" t="s">
        <v>3763</v>
      </c>
      <c r="S2082" s="4" t="e">
        <f t="shared" si="130"/>
        <v>#NUM!</v>
      </c>
      <c r="T2082" s="4" t="str">
        <f t="shared" si="128"/>
        <v/>
      </c>
      <c r="U2082" s="4" t="s">
        <v>3763</v>
      </c>
    </row>
    <row r="2083" spans="1:21" x14ac:dyDescent="0.3">
      <c r="A2083" t="s">
        <v>2694</v>
      </c>
      <c r="B2083" s="1" t="s">
        <v>124</v>
      </c>
      <c r="C2083" s="1" t="s">
        <v>40</v>
      </c>
      <c r="D2083" s="1" t="s">
        <v>35</v>
      </c>
      <c r="E2083" s="2">
        <v>43143</v>
      </c>
      <c r="F2083" s="2" t="b">
        <f t="shared" si="131"/>
        <v>1</v>
      </c>
      <c r="G2083" s="2">
        <f t="shared" si="129"/>
        <v>43143</v>
      </c>
      <c r="H2083" s="1" t="s">
        <v>41</v>
      </c>
      <c r="I2083" s="1" t="s">
        <v>916</v>
      </c>
      <c r="J2083" s="1">
        <v>30</v>
      </c>
      <c r="K2083" s="1">
        <v>26</v>
      </c>
      <c r="L2083" s="3">
        <v>0.1333</v>
      </c>
      <c r="N2083" t="s">
        <v>3763</v>
      </c>
      <c r="S2083" s="4" t="e">
        <f t="shared" si="130"/>
        <v>#NUM!</v>
      </c>
      <c r="T2083" s="4" t="str">
        <f t="shared" si="128"/>
        <v/>
      </c>
      <c r="U2083" s="4" t="s">
        <v>3763</v>
      </c>
    </row>
    <row r="2084" spans="1:21" x14ac:dyDescent="0.3">
      <c r="A2084" t="s">
        <v>2695</v>
      </c>
      <c r="B2084" s="1" t="s">
        <v>33</v>
      </c>
      <c r="C2084" s="1" t="s">
        <v>34</v>
      </c>
      <c r="D2084" s="1" t="s">
        <v>35</v>
      </c>
      <c r="E2084" s="2" t="s">
        <v>3709</v>
      </c>
      <c r="F2084" s="2" t="b">
        <f t="shared" si="131"/>
        <v>0</v>
      </c>
      <c r="G2084" s="2">
        <f t="shared" si="129"/>
        <v>41965</v>
      </c>
      <c r="H2084" s="1" t="s">
        <v>41</v>
      </c>
      <c r="I2084" s="1" t="s">
        <v>75</v>
      </c>
      <c r="J2084" s="1">
        <v>30</v>
      </c>
      <c r="K2084" s="1">
        <v>22</v>
      </c>
      <c r="L2084" s="3">
        <v>0.26669999999999999</v>
      </c>
      <c r="N2084" t="s">
        <v>3709</v>
      </c>
      <c r="P2084">
        <v>11</v>
      </c>
      <c r="Q2084">
        <v>22</v>
      </c>
      <c r="R2084">
        <v>2014</v>
      </c>
      <c r="S2084" s="4">
        <f t="shared" si="130"/>
        <v>41965</v>
      </c>
      <c r="T2084" s="4">
        <f t="shared" si="128"/>
        <v>41965</v>
      </c>
      <c r="U2084" s="4">
        <v>41965</v>
      </c>
    </row>
    <row r="2085" spans="1:21" x14ac:dyDescent="0.3">
      <c r="A2085" t="s">
        <v>2696</v>
      </c>
      <c r="B2085" s="1" t="s">
        <v>99</v>
      </c>
      <c r="C2085" s="1" t="s">
        <v>100</v>
      </c>
      <c r="D2085" s="1" t="s">
        <v>13</v>
      </c>
      <c r="E2085" s="2">
        <v>42045</v>
      </c>
      <c r="F2085" s="2" t="b">
        <f t="shared" si="131"/>
        <v>1</v>
      </c>
      <c r="G2085" s="2">
        <f t="shared" si="129"/>
        <v>42045</v>
      </c>
      <c r="H2085" s="1" t="s">
        <v>25</v>
      </c>
      <c r="I2085" s="1" t="s">
        <v>911</v>
      </c>
      <c r="J2085" s="1">
        <v>700</v>
      </c>
      <c r="K2085" s="1">
        <v>679</v>
      </c>
      <c r="L2085" s="3">
        <v>0.03</v>
      </c>
      <c r="N2085" t="s">
        <v>3763</v>
      </c>
      <c r="S2085" s="4" t="e">
        <f t="shared" si="130"/>
        <v>#NUM!</v>
      </c>
      <c r="T2085" s="4" t="str">
        <f t="shared" si="128"/>
        <v/>
      </c>
      <c r="U2085" s="4" t="s">
        <v>3763</v>
      </c>
    </row>
    <row r="2086" spans="1:21" x14ac:dyDescent="0.3">
      <c r="A2086" t="s">
        <v>2697</v>
      </c>
      <c r="B2086" s="1" t="s">
        <v>255</v>
      </c>
      <c r="C2086" s="1" t="s">
        <v>256</v>
      </c>
      <c r="D2086" s="1" t="s">
        <v>13</v>
      </c>
      <c r="E2086" s="2">
        <v>41861</v>
      </c>
      <c r="F2086" s="2" t="b">
        <f t="shared" si="131"/>
        <v>1</v>
      </c>
      <c r="G2086" s="2">
        <f t="shared" si="129"/>
        <v>41861</v>
      </c>
      <c r="H2086" s="1" t="s">
        <v>61</v>
      </c>
      <c r="I2086" s="1" t="s">
        <v>1208</v>
      </c>
      <c r="J2086" s="1">
        <v>1000</v>
      </c>
      <c r="K2086" s="1">
        <v>850</v>
      </c>
      <c r="L2086" s="3">
        <v>0.15</v>
      </c>
      <c r="N2086" t="s">
        <v>3763</v>
      </c>
      <c r="S2086" s="4" t="e">
        <f t="shared" si="130"/>
        <v>#NUM!</v>
      </c>
      <c r="T2086" s="4" t="str">
        <f t="shared" si="128"/>
        <v/>
      </c>
      <c r="U2086" s="4" t="s">
        <v>3763</v>
      </c>
    </row>
    <row r="2087" spans="1:21" x14ac:dyDescent="0.3">
      <c r="A2087" t="s">
        <v>2698</v>
      </c>
      <c r="B2087" s="1" t="s">
        <v>103</v>
      </c>
      <c r="C2087" s="1" t="s">
        <v>71</v>
      </c>
      <c r="D2087" s="1" t="s">
        <v>35</v>
      </c>
      <c r="E2087" s="2" t="s">
        <v>3717</v>
      </c>
      <c r="F2087" s="2" t="b">
        <f t="shared" si="131"/>
        <v>0</v>
      </c>
      <c r="G2087" s="2">
        <f t="shared" si="129"/>
        <v>43274</v>
      </c>
      <c r="H2087" s="1" t="s">
        <v>72</v>
      </c>
      <c r="I2087" s="1" t="s">
        <v>727</v>
      </c>
      <c r="J2087" s="1">
        <v>500</v>
      </c>
      <c r="K2087" s="1">
        <v>490</v>
      </c>
      <c r="L2087" s="3">
        <v>0.02</v>
      </c>
      <c r="N2087" t="s">
        <v>3717</v>
      </c>
      <c r="P2087">
        <v>6</v>
      </c>
      <c r="Q2087">
        <v>23</v>
      </c>
      <c r="R2087">
        <v>2018</v>
      </c>
      <c r="S2087" s="4">
        <f t="shared" si="130"/>
        <v>43274</v>
      </c>
      <c r="T2087" s="4">
        <f t="shared" si="128"/>
        <v>43274</v>
      </c>
      <c r="U2087" s="4">
        <v>43274</v>
      </c>
    </row>
    <row r="2088" spans="1:21" x14ac:dyDescent="0.3">
      <c r="A2088" t="s">
        <v>2699</v>
      </c>
      <c r="B2088" s="1" t="s">
        <v>99</v>
      </c>
      <c r="C2088" s="1" t="s">
        <v>100</v>
      </c>
      <c r="D2088" s="1" t="s">
        <v>13</v>
      </c>
      <c r="E2088" s="2">
        <v>42529</v>
      </c>
      <c r="F2088" s="2" t="b">
        <f t="shared" si="131"/>
        <v>1</v>
      </c>
      <c r="G2088" s="2">
        <f t="shared" si="129"/>
        <v>42529</v>
      </c>
      <c r="H2088" s="1" t="s">
        <v>104</v>
      </c>
      <c r="I2088" s="1" t="s">
        <v>101</v>
      </c>
      <c r="J2088" s="1">
        <v>70</v>
      </c>
      <c r="K2088" s="1">
        <v>70</v>
      </c>
      <c r="L2088" s="3">
        <v>0</v>
      </c>
      <c r="N2088" t="s">
        <v>3763</v>
      </c>
      <c r="S2088" s="4" t="e">
        <f t="shared" si="130"/>
        <v>#NUM!</v>
      </c>
      <c r="T2088" s="4" t="str">
        <f t="shared" si="128"/>
        <v/>
      </c>
      <c r="U2088" s="4" t="s">
        <v>3763</v>
      </c>
    </row>
    <row r="2089" spans="1:21" x14ac:dyDescent="0.3">
      <c r="A2089" t="s">
        <v>2700</v>
      </c>
      <c r="B2089" s="1" t="s">
        <v>70</v>
      </c>
      <c r="C2089" s="1" t="s">
        <v>71</v>
      </c>
      <c r="D2089" s="1" t="s">
        <v>35</v>
      </c>
      <c r="E2089" s="2" t="s">
        <v>3718</v>
      </c>
      <c r="F2089" s="2" t="b">
        <f t="shared" si="131"/>
        <v>0</v>
      </c>
      <c r="G2089" s="2">
        <f t="shared" si="129"/>
        <v>41808</v>
      </c>
      <c r="H2089" s="1" t="s">
        <v>46</v>
      </c>
      <c r="I2089" s="1" t="s">
        <v>328</v>
      </c>
      <c r="J2089" s="1">
        <v>500</v>
      </c>
      <c r="K2089" s="1">
        <v>455</v>
      </c>
      <c r="L2089" s="3">
        <v>0.09</v>
      </c>
      <c r="N2089" t="s">
        <v>3718</v>
      </c>
      <c r="P2089">
        <v>6</v>
      </c>
      <c r="Q2089">
        <v>18</v>
      </c>
      <c r="R2089">
        <v>2014</v>
      </c>
      <c r="S2089" s="4">
        <f t="shared" si="130"/>
        <v>41808</v>
      </c>
      <c r="T2089" s="4">
        <f t="shared" si="128"/>
        <v>41808</v>
      </c>
      <c r="U2089" s="4">
        <v>41808</v>
      </c>
    </row>
    <row r="2090" spans="1:21" x14ac:dyDescent="0.3">
      <c r="A2090" t="s">
        <v>2701</v>
      </c>
      <c r="B2090" s="1" t="s">
        <v>146</v>
      </c>
      <c r="C2090" s="1" t="s">
        <v>147</v>
      </c>
      <c r="D2090" s="1" t="s">
        <v>13</v>
      </c>
      <c r="E2090" s="2" t="s">
        <v>3325</v>
      </c>
      <c r="F2090" s="2" t="b">
        <f t="shared" si="131"/>
        <v>0</v>
      </c>
      <c r="G2090" s="2">
        <f t="shared" si="129"/>
        <v>41843</v>
      </c>
      <c r="H2090" s="1" t="s">
        <v>41</v>
      </c>
      <c r="I2090" s="1" t="s">
        <v>1647</v>
      </c>
      <c r="J2090" s="1">
        <v>30</v>
      </c>
      <c r="K2090" s="1">
        <v>26</v>
      </c>
      <c r="L2090" s="3">
        <v>0.1333</v>
      </c>
      <c r="N2090" t="s">
        <v>3325</v>
      </c>
      <c r="P2090">
        <v>7</v>
      </c>
      <c r="Q2090">
        <v>23</v>
      </c>
      <c r="R2090">
        <v>2014</v>
      </c>
      <c r="S2090" s="4">
        <f t="shared" si="130"/>
        <v>41843</v>
      </c>
      <c r="T2090" s="4">
        <f t="shared" si="128"/>
        <v>41843</v>
      </c>
      <c r="U2090" s="4">
        <v>41843</v>
      </c>
    </row>
    <row r="2091" spans="1:21" x14ac:dyDescent="0.3">
      <c r="A2091" t="s">
        <v>2702</v>
      </c>
      <c r="B2091" s="1" t="s">
        <v>64</v>
      </c>
      <c r="C2091" s="1" t="s">
        <v>65</v>
      </c>
      <c r="D2091" s="1" t="s">
        <v>35</v>
      </c>
      <c r="E2091" s="2">
        <v>42979</v>
      </c>
      <c r="F2091" s="2" t="b">
        <f t="shared" si="131"/>
        <v>1</v>
      </c>
      <c r="G2091" s="2">
        <f t="shared" si="129"/>
        <v>42979</v>
      </c>
      <c r="H2091" s="1" t="s">
        <v>104</v>
      </c>
      <c r="I2091" s="1" t="s">
        <v>1057</v>
      </c>
      <c r="J2091" s="1">
        <v>70</v>
      </c>
      <c r="K2091" s="1">
        <v>69</v>
      </c>
      <c r="L2091" s="3">
        <v>1.43E-2</v>
      </c>
      <c r="N2091" t="s">
        <v>3763</v>
      </c>
      <c r="S2091" s="4" t="e">
        <f t="shared" si="130"/>
        <v>#NUM!</v>
      </c>
      <c r="T2091" s="4" t="str">
        <f t="shared" si="128"/>
        <v/>
      </c>
      <c r="U2091" s="4" t="s">
        <v>3763</v>
      </c>
    </row>
    <row r="2092" spans="1:21" x14ac:dyDescent="0.3">
      <c r="A2092" t="s">
        <v>2703</v>
      </c>
      <c r="B2092" s="1" t="s">
        <v>33</v>
      </c>
      <c r="C2092" s="1" t="s">
        <v>34</v>
      </c>
      <c r="D2092" s="1" t="s">
        <v>35</v>
      </c>
      <c r="E2092" s="2">
        <v>43323</v>
      </c>
      <c r="F2092" s="2" t="b">
        <f t="shared" si="131"/>
        <v>1</v>
      </c>
      <c r="G2092" s="2">
        <f t="shared" si="129"/>
        <v>43323</v>
      </c>
      <c r="H2092" s="1" t="s">
        <v>14</v>
      </c>
      <c r="I2092" s="1" t="s">
        <v>1131</v>
      </c>
      <c r="J2092" s="1">
        <v>80</v>
      </c>
      <c r="K2092" s="1">
        <v>69</v>
      </c>
      <c r="L2092" s="3">
        <v>0.13750000000000001</v>
      </c>
      <c r="N2092" t="s">
        <v>3763</v>
      </c>
      <c r="S2092" s="4" t="e">
        <f t="shared" si="130"/>
        <v>#NUM!</v>
      </c>
      <c r="T2092" s="4" t="str">
        <f t="shared" si="128"/>
        <v/>
      </c>
      <c r="U2092" s="4" t="s">
        <v>3763</v>
      </c>
    </row>
    <row r="2093" spans="1:21" x14ac:dyDescent="0.3">
      <c r="A2093" t="s">
        <v>2704</v>
      </c>
      <c r="B2093" s="1" t="s">
        <v>99</v>
      </c>
      <c r="C2093" s="1" t="s">
        <v>100</v>
      </c>
      <c r="D2093" s="1" t="s">
        <v>13</v>
      </c>
      <c r="E2093" s="2" t="s">
        <v>3178</v>
      </c>
      <c r="F2093" s="2" t="b">
        <f t="shared" si="131"/>
        <v>0</v>
      </c>
      <c r="G2093" s="2">
        <f t="shared" si="129"/>
        <v>42934</v>
      </c>
      <c r="H2093" s="1" t="s">
        <v>30</v>
      </c>
      <c r="I2093" s="1" t="s">
        <v>1171</v>
      </c>
      <c r="J2093" s="1">
        <v>150</v>
      </c>
      <c r="K2093" s="1">
        <v>141</v>
      </c>
      <c r="L2093" s="3">
        <v>0.06</v>
      </c>
      <c r="N2093" t="s">
        <v>3178</v>
      </c>
      <c r="P2093">
        <v>7</v>
      </c>
      <c r="Q2093">
        <v>18</v>
      </c>
      <c r="R2093">
        <v>2017</v>
      </c>
      <c r="S2093" s="4">
        <f t="shared" si="130"/>
        <v>42934</v>
      </c>
      <c r="T2093" s="4">
        <f t="shared" si="128"/>
        <v>42934</v>
      </c>
      <c r="U2093" s="4">
        <v>42934</v>
      </c>
    </row>
    <row r="2094" spans="1:21" x14ac:dyDescent="0.3">
      <c r="A2094" t="s">
        <v>2705</v>
      </c>
      <c r="B2094" s="1" t="s">
        <v>154</v>
      </c>
      <c r="C2094" s="1" t="s">
        <v>108</v>
      </c>
      <c r="D2094" s="1" t="s">
        <v>19</v>
      </c>
      <c r="E2094" s="2" t="s">
        <v>3100</v>
      </c>
      <c r="F2094" s="2" t="b">
        <f t="shared" si="131"/>
        <v>0</v>
      </c>
      <c r="G2094" s="2">
        <f t="shared" si="129"/>
        <v>42211</v>
      </c>
      <c r="H2094" s="1" t="s">
        <v>122</v>
      </c>
      <c r="I2094" s="1" t="s">
        <v>490</v>
      </c>
      <c r="J2094" s="1">
        <v>50</v>
      </c>
      <c r="K2094" s="1">
        <v>36</v>
      </c>
      <c r="L2094" s="3">
        <v>0.28000000000000003</v>
      </c>
      <c r="N2094" t="s">
        <v>3100</v>
      </c>
      <c r="P2094">
        <v>7</v>
      </c>
      <c r="Q2094">
        <v>26</v>
      </c>
      <c r="R2094">
        <v>2015</v>
      </c>
      <c r="S2094" s="4">
        <f t="shared" si="130"/>
        <v>42211</v>
      </c>
      <c r="T2094" s="4">
        <f t="shared" si="128"/>
        <v>42211</v>
      </c>
      <c r="U2094" s="4">
        <v>42211</v>
      </c>
    </row>
    <row r="2095" spans="1:21" x14ac:dyDescent="0.3">
      <c r="A2095" t="s">
        <v>2706</v>
      </c>
      <c r="B2095" s="1" t="s">
        <v>241</v>
      </c>
      <c r="C2095" s="1" t="s">
        <v>242</v>
      </c>
      <c r="D2095" s="1" t="s">
        <v>13</v>
      </c>
      <c r="E2095" s="2">
        <v>41710</v>
      </c>
      <c r="F2095" s="2" t="b">
        <f t="shared" si="131"/>
        <v>1</v>
      </c>
      <c r="G2095" s="2">
        <f t="shared" si="129"/>
        <v>41710</v>
      </c>
      <c r="H2095" s="1" t="s">
        <v>55</v>
      </c>
      <c r="I2095" s="1" t="s">
        <v>350</v>
      </c>
      <c r="J2095" s="1">
        <v>800</v>
      </c>
      <c r="K2095" s="1">
        <v>608</v>
      </c>
      <c r="L2095" s="3">
        <v>0.24</v>
      </c>
      <c r="N2095" t="s">
        <v>3763</v>
      </c>
      <c r="S2095" s="4" t="e">
        <f t="shared" si="130"/>
        <v>#NUM!</v>
      </c>
      <c r="T2095" s="4" t="str">
        <f t="shared" si="128"/>
        <v/>
      </c>
      <c r="U2095" s="4" t="s">
        <v>3763</v>
      </c>
    </row>
    <row r="2096" spans="1:21" x14ac:dyDescent="0.3">
      <c r="A2096" t="s">
        <v>2707</v>
      </c>
      <c r="B2096" s="1" t="s">
        <v>150</v>
      </c>
      <c r="C2096" s="1" t="s">
        <v>151</v>
      </c>
      <c r="D2096" s="1" t="s">
        <v>13</v>
      </c>
      <c r="E2096" s="2">
        <v>41795</v>
      </c>
      <c r="F2096" s="2" t="b">
        <f t="shared" si="131"/>
        <v>1</v>
      </c>
      <c r="G2096" s="2">
        <f t="shared" si="129"/>
        <v>41795</v>
      </c>
      <c r="H2096" s="1" t="s">
        <v>72</v>
      </c>
      <c r="I2096" s="1" t="s">
        <v>185</v>
      </c>
      <c r="J2096" s="1">
        <v>500</v>
      </c>
      <c r="K2096" s="1">
        <v>495</v>
      </c>
      <c r="L2096" s="3">
        <v>0.01</v>
      </c>
      <c r="N2096" t="s">
        <v>3763</v>
      </c>
      <c r="S2096" s="4" t="e">
        <f t="shared" si="130"/>
        <v>#NUM!</v>
      </c>
      <c r="T2096" s="4" t="str">
        <f t="shared" si="128"/>
        <v/>
      </c>
      <c r="U2096" s="4" t="s">
        <v>3763</v>
      </c>
    </row>
    <row r="2097" spans="1:21" x14ac:dyDescent="0.3">
      <c r="A2097" t="s">
        <v>2708</v>
      </c>
      <c r="B2097" s="1" t="s">
        <v>114</v>
      </c>
      <c r="C2097" s="1" t="s">
        <v>54</v>
      </c>
      <c r="D2097" s="1" t="s">
        <v>13</v>
      </c>
      <c r="E2097" s="2" t="s">
        <v>3719</v>
      </c>
      <c r="F2097" s="2" t="b">
        <f t="shared" si="131"/>
        <v>0</v>
      </c>
      <c r="G2097" s="2">
        <f t="shared" si="129"/>
        <v>42272</v>
      </c>
      <c r="H2097" s="1" t="s">
        <v>30</v>
      </c>
      <c r="I2097" s="1" t="s">
        <v>367</v>
      </c>
      <c r="J2097" s="1">
        <v>150</v>
      </c>
      <c r="K2097" s="1">
        <v>126</v>
      </c>
      <c r="L2097" s="3">
        <v>0.16</v>
      </c>
      <c r="N2097" t="s">
        <v>3719</v>
      </c>
      <c r="P2097">
        <v>9</v>
      </c>
      <c r="Q2097">
        <v>25</v>
      </c>
      <c r="R2097">
        <v>2015</v>
      </c>
      <c r="S2097" s="4">
        <f t="shared" si="130"/>
        <v>42272</v>
      </c>
      <c r="T2097" s="4">
        <f t="shared" si="128"/>
        <v>42272</v>
      </c>
      <c r="U2097" s="4">
        <v>42272</v>
      </c>
    </row>
    <row r="2098" spans="1:21" x14ac:dyDescent="0.3">
      <c r="A2098" t="s">
        <v>2709</v>
      </c>
      <c r="B2098" s="1" t="s">
        <v>39</v>
      </c>
      <c r="C2098" s="1" t="s">
        <v>40</v>
      </c>
      <c r="D2098" s="1" t="s">
        <v>35</v>
      </c>
      <c r="E2098" s="2">
        <v>43314</v>
      </c>
      <c r="F2098" s="2" t="b">
        <f t="shared" si="131"/>
        <v>1</v>
      </c>
      <c r="G2098" s="2">
        <f t="shared" si="129"/>
        <v>43314</v>
      </c>
      <c r="H2098" s="1" t="s">
        <v>36</v>
      </c>
      <c r="I2098" s="1" t="s">
        <v>1631</v>
      </c>
      <c r="J2098" s="1">
        <v>50</v>
      </c>
      <c r="K2098" s="1">
        <v>17</v>
      </c>
      <c r="L2098" s="3">
        <v>0.66</v>
      </c>
      <c r="N2098" t="s">
        <v>3763</v>
      </c>
      <c r="S2098" s="4" t="e">
        <f t="shared" si="130"/>
        <v>#NUM!</v>
      </c>
      <c r="T2098" s="4" t="str">
        <f t="shared" si="128"/>
        <v/>
      </c>
      <c r="U2098" s="4" t="s">
        <v>3763</v>
      </c>
    </row>
    <row r="2099" spans="1:21" x14ac:dyDescent="0.3">
      <c r="A2099" t="s">
        <v>2710</v>
      </c>
      <c r="B2099" s="1" t="s">
        <v>28</v>
      </c>
      <c r="C2099" s="1" t="s">
        <v>29</v>
      </c>
      <c r="D2099" s="1" t="s">
        <v>13</v>
      </c>
      <c r="E2099" s="2">
        <v>42866</v>
      </c>
      <c r="F2099" s="2" t="b">
        <f t="shared" si="131"/>
        <v>1</v>
      </c>
      <c r="G2099" s="2">
        <f t="shared" si="129"/>
        <v>42866</v>
      </c>
      <c r="H2099" s="1" t="s">
        <v>41</v>
      </c>
      <c r="I2099" s="1" t="s">
        <v>335</v>
      </c>
      <c r="J2099" s="1">
        <v>30</v>
      </c>
      <c r="K2099" s="1">
        <v>28</v>
      </c>
      <c r="L2099" s="3">
        <v>6.6699999999999995E-2</v>
      </c>
      <c r="N2099" t="s">
        <v>3763</v>
      </c>
      <c r="S2099" s="4" t="e">
        <f t="shared" si="130"/>
        <v>#NUM!</v>
      </c>
      <c r="T2099" s="4" t="str">
        <f t="shared" si="128"/>
        <v/>
      </c>
      <c r="U2099" s="4" t="s">
        <v>3763</v>
      </c>
    </row>
    <row r="2100" spans="1:21" x14ac:dyDescent="0.3">
      <c r="A2100" t="s">
        <v>2711</v>
      </c>
      <c r="B2100" s="1" t="s">
        <v>107</v>
      </c>
      <c r="C2100" s="1" t="s">
        <v>108</v>
      </c>
      <c r="D2100" s="1" t="s">
        <v>19</v>
      </c>
      <c r="E2100" s="2" t="s">
        <v>3720</v>
      </c>
      <c r="F2100" s="2" t="b">
        <f t="shared" si="131"/>
        <v>0</v>
      </c>
      <c r="G2100" s="2">
        <f t="shared" si="129"/>
        <v>42416</v>
      </c>
      <c r="H2100" s="1" t="s">
        <v>61</v>
      </c>
      <c r="I2100" s="1" t="s">
        <v>354</v>
      </c>
      <c r="J2100" s="1">
        <v>1000</v>
      </c>
      <c r="K2100" s="1">
        <v>810</v>
      </c>
      <c r="L2100" s="3">
        <v>0.19</v>
      </c>
      <c r="N2100" t="s">
        <v>3720</v>
      </c>
      <c r="P2100">
        <v>2</v>
      </c>
      <c r="Q2100">
        <v>16</v>
      </c>
      <c r="R2100">
        <v>2016</v>
      </c>
      <c r="S2100" s="4">
        <f t="shared" si="130"/>
        <v>42416</v>
      </c>
      <c r="T2100" s="4">
        <f t="shared" si="128"/>
        <v>42416</v>
      </c>
      <c r="U2100" s="4">
        <v>42416</v>
      </c>
    </row>
    <row r="2101" spans="1:21" x14ac:dyDescent="0.3">
      <c r="A2101" t="s">
        <v>2712</v>
      </c>
      <c r="B2101" s="1" t="s">
        <v>221</v>
      </c>
      <c r="C2101" s="1" t="s">
        <v>40</v>
      </c>
      <c r="D2101" s="1" t="s">
        <v>35</v>
      </c>
      <c r="E2101" s="2" t="s">
        <v>3587</v>
      </c>
      <c r="F2101" s="2" t="b">
        <f t="shared" si="131"/>
        <v>0</v>
      </c>
      <c r="G2101" s="2">
        <f t="shared" si="129"/>
        <v>41939</v>
      </c>
      <c r="H2101" s="1" t="s">
        <v>25</v>
      </c>
      <c r="I2101" s="1" t="s">
        <v>2567</v>
      </c>
      <c r="J2101" s="1">
        <v>700</v>
      </c>
      <c r="K2101" s="1">
        <v>700</v>
      </c>
      <c r="L2101" s="3">
        <v>0</v>
      </c>
      <c r="N2101" t="s">
        <v>3587</v>
      </c>
      <c r="P2101">
        <v>10</v>
      </c>
      <c r="Q2101">
        <v>27</v>
      </c>
      <c r="R2101">
        <v>2014</v>
      </c>
      <c r="S2101" s="4">
        <f t="shared" si="130"/>
        <v>41939</v>
      </c>
      <c r="T2101" s="4">
        <f t="shared" si="128"/>
        <v>41939</v>
      </c>
      <c r="U2101" s="4">
        <v>41939</v>
      </c>
    </row>
    <row r="2102" spans="1:21" x14ac:dyDescent="0.3">
      <c r="A2102" t="s">
        <v>2713</v>
      </c>
      <c r="B2102" s="1" t="s">
        <v>182</v>
      </c>
      <c r="C2102" s="1" t="s">
        <v>108</v>
      </c>
      <c r="D2102" s="1" t="s">
        <v>19</v>
      </c>
      <c r="E2102" s="2" t="s">
        <v>3141</v>
      </c>
      <c r="F2102" s="2" t="b">
        <f t="shared" si="131"/>
        <v>0</v>
      </c>
      <c r="G2102" s="2">
        <f t="shared" si="129"/>
        <v>43360</v>
      </c>
      <c r="H2102" s="1" t="s">
        <v>36</v>
      </c>
      <c r="I2102" s="1" t="s">
        <v>203</v>
      </c>
      <c r="J2102" s="1">
        <v>50</v>
      </c>
      <c r="K2102" s="1">
        <v>48</v>
      </c>
      <c r="L2102" s="3">
        <v>0.04</v>
      </c>
      <c r="N2102" t="s">
        <v>3141</v>
      </c>
      <c r="P2102">
        <v>9</v>
      </c>
      <c r="Q2102">
        <v>17</v>
      </c>
      <c r="R2102">
        <v>2018</v>
      </c>
      <c r="S2102" s="4">
        <f t="shared" si="130"/>
        <v>43360</v>
      </c>
      <c r="T2102" s="4">
        <f t="shared" si="128"/>
        <v>43360</v>
      </c>
      <c r="U2102" s="4">
        <v>43360</v>
      </c>
    </row>
    <row r="2103" spans="1:21" x14ac:dyDescent="0.3">
      <c r="A2103" t="s">
        <v>2714</v>
      </c>
      <c r="B2103" s="1" t="s">
        <v>2243</v>
      </c>
      <c r="C2103" s="1" t="s">
        <v>108</v>
      </c>
      <c r="D2103" s="1" t="s">
        <v>19</v>
      </c>
      <c r="E2103" s="2" t="s">
        <v>3721</v>
      </c>
      <c r="F2103" s="2" t="b">
        <f t="shared" si="131"/>
        <v>0</v>
      </c>
      <c r="G2103" s="2">
        <f t="shared" si="129"/>
        <v>42596</v>
      </c>
      <c r="H2103" s="1" t="s">
        <v>122</v>
      </c>
      <c r="I2103" s="1" t="s">
        <v>2244</v>
      </c>
      <c r="J2103" s="1">
        <v>50</v>
      </c>
      <c r="K2103" s="1">
        <v>43</v>
      </c>
      <c r="L2103" s="3">
        <v>0.14000000000000001</v>
      </c>
      <c r="N2103" t="s">
        <v>3721</v>
      </c>
      <c r="P2103">
        <v>8</v>
      </c>
      <c r="Q2103">
        <v>14</v>
      </c>
      <c r="R2103">
        <v>2016</v>
      </c>
      <c r="S2103" s="4">
        <f t="shared" si="130"/>
        <v>42596</v>
      </c>
      <c r="T2103" s="4">
        <f t="shared" si="128"/>
        <v>42596</v>
      </c>
      <c r="U2103" s="4">
        <v>42596</v>
      </c>
    </row>
    <row r="2104" spans="1:21" x14ac:dyDescent="0.3">
      <c r="A2104" t="s">
        <v>2715</v>
      </c>
      <c r="B2104" s="1" t="s">
        <v>227</v>
      </c>
      <c r="C2104" s="1" t="s">
        <v>228</v>
      </c>
      <c r="D2104" s="1" t="s">
        <v>24</v>
      </c>
      <c r="E2104" s="2" t="s">
        <v>3722</v>
      </c>
      <c r="F2104" s="2" t="b">
        <f t="shared" si="131"/>
        <v>0</v>
      </c>
      <c r="G2104" s="2">
        <f t="shared" si="129"/>
        <v>42231</v>
      </c>
      <c r="H2104" s="1" t="s">
        <v>55</v>
      </c>
      <c r="I2104" s="1" t="s">
        <v>229</v>
      </c>
      <c r="J2104" s="1">
        <v>800</v>
      </c>
      <c r="K2104" s="1">
        <v>504</v>
      </c>
      <c r="L2104" s="3">
        <v>0.37</v>
      </c>
      <c r="N2104" t="s">
        <v>3722</v>
      </c>
      <c r="P2104">
        <v>8</v>
      </c>
      <c r="Q2104">
        <v>15</v>
      </c>
      <c r="R2104">
        <v>2015</v>
      </c>
      <c r="S2104" s="4">
        <f t="shared" si="130"/>
        <v>42231</v>
      </c>
      <c r="T2104" s="4">
        <f t="shared" si="128"/>
        <v>42231</v>
      </c>
      <c r="U2104" s="4">
        <v>42231</v>
      </c>
    </row>
    <row r="2105" spans="1:21" x14ac:dyDescent="0.3">
      <c r="A2105" t="s">
        <v>2716</v>
      </c>
      <c r="B2105" s="1" t="s">
        <v>118</v>
      </c>
      <c r="C2105" s="1" t="s">
        <v>119</v>
      </c>
      <c r="D2105" s="1" t="s">
        <v>35</v>
      </c>
      <c r="E2105" s="2">
        <v>43377</v>
      </c>
      <c r="F2105" s="2" t="b">
        <f t="shared" si="131"/>
        <v>1</v>
      </c>
      <c r="G2105" s="2">
        <f t="shared" si="129"/>
        <v>43377</v>
      </c>
      <c r="H2105" s="1" t="s">
        <v>14</v>
      </c>
      <c r="I2105" s="1" t="s">
        <v>1079</v>
      </c>
      <c r="J2105" s="1">
        <v>80</v>
      </c>
      <c r="K2105" s="1">
        <v>76</v>
      </c>
      <c r="L2105" s="3">
        <v>0.05</v>
      </c>
      <c r="N2105" t="s">
        <v>3763</v>
      </c>
      <c r="S2105" s="4" t="e">
        <f t="shared" si="130"/>
        <v>#NUM!</v>
      </c>
      <c r="T2105" s="4" t="str">
        <f t="shared" si="128"/>
        <v/>
      </c>
      <c r="U2105" s="4" t="s">
        <v>3763</v>
      </c>
    </row>
    <row r="2106" spans="1:21" x14ac:dyDescent="0.3">
      <c r="A2106" t="s">
        <v>2717</v>
      </c>
      <c r="B2106" s="1" t="s">
        <v>64</v>
      </c>
      <c r="C2106" s="1" t="s">
        <v>65</v>
      </c>
      <c r="D2106" s="1" t="s">
        <v>35</v>
      </c>
      <c r="E2106" s="2" t="s">
        <v>3723</v>
      </c>
      <c r="F2106" s="2" t="b">
        <f t="shared" si="131"/>
        <v>0</v>
      </c>
      <c r="G2106" s="2">
        <f t="shared" si="129"/>
        <v>42203</v>
      </c>
      <c r="H2106" s="1" t="s">
        <v>41</v>
      </c>
      <c r="I2106" s="1" t="s">
        <v>872</v>
      </c>
      <c r="J2106" s="1">
        <v>30</v>
      </c>
      <c r="K2106" s="1">
        <v>29</v>
      </c>
      <c r="L2106" s="3">
        <v>3.3300000000000003E-2</v>
      </c>
      <c r="N2106" t="s">
        <v>3723</v>
      </c>
      <c r="P2106">
        <v>7</v>
      </c>
      <c r="Q2106">
        <v>18</v>
      </c>
      <c r="R2106">
        <v>2015</v>
      </c>
      <c r="S2106" s="4">
        <f t="shared" si="130"/>
        <v>42203</v>
      </c>
      <c r="T2106" s="4">
        <f t="shared" si="128"/>
        <v>42203</v>
      </c>
      <c r="U2106" s="4">
        <v>42203</v>
      </c>
    </row>
    <row r="2107" spans="1:21" x14ac:dyDescent="0.3">
      <c r="A2107" t="s">
        <v>2718</v>
      </c>
      <c r="B2107" s="1" t="s">
        <v>134</v>
      </c>
      <c r="C2107" s="1" t="s">
        <v>92</v>
      </c>
      <c r="D2107" s="1" t="s">
        <v>35</v>
      </c>
      <c r="E2107" s="2" t="s">
        <v>3445</v>
      </c>
      <c r="F2107" s="2" t="b">
        <f t="shared" si="131"/>
        <v>0</v>
      </c>
      <c r="G2107" s="2">
        <f t="shared" si="129"/>
        <v>42083</v>
      </c>
      <c r="H2107" s="1" t="s">
        <v>25</v>
      </c>
      <c r="I2107" s="1" t="s">
        <v>374</v>
      </c>
      <c r="J2107" s="1">
        <v>700</v>
      </c>
      <c r="K2107" s="1">
        <v>644</v>
      </c>
      <c r="L2107" s="3">
        <v>0.08</v>
      </c>
      <c r="N2107" t="s">
        <v>3445</v>
      </c>
      <c r="P2107">
        <v>3</v>
      </c>
      <c r="Q2107">
        <v>20</v>
      </c>
      <c r="R2107">
        <v>2015</v>
      </c>
      <c r="S2107" s="4">
        <f t="shared" si="130"/>
        <v>42083</v>
      </c>
      <c r="T2107" s="4">
        <f t="shared" si="128"/>
        <v>42083</v>
      </c>
      <c r="U2107" s="4">
        <v>42083</v>
      </c>
    </row>
    <row r="2108" spans="1:21" x14ac:dyDescent="0.3">
      <c r="A2108" t="s">
        <v>2719</v>
      </c>
      <c r="B2108" s="1" t="s">
        <v>131</v>
      </c>
      <c r="C2108" s="1" t="s">
        <v>108</v>
      </c>
      <c r="D2108" s="1" t="s">
        <v>19</v>
      </c>
      <c r="E2108" s="2" t="s">
        <v>3339</v>
      </c>
      <c r="F2108" s="2" t="b">
        <f t="shared" si="131"/>
        <v>0</v>
      </c>
      <c r="G2108" s="2">
        <f t="shared" si="129"/>
        <v>43464</v>
      </c>
      <c r="H2108" s="1" t="s">
        <v>104</v>
      </c>
      <c r="I2108" s="1" t="s">
        <v>212</v>
      </c>
      <c r="J2108" s="1">
        <v>70</v>
      </c>
      <c r="K2108" s="1">
        <v>69</v>
      </c>
      <c r="L2108" s="3">
        <v>1.43E-2</v>
      </c>
      <c r="N2108" t="s">
        <v>3339</v>
      </c>
      <c r="P2108">
        <v>12</v>
      </c>
      <c r="Q2108">
        <v>30</v>
      </c>
      <c r="R2108">
        <v>2018</v>
      </c>
      <c r="S2108" s="4">
        <f t="shared" si="130"/>
        <v>43464</v>
      </c>
      <c r="T2108" s="4">
        <f t="shared" si="128"/>
        <v>43464</v>
      </c>
      <c r="U2108" s="4">
        <v>43464</v>
      </c>
    </row>
    <row r="2109" spans="1:21" x14ac:dyDescent="0.3">
      <c r="A2109" t="s">
        <v>2720</v>
      </c>
      <c r="B2109" s="1" t="s">
        <v>118</v>
      </c>
      <c r="C2109" s="1" t="s">
        <v>119</v>
      </c>
      <c r="D2109" s="1" t="s">
        <v>35</v>
      </c>
      <c r="E2109" s="2">
        <v>43346</v>
      </c>
      <c r="F2109" s="2" t="b">
        <f t="shared" si="131"/>
        <v>1</v>
      </c>
      <c r="G2109" s="2">
        <f t="shared" si="129"/>
        <v>43346</v>
      </c>
      <c r="H2109" s="1" t="s">
        <v>61</v>
      </c>
      <c r="I2109" s="1" t="s">
        <v>847</v>
      </c>
      <c r="J2109" s="1">
        <v>1000</v>
      </c>
      <c r="K2109" s="1">
        <v>780</v>
      </c>
      <c r="L2109" s="3">
        <v>0.22</v>
      </c>
      <c r="N2109" t="s">
        <v>3763</v>
      </c>
      <c r="S2109" s="4" t="e">
        <f t="shared" si="130"/>
        <v>#NUM!</v>
      </c>
      <c r="T2109" s="4" t="str">
        <f t="shared" si="128"/>
        <v/>
      </c>
      <c r="U2109" s="4" t="s">
        <v>3763</v>
      </c>
    </row>
    <row r="2110" spans="1:21" x14ac:dyDescent="0.3">
      <c r="A2110" t="s">
        <v>2721</v>
      </c>
      <c r="B2110" s="1" t="s">
        <v>103</v>
      </c>
      <c r="C2110" s="1" t="s">
        <v>71</v>
      </c>
      <c r="D2110" s="1" t="s">
        <v>35</v>
      </c>
      <c r="E2110" s="2" t="s">
        <v>3724</v>
      </c>
      <c r="F2110" s="2" t="b">
        <f t="shared" si="131"/>
        <v>0</v>
      </c>
      <c r="G2110" s="2">
        <f t="shared" si="129"/>
        <v>42455</v>
      </c>
      <c r="H2110" s="1" t="s">
        <v>122</v>
      </c>
      <c r="I2110" s="1" t="s">
        <v>105</v>
      </c>
      <c r="J2110" s="1">
        <v>50</v>
      </c>
      <c r="K2110" s="1">
        <v>45</v>
      </c>
      <c r="L2110" s="3">
        <v>0.1</v>
      </c>
      <c r="N2110" t="s">
        <v>3724</v>
      </c>
      <c r="P2110">
        <v>3</v>
      </c>
      <c r="Q2110">
        <v>26</v>
      </c>
      <c r="R2110">
        <v>2016</v>
      </c>
      <c r="S2110" s="4">
        <f t="shared" si="130"/>
        <v>42455</v>
      </c>
      <c r="T2110" s="4">
        <f t="shared" si="128"/>
        <v>42455</v>
      </c>
      <c r="U2110" s="4">
        <v>42455</v>
      </c>
    </row>
    <row r="2111" spans="1:21" x14ac:dyDescent="0.3">
      <c r="A2111" t="s">
        <v>2722</v>
      </c>
      <c r="B2111" s="1" t="s">
        <v>53</v>
      </c>
      <c r="C2111" s="1" t="s">
        <v>54</v>
      </c>
      <c r="D2111" s="1" t="s">
        <v>13</v>
      </c>
      <c r="E2111" s="2">
        <v>41889</v>
      </c>
      <c r="F2111" s="2" t="b">
        <f t="shared" si="131"/>
        <v>1</v>
      </c>
      <c r="G2111" s="2">
        <f t="shared" si="129"/>
        <v>41889</v>
      </c>
      <c r="H2111" s="1" t="s">
        <v>104</v>
      </c>
      <c r="I2111" s="1" t="s">
        <v>814</v>
      </c>
      <c r="J2111" s="1">
        <v>70</v>
      </c>
      <c r="K2111" s="1">
        <v>70</v>
      </c>
      <c r="L2111" s="3">
        <v>0</v>
      </c>
      <c r="N2111" t="s">
        <v>3763</v>
      </c>
      <c r="S2111" s="4" t="e">
        <f t="shared" si="130"/>
        <v>#NUM!</v>
      </c>
      <c r="T2111" s="4" t="str">
        <f t="shared" si="128"/>
        <v/>
      </c>
      <c r="U2111" s="4" t="s">
        <v>3763</v>
      </c>
    </row>
    <row r="2112" spans="1:21" x14ac:dyDescent="0.3">
      <c r="A2112" t="s">
        <v>2723</v>
      </c>
      <c r="B2112" s="1" t="s">
        <v>146</v>
      </c>
      <c r="C2112" s="1" t="s">
        <v>147</v>
      </c>
      <c r="D2112" s="1" t="s">
        <v>13</v>
      </c>
      <c r="E2112" s="2">
        <v>42187</v>
      </c>
      <c r="F2112" s="2" t="b">
        <f t="shared" si="131"/>
        <v>1</v>
      </c>
      <c r="G2112" s="2">
        <f t="shared" si="129"/>
        <v>42187</v>
      </c>
      <c r="H2112" s="1" t="s">
        <v>115</v>
      </c>
      <c r="I2112" s="1" t="s">
        <v>1318</v>
      </c>
      <c r="J2112" s="1">
        <v>250</v>
      </c>
      <c r="K2112" s="1">
        <v>225</v>
      </c>
      <c r="L2112" s="3">
        <v>0.1</v>
      </c>
      <c r="N2112" t="s">
        <v>3763</v>
      </c>
      <c r="S2112" s="4" t="e">
        <f t="shared" si="130"/>
        <v>#NUM!</v>
      </c>
      <c r="T2112" s="4" t="str">
        <f t="shared" si="128"/>
        <v/>
      </c>
      <c r="U2112" s="4" t="s">
        <v>3763</v>
      </c>
    </row>
    <row r="2113" spans="1:21" x14ac:dyDescent="0.3">
      <c r="A2113" t="s">
        <v>2724</v>
      </c>
      <c r="B2113" s="1" t="s">
        <v>77</v>
      </c>
      <c r="C2113" s="1" t="s">
        <v>78</v>
      </c>
      <c r="D2113" s="1" t="s">
        <v>35</v>
      </c>
      <c r="E2113" s="2" t="s">
        <v>3725</v>
      </c>
      <c r="F2113" s="2" t="b">
        <f t="shared" si="131"/>
        <v>0</v>
      </c>
      <c r="G2113" s="2">
        <f t="shared" si="129"/>
        <v>41661</v>
      </c>
      <c r="H2113" s="1" t="s">
        <v>115</v>
      </c>
      <c r="I2113" s="1" t="s">
        <v>2439</v>
      </c>
      <c r="J2113" s="1">
        <v>250</v>
      </c>
      <c r="K2113" s="1">
        <v>205</v>
      </c>
      <c r="L2113" s="3">
        <v>0.18</v>
      </c>
      <c r="N2113" t="s">
        <v>3725</v>
      </c>
      <c r="P2113">
        <v>1</v>
      </c>
      <c r="Q2113">
        <v>22</v>
      </c>
      <c r="R2113">
        <v>2014</v>
      </c>
      <c r="S2113" s="4">
        <f t="shared" si="130"/>
        <v>41661</v>
      </c>
      <c r="T2113" s="4">
        <f t="shared" si="128"/>
        <v>41661</v>
      </c>
      <c r="U2113" s="4">
        <v>41661</v>
      </c>
    </row>
    <row r="2114" spans="1:21" x14ac:dyDescent="0.3">
      <c r="A2114" t="s">
        <v>2725</v>
      </c>
      <c r="B2114" s="1" t="s">
        <v>134</v>
      </c>
      <c r="C2114" s="1" t="s">
        <v>92</v>
      </c>
      <c r="D2114" s="1" t="s">
        <v>35</v>
      </c>
      <c r="E2114" s="2" t="s">
        <v>3726</v>
      </c>
      <c r="F2114" s="2" t="b">
        <f t="shared" si="131"/>
        <v>0</v>
      </c>
      <c r="G2114" s="2">
        <f t="shared" si="129"/>
        <v>42606</v>
      </c>
      <c r="H2114" s="1" t="s">
        <v>30</v>
      </c>
      <c r="I2114" s="1" t="s">
        <v>702</v>
      </c>
      <c r="J2114" s="1">
        <v>150</v>
      </c>
      <c r="K2114" s="1">
        <v>131</v>
      </c>
      <c r="L2114" s="3">
        <v>0.12670000000000001</v>
      </c>
      <c r="N2114" t="s">
        <v>3726</v>
      </c>
      <c r="P2114">
        <v>8</v>
      </c>
      <c r="Q2114">
        <v>24</v>
      </c>
      <c r="R2114">
        <v>2016</v>
      </c>
      <c r="S2114" s="4">
        <f t="shared" si="130"/>
        <v>42606</v>
      </c>
      <c r="T2114" s="4">
        <f t="shared" si="128"/>
        <v>42606</v>
      </c>
      <c r="U2114" s="4">
        <v>42606</v>
      </c>
    </row>
    <row r="2115" spans="1:21" x14ac:dyDescent="0.3">
      <c r="A2115" t="s">
        <v>2726</v>
      </c>
      <c r="B2115" s="1" t="s">
        <v>103</v>
      </c>
      <c r="C2115" s="1" t="s">
        <v>71</v>
      </c>
      <c r="D2115" s="1" t="s">
        <v>35</v>
      </c>
      <c r="E2115" s="2" t="s">
        <v>3727</v>
      </c>
      <c r="F2115" s="2" t="b">
        <f t="shared" si="131"/>
        <v>0</v>
      </c>
      <c r="G2115" s="2">
        <f t="shared" si="129"/>
        <v>41788</v>
      </c>
      <c r="H2115" s="1" t="s">
        <v>41</v>
      </c>
      <c r="I2115" s="1" t="s">
        <v>105</v>
      </c>
      <c r="J2115" s="1">
        <v>30</v>
      </c>
      <c r="K2115" s="1">
        <v>23</v>
      </c>
      <c r="L2115" s="3">
        <v>0.23330000000000001</v>
      </c>
      <c r="N2115" t="s">
        <v>3727</v>
      </c>
      <c r="P2115">
        <v>5</v>
      </c>
      <c r="Q2115">
        <v>29</v>
      </c>
      <c r="R2115">
        <v>2014</v>
      </c>
      <c r="S2115" s="4">
        <f t="shared" si="130"/>
        <v>41788</v>
      </c>
      <c r="T2115" s="4">
        <f t="shared" ref="T2115:T2178" si="132">IF(AND(P2115&lt;&gt;"",Q2115&lt;&gt;"",R2115&lt;&gt;""),IFERROR(DATE(R2115,P2115,Q2115),""),"")</f>
        <v>41788</v>
      </c>
      <c r="U2115" s="4">
        <v>41788</v>
      </c>
    </row>
    <row r="2116" spans="1:21" x14ac:dyDescent="0.3">
      <c r="A2116" t="s">
        <v>2727</v>
      </c>
      <c r="B2116" s="1" t="s">
        <v>64</v>
      </c>
      <c r="C2116" s="1" t="s">
        <v>65</v>
      </c>
      <c r="D2116" s="1" t="s">
        <v>35</v>
      </c>
      <c r="E2116" s="2" t="s">
        <v>3543</v>
      </c>
      <c r="F2116" s="2" t="b">
        <f t="shared" si="131"/>
        <v>0</v>
      </c>
      <c r="G2116" s="2">
        <f t="shared" ref="G2116:G2179" si="133">IF(F2116=TRUE,E2116,U2116)</f>
        <v>42969</v>
      </c>
      <c r="H2116" s="1" t="s">
        <v>30</v>
      </c>
      <c r="I2116" s="1" t="s">
        <v>2469</v>
      </c>
      <c r="J2116" s="1">
        <v>150</v>
      </c>
      <c r="K2116" s="1">
        <v>150</v>
      </c>
      <c r="L2116" s="3">
        <v>0</v>
      </c>
      <c r="N2116" t="s">
        <v>3543</v>
      </c>
      <c r="P2116">
        <v>8</v>
      </c>
      <c r="Q2116">
        <v>22</v>
      </c>
      <c r="R2116">
        <v>2017</v>
      </c>
      <c r="S2116" s="4">
        <f t="shared" ref="S2116:S2179" si="134">DATE(R2116,P2116,Q2116)</f>
        <v>42969</v>
      </c>
      <c r="T2116" s="4">
        <f t="shared" si="132"/>
        <v>42969</v>
      </c>
      <c r="U2116" s="4">
        <v>42969</v>
      </c>
    </row>
    <row r="2117" spans="1:21" x14ac:dyDescent="0.3">
      <c r="A2117" t="s">
        <v>2728</v>
      </c>
      <c r="B2117" s="1" t="s">
        <v>85</v>
      </c>
      <c r="C2117" s="1" t="s">
        <v>86</v>
      </c>
      <c r="D2117" s="1" t="s">
        <v>13</v>
      </c>
      <c r="E2117" s="2" t="s">
        <v>3694</v>
      </c>
      <c r="F2117" s="2" t="b">
        <f t="shared" ref="F2117:F2180" si="135">ISNUMBER(E2117)</f>
        <v>0</v>
      </c>
      <c r="G2117" s="2">
        <f t="shared" si="133"/>
        <v>42998</v>
      </c>
      <c r="H2117" s="1" t="s">
        <v>104</v>
      </c>
      <c r="I2117" s="1" t="s">
        <v>581</v>
      </c>
      <c r="J2117" s="1">
        <v>70</v>
      </c>
      <c r="K2117" s="1">
        <v>69</v>
      </c>
      <c r="L2117" s="3">
        <v>1.43E-2</v>
      </c>
      <c r="N2117" t="s">
        <v>3694</v>
      </c>
      <c r="P2117">
        <v>9</v>
      </c>
      <c r="Q2117">
        <v>20</v>
      </c>
      <c r="R2117">
        <v>2017</v>
      </c>
      <c r="S2117" s="4">
        <f t="shared" si="134"/>
        <v>42998</v>
      </c>
      <c r="T2117" s="4">
        <f t="shared" si="132"/>
        <v>42998</v>
      </c>
      <c r="U2117" s="4">
        <v>42998</v>
      </c>
    </row>
    <row r="2118" spans="1:21" x14ac:dyDescent="0.3">
      <c r="A2118" t="s">
        <v>2729</v>
      </c>
      <c r="B2118" s="1" t="s">
        <v>70</v>
      </c>
      <c r="C2118" s="1" t="s">
        <v>71</v>
      </c>
      <c r="D2118" s="1" t="s">
        <v>35</v>
      </c>
      <c r="E2118" s="2" t="s">
        <v>3454</v>
      </c>
      <c r="F2118" s="2" t="b">
        <f t="shared" si="135"/>
        <v>0</v>
      </c>
      <c r="G2118" s="2">
        <f t="shared" si="133"/>
        <v>43182</v>
      </c>
      <c r="H2118" s="1" t="s">
        <v>30</v>
      </c>
      <c r="I2118" s="1" t="s">
        <v>1414</v>
      </c>
      <c r="J2118" s="1">
        <v>150</v>
      </c>
      <c r="K2118" s="1">
        <v>128</v>
      </c>
      <c r="L2118" s="3">
        <v>0.1467</v>
      </c>
      <c r="N2118" t="s">
        <v>3454</v>
      </c>
      <c r="P2118">
        <v>3</v>
      </c>
      <c r="Q2118">
        <v>23</v>
      </c>
      <c r="R2118">
        <v>2018</v>
      </c>
      <c r="S2118" s="4">
        <f t="shared" si="134"/>
        <v>43182</v>
      </c>
      <c r="T2118" s="4">
        <f t="shared" si="132"/>
        <v>43182</v>
      </c>
      <c r="U2118" s="4">
        <v>43182</v>
      </c>
    </row>
    <row r="2119" spans="1:21" x14ac:dyDescent="0.3">
      <c r="A2119" t="s">
        <v>2730</v>
      </c>
      <c r="B2119" s="1" t="s">
        <v>241</v>
      </c>
      <c r="C2119" s="1" t="s">
        <v>242</v>
      </c>
      <c r="D2119" s="1" t="s">
        <v>13</v>
      </c>
      <c r="E2119" s="2" t="s">
        <v>3509</v>
      </c>
      <c r="F2119" s="2" t="b">
        <f t="shared" si="135"/>
        <v>0</v>
      </c>
      <c r="G2119" s="2">
        <f t="shared" si="133"/>
        <v>43008</v>
      </c>
      <c r="H2119" s="1" t="s">
        <v>122</v>
      </c>
      <c r="I2119" s="1" t="s">
        <v>626</v>
      </c>
      <c r="J2119" s="1">
        <v>50</v>
      </c>
      <c r="K2119" s="1">
        <v>49</v>
      </c>
      <c r="L2119" s="3">
        <v>0.02</v>
      </c>
      <c r="N2119" t="s">
        <v>3509</v>
      </c>
      <c r="P2119">
        <v>9</v>
      </c>
      <c r="Q2119">
        <v>30</v>
      </c>
      <c r="R2119">
        <v>2017</v>
      </c>
      <c r="S2119" s="4">
        <f t="shared" si="134"/>
        <v>43008</v>
      </c>
      <c r="T2119" s="4">
        <f t="shared" si="132"/>
        <v>43008</v>
      </c>
      <c r="U2119" s="4">
        <v>43008</v>
      </c>
    </row>
    <row r="2120" spans="1:21" x14ac:dyDescent="0.3">
      <c r="A2120" t="s">
        <v>2731</v>
      </c>
      <c r="B2120" s="1" t="s">
        <v>241</v>
      </c>
      <c r="C2120" s="1" t="s">
        <v>242</v>
      </c>
      <c r="D2120" s="1" t="s">
        <v>13</v>
      </c>
      <c r="E2120" s="2">
        <v>42710</v>
      </c>
      <c r="F2120" s="2" t="b">
        <f t="shared" si="135"/>
        <v>1</v>
      </c>
      <c r="G2120" s="2">
        <f t="shared" si="133"/>
        <v>42710</v>
      </c>
      <c r="H2120" s="1" t="s">
        <v>14</v>
      </c>
      <c r="I2120" s="1" t="s">
        <v>520</v>
      </c>
      <c r="J2120" s="1">
        <v>80</v>
      </c>
      <c r="K2120" s="1">
        <v>70</v>
      </c>
      <c r="L2120" s="3">
        <v>0.125</v>
      </c>
      <c r="N2120" t="s">
        <v>3763</v>
      </c>
      <c r="S2120" s="4" t="e">
        <f t="shared" si="134"/>
        <v>#NUM!</v>
      </c>
      <c r="T2120" s="4" t="str">
        <f t="shared" si="132"/>
        <v/>
      </c>
      <c r="U2120" s="4" t="s">
        <v>3763</v>
      </c>
    </row>
    <row r="2121" spans="1:21" x14ac:dyDescent="0.3">
      <c r="A2121" t="s">
        <v>2732</v>
      </c>
      <c r="B2121" s="1" t="s">
        <v>118</v>
      </c>
      <c r="C2121" s="1" t="s">
        <v>119</v>
      </c>
      <c r="D2121" s="1" t="s">
        <v>35</v>
      </c>
      <c r="E2121" s="2">
        <v>43168</v>
      </c>
      <c r="F2121" s="2" t="b">
        <f t="shared" si="135"/>
        <v>1</v>
      </c>
      <c r="G2121" s="2">
        <f t="shared" si="133"/>
        <v>43168</v>
      </c>
      <c r="H2121" s="1" t="s">
        <v>14</v>
      </c>
      <c r="I2121" s="1" t="s">
        <v>909</v>
      </c>
      <c r="J2121" s="1">
        <v>80</v>
      </c>
      <c r="K2121" s="1">
        <v>80</v>
      </c>
      <c r="L2121" s="3">
        <v>0</v>
      </c>
      <c r="N2121" t="s">
        <v>3763</v>
      </c>
      <c r="S2121" s="4" t="e">
        <f t="shared" si="134"/>
        <v>#NUM!</v>
      </c>
      <c r="T2121" s="4" t="str">
        <f t="shared" si="132"/>
        <v/>
      </c>
      <c r="U2121" s="4" t="s">
        <v>3763</v>
      </c>
    </row>
    <row r="2122" spans="1:21" x14ac:dyDescent="0.3">
      <c r="A2122" t="s">
        <v>2733</v>
      </c>
      <c r="B2122" s="1" t="s">
        <v>187</v>
      </c>
      <c r="C2122" s="1" t="s">
        <v>188</v>
      </c>
      <c r="D2122" s="1" t="s">
        <v>13</v>
      </c>
      <c r="E2122" s="2" t="s">
        <v>3728</v>
      </c>
      <c r="F2122" s="2" t="b">
        <f t="shared" si="135"/>
        <v>0</v>
      </c>
      <c r="G2122" s="2">
        <f t="shared" si="133"/>
        <v>42674</v>
      </c>
      <c r="H2122" s="1" t="s">
        <v>61</v>
      </c>
      <c r="I2122" s="1" t="s">
        <v>189</v>
      </c>
      <c r="J2122" s="1">
        <v>1000</v>
      </c>
      <c r="K2122" s="1">
        <v>870</v>
      </c>
      <c r="L2122" s="3">
        <v>0.13</v>
      </c>
      <c r="N2122" t="s">
        <v>3728</v>
      </c>
      <c r="P2122">
        <v>10</v>
      </c>
      <c r="Q2122">
        <v>31</v>
      </c>
      <c r="R2122">
        <v>2016</v>
      </c>
      <c r="S2122" s="4">
        <f t="shared" si="134"/>
        <v>42674</v>
      </c>
      <c r="T2122" s="4">
        <f t="shared" si="132"/>
        <v>42674</v>
      </c>
      <c r="U2122" s="4">
        <v>42674</v>
      </c>
    </row>
    <row r="2123" spans="1:21" x14ac:dyDescent="0.3">
      <c r="A2123" t="s">
        <v>2734</v>
      </c>
      <c r="B2123" s="1" t="s">
        <v>111</v>
      </c>
      <c r="C2123" s="1" t="s">
        <v>82</v>
      </c>
      <c r="D2123" s="1" t="s">
        <v>13</v>
      </c>
      <c r="E2123" s="2" t="s">
        <v>3729</v>
      </c>
      <c r="F2123" s="2" t="b">
        <f t="shared" si="135"/>
        <v>0</v>
      </c>
      <c r="G2123" s="2">
        <f t="shared" si="133"/>
        <v>41752</v>
      </c>
      <c r="H2123" s="1" t="s">
        <v>122</v>
      </c>
      <c r="I2123" s="1" t="s">
        <v>1218</v>
      </c>
      <c r="J2123" s="1">
        <v>50</v>
      </c>
      <c r="K2123" s="1">
        <v>39</v>
      </c>
      <c r="L2123" s="3">
        <v>0.22</v>
      </c>
      <c r="N2123" t="s">
        <v>3729</v>
      </c>
      <c r="P2123">
        <v>4</v>
      </c>
      <c r="Q2123">
        <v>23</v>
      </c>
      <c r="R2123">
        <v>2014</v>
      </c>
      <c r="S2123" s="4">
        <f t="shared" si="134"/>
        <v>41752</v>
      </c>
      <c r="T2123" s="4">
        <f t="shared" si="132"/>
        <v>41752</v>
      </c>
      <c r="U2123" s="4">
        <v>41752</v>
      </c>
    </row>
    <row r="2124" spans="1:21" x14ac:dyDescent="0.3">
      <c r="A2124" t="s">
        <v>2735</v>
      </c>
      <c r="B2124" s="1" t="s">
        <v>255</v>
      </c>
      <c r="C2124" s="1" t="s">
        <v>256</v>
      </c>
      <c r="D2124" s="1" t="s">
        <v>13</v>
      </c>
      <c r="E2124" s="2">
        <v>42956</v>
      </c>
      <c r="F2124" s="2" t="b">
        <f t="shared" si="135"/>
        <v>1</v>
      </c>
      <c r="G2124" s="2">
        <f t="shared" si="133"/>
        <v>42956</v>
      </c>
      <c r="H2124" s="1" t="s">
        <v>30</v>
      </c>
      <c r="I2124" s="1" t="s">
        <v>522</v>
      </c>
      <c r="J2124" s="1">
        <v>150</v>
      </c>
      <c r="K2124" s="1">
        <v>138</v>
      </c>
      <c r="L2124" s="3">
        <v>0.08</v>
      </c>
      <c r="N2124" t="s">
        <v>3763</v>
      </c>
      <c r="S2124" s="4" t="e">
        <f t="shared" si="134"/>
        <v>#NUM!</v>
      </c>
      <c r="T2124" s="4" t="str">
        <f t="shared" si="132"/>
        <v/>
      </c>
      <c r="U2124" s="4" t="s">
        <v>3763</v>
      </c>
    </row>
    <row r="2125" spans="1:21" x14ac:dyDescent="0.3">
      <c r="A2125" t="s">
        <v>2736</v>
      </c>
      <c r="B2125" s="1" t="s">
        <v>28</v>
      </c>
      <c r="C2125" s="1" t="s">
        <v>29</v>
      </c>
      <c r="D2125" s="1" t="s">
        <v>13</v>
      </c>
      <c r="E2125" s="2">
        <v>43012</v>
      </c>
      <c r="F2125" s="2" t="b">
        <f t="shared" si="135"/>
        <v>1</v>
      </c>
      <c r="G2125" s="2">
        <f t="shared" si="133"/>
        <v>43012</v>
      </c>
      <c r="H2125" s="1" t="s">
        <v>14</v>
      </c>
      <c r="I2125" s="1" t="s">
        <v>445</v>
      </c>
      <c r="J2125" s="1">
        <v>80</v>
      </c>
      <c r="K2125" s="1">
        <v>75</v>
      </c>
      <c r="L2125" s="3">
        <v>6.25E-2</v>
      </c>
      <c r="N2125" t="s">
        <v>3763</v>
      </c>
      <c r="S2125" s="4" t="e">
        <f t="shared" si="134"/>
        <v>#NUM!</v>
      </c>
      <c r="T2125" s="4" t="str">
        <f t="shared" si="132"/>
        <v/>
      </c>
      <c r="U2125" s="4" t="s">
        <v>3763</v>
      </c>
    </row>
    <row r="2126" spans="1:21" x14ac:dyDescent="0.3">
      <c r="A2126" t="s">
        <v>2737</v>
      </c>
      <c r="B2126" s="1" t="s">
        <v>114</v>
      </c>
      <c r="C2126" s="1" t="s">
        <v>54</v>
      </c>
      <c r="D2126" s="1" t="s">
        <v>13</v>
      </c>
      <c r="E2126" s="2">
        <v>41884</v>
      </c>
      <c r="F2126" s="2" t="b">
        <f t="shared" si="135"/>
        <v>1</v>
      </c>
      <c r="G2126" s="2">
        <f t="shared" si="133"/>
        <v>41884</v>
      </c>
      <c r="H2126" s="1" t="s">
        <v>41</v>
      </c>
      <c r="I2126" s="1" t="s">
        <v>1221</v>
      </c>
      <c r="J2126" s="1">
        <v>30</v>
      </c>
      <c r="K2126" s="1">
        <v>29</v>
      </c>
      <c r="L2126" s="3">
        <v>3.3300000000000003E-2</v>
      </c>
      <c r="N2126" t="s">
        <v>3763</v>
      </c>
      <c r="S2126" s="4" t="e">
        <f t="shared" si="134"/>
        <v>#NUM!</v>
      </c>
      <c r="T2126" s="4" t="str">
        <f t="shared" si="132"/>
        <v/>
      </c>
      <c r="U2126" s="4" t="s">
        <v>3763</v>
      </c>
    </row>
    <row r="2127" spans="1:21" x14ac:dyDescent="0.3">
      <c r="A2127" t="s">
        <v>2738</v>
      </c>
      <c r="B2127" s="1" t="s">
        <v>28</v>
      </c>
      <c r="C2127" s="1" t="s">
        <v>29</v>
      </c>
      <c r="D2127" s="1" t="s">
        <v>13</v>
      </c>
      <c r="E2127" s="2">
        <v>42624</v>
      </c>
      <c r="F2127" s="2" t="b">
        <f t="shared" si="135"/>
        <v>1</v>
      </c>
      <c r="G2127" s="2">
        <f t="shared" si="133"/>
        <v>42624</v>
      </c>
      <c r="H2127" s="1" t="s">
        <v>104</v>
      </c>
      <c r="I2127" s="1" t="s">
        <v>1743</v>
      </c>
      <c r="J2127" s="1">
        <v>70</v>
      </c>
      <c r="K2127" s="1">
        <v>65</v>
      </c>
      <c r="L2127" s="3">
        <v>7.1400000000000005E-2</v>
      </c>
      <c r="N2127" t="s">
        <v>3763</v>
      </c>
      <c r="S2127" s="4" t="e">
        <f t="shared" si="134"/>
        <v>#NUM!</v>
      </c>
      <c r="T2127" s="4" t="str">
        <f t="shared" si="132"/>
        <v/>
      </c>
      <c r="U2127" s="4" t="s">
        <v>3763</v>
      </c>
    </row>
    <row r="2128" spans="1:21" x14ac:dyDescent="0.3">
      <c r="A2128" t="s">
        <v>2739</v>
      </c>
      <c r="B2128" s="1" t="s">
        <v>111</v>
      </c>
      <c r="C2128" s="1" t="s">
        <v>82</v>
      </c>
      <c r="D2128" s="1" t="s">
        <v>13</v>
      </c>
      <c r="E2128" s="2">
        <v>42312</v>
      </c>
      <c r="F2128" s="2" t="b">
        <f t="shared" si="135"/>
        <v>1</v>
      </c>
      <c r="G2128" s="2">
        <f t="shared" si="133"/>
        <v>42312</v>
      </c>
      <c r="H2128" s="1" t="s">
        <v>122</v>
      </c>
      <c r="I2128" s="1" t="s">
        <v>112</v>
      </c>
      <c r="J2128" s="1">
        <v>50</v>
      </c>
      <c r="K2128" s="1">
        <v>47</v>
      </c>
      <c r="L2128" s="3">
        <v>0.06</v>
      </c>
      <c r="N2128" t="s">
        <v>3763</v>
      </c>
      <c r="S2128" s="4" t="e">
        <f t="shared" si="134"/>
        <v>#NUM!</v>
      </c>
      <c r="T2128" s="4" t="str">
        <f t="shared" si="132"/>
        <v/>
      </c>
      <c r="U2128" s="4" t="s">
        <v>3763</v>
      </c>
    </row>
    <row r="2129" spans="1:21" x14ac:dyDescent="0.3">
      <c r="A2129" t="s">
        <v>2740</v>
      </c>
      <c r="B2129" s="1" t="s">
        <v>2170</v>
      </c>
      <c r="C2129" s="1" t="s">
        <v>18</v>
      </c>
      <c r="D2129" s="1" t="s">
        <v>19</v>
      </c>
      <c r="E2129" s="2" t="s">
        <v>3585</v>
      </c>
      <c r="F2129" s="2" t="b">
        <f t="shared" si="135"/>
        <v>0</v>
      </c>
      <c r="G2129" s="2">
        <f t="shared" si="133"/>
        <v>43271</v>
      </c>
      <c r="H2129" s="1" t="s">
        <v>30</v>
      </c>
      <c r="I2129" s="1" t="s">
        <v>2457</v>
      </c>
      <c r="J2129" s="1">
        <v>150</v>
      </c>
      <c r="K2129" s="1">
        <v>140</v>
      </c>
      <c r="L2129" s="3">
        <v>6.6699999999999995E-2</v>
      </c>
      <c r="N2129" t="s">
        <v>3585</v>
      </c>
      <c r="P2129">
        <v>6</v>
      </c>
      <c r="Q2129">
        <v>20</v>
      </c>
      <c r="R2129">
        <v>2018</v>
      </c>
      <c r="S2129" s="4">
        <f t="shared" si="134"/>
        <v>43271</v>
      </c>
      <c r="T2129" s="4">
        <f t="shared" si="132"/>
        <v>43271</v>
      </c>
      <c r="U2129" s="4">
        <v>43271</v>
      </c>
    </row>
    <row r="2130" spans="1:21" x14ac:dyDescent="0.3">
      <c r="A2130" t="s">
        <v>2741</v>
      </c>
      <c r="B2130" s="1" t="s">
        <v>22</v>
      </c>
      <c r="C2130" s="1" t="s">
        <v>23</v>
      </c>
      <c r="D2130" s="1" t="s">
        <v>24</v>
      </c>
      <c r="E2130" s="2" t="s">
        <v>3000</v>
      </c>
      <c r="F2130" s="2" t="b">
        <f t="shared" si="135"/>
        <v>0</v>
      </c>
      <c r="G2130" s="2">
        <f t="shared" si="133"/>
        <v>42783</v>
      </c>
      <c r="H2130" s="1" t="s">
        <v>115</v>
      </c>
      <c r="I2130" s="1" t="s">
        <v>483</v>
      </c>
      <c r="J2130" s="1">
        <v>250</v>
      </c>
      <c r="K2130" s="1">
        <v>228</v>
      </c>
      <c r="L2130" s="3">
        <v>8.7999999999999995E-2</v>
      </c>
      <c r="N2130" t="s">
        <v>3000</v>
      </c>
      <c r="P2130">
        <v>2</v>
      </c>
      <c r="Q2130">
        <v>17</v>
      </c>
      <c r="R2130">
        <v>2017</v>
      </c>
      <c r="S2130" s="4">
        <f t="shared" si="134"/>
        <v>42783</v>
      </c>
      <c r="T2130" s="4">
        <f t="shared" si="132"/>
        <v>42783</v>
      </c>
      <c r="U2130" s="4">
        <v>42783</v>
      </c>
    </row>
    <row r="2131" spans="1:21" x14ac:dyDescent="0.3">
      <c r="A2131" t="s">
        <v>2742</v>
      </c>
      <c r="B2131" s="1" t="s">
        <v>124</v>
      </c>
      <c r="C2131" s="1" t="s">
        <v>40</v>
      </c>
      <c r="D2131" s="1" t="s">
        <v>35</v>
      </c>
      <c r="E2131" s="2" t="s">
        <v>3730</v>
      </c>
      <c r="F2131" s="2" t="b">
        <f t="shared" si="135"/>
        <v>0</v>
      </c>
      <c r="G2131" s="2">
        <f t="shared" si="133"/>
        <v>41712</v>
      </c>
      <c r="H2131" s="1" t="s">
        <v>104</v>
      </c>
      <c r="I2131" s="1" t="s">
        <v>125</v>
      </c>
      <c r="J2131" s="1">
        <v>70</v>
      </c>
      <c r="K2131" s="1">
        <v>50</v>
      </c>
      <c r="L2131" s="3">
        <v>0.28570000000000001</v>
      </c>
      <c r="N2131" t="s">
        <v>3730</v>
      </c>
      <c r="P2131">
        <v>3</v>
      </c>
      <c r="Q2131">
        <v>14</v>
      </c>
      <c r="R2131">
        <v>2014</v>
      </c>
      <c r="S2131" s="4">
        <f t="shared" si="134"/>
        <v>41712</v>
      </c>
      <c r="T2131" s="4">
        <f t="shared" si="132"/>
        <v>41712</v>
      </c>
      <c r="U2131" s="4">
        <v>41712</v>
      </c>
    </row>
    <row r="2132" spans="1:21" x14ac:dyDescent="0.3">
      <c r="A2132" t="s">
        <v>2743</v>
      </c>
      <c r="B2132" s="1" t="s">
        <v>91</v>
      </c>
      <c r="C2132" s="1" t="s">
        <v>92</v>
      </c>
      <c r="D2132" s="1" t="s">
        <v>35</v>
      </c>
      <c r="E2132" s="2">
        <v>42378</v>
      </c>
      <c r="F2132" s="2" t="b">
        <f t="shared" si="135"/>
        <v>1</v>
      </c>
      <c r="G2132" s="2">
        <f t="shared" si="133"/>
        <v>42378</v>
      </c>
      <c r="H2132" s="1" t="s">
        <v>55</v>
      </c>
      <c r="I2132" s="1" t="s">
        <v>344</v>
      </c>
      <c r="J2132" s="1">
        <v>800</v>
      </c>
      <c r="K2132" s="1">
        <v>768</v>
      </c>
      <c r="L2132" s="3">
        <v>0.04</v>
      </c>
      <c r="N2132" t="s">
        <v>3763</v>
      </c>
      <c r="S2132" s="4" t="e">
        <f t="shared" si="134"/>
        <v>#NUM!</v>
      </c>
      <c r="T2132" s="4" t="str">
        <f t="shared" si="132"/>
        <v/>
      </c>
      <c r="U2132" s="4" t="s">
        <v>3763</v>
      </c>
    </row>
    <row r="2133" spans="1:21" x14ac:dyDescent="0.3">
      <c r="A2133" t="s">
        <v>2744</v>
      </c>
      <c r="B2133" s="1" t="s">
        <v>157</v>
      </c>
      <c r="C2133" s="1" t="s">
        <v>108</v>
      </c>
      <c r="D2133" s="1" t="s">
        <v>19</v>
      </c>
      <c r="E2133" s="2" t="s">
        <v>3397</v>
      </c>
      <c r="F2133" s="2" t="b">
        <f t="shared" si="135"/>
        <v>0</v>
      </c>
      <c r="G2133" s="2">
        <f t="shared" si="133"/>
        <v>41873</v>
      </c>
      <c r="H2133" s="1" t="s">
        <v>61</v>
      </c>
      <c r="I2133" s="1" t="s">
        <v>158</v>
      </c>
      <c r="J2133" s="1">
        <v>1000</v>
      </c>
      <c r="K2133" s="1">
        <v>590</v>
      </c>
      <c r="L2133" s="3">
        <v>0.41</v>
      </c>
      <c r="N2133" t="s">
        <v>3397</v>
      </c>
      <c r="P2133">
        <v>8</v>
      </c>
      <c r="Q2133">
        <v>22</v>
      </c>
      <c r="R2133">
        <v>2014</v>
      </c>
      <c r="S2133" s="4">
        <f t="shared" si="134"/>
        <v>41873</v>
      </c>
      <c r="T2133" s="4">
        <f t="shared" si="132"/>
        <v>41873</v>
      </c>
      <c r="U2133" s="4">
        <v>41873</v>
      </c>
    </row>
    <row r="2134" spans="1:21" x14ac:dyDescent="0.3">
      <c r="A2134" t="s">
        <v>2745</v>
      </c>
      <c r="B2134" s="1" t="s">
        <v>264</v>
      </c>
      <c r="C2134" s="1" t="s">
        <v>265</v>
      </c>
      <c r="D2134" s="1" t="s">
        <v>13</v>
      </c>
      <c r="E2134" s="2">
        <v>42649</v>
      </c>
      <c r="F2134" s="2" t="b">
        <f t="shared" si="135"/>
        <v>1</v>
      </c>
      <c r="G2134" s="2">
        <f t="shared" si="133"/>
        <v>42649</v>
      </c>
      <c r="H2134" s="1" t="s">
        <v>36</v>
      </c>
      <c r="I2134" s="1" t="s">
        <v>599</v>
      </c>
      <c r="J2134" s="1">
        <v>50</v>
      </c>
      <c r="K2134" s="1">
        <v>50</v>
      </c>
      <c r="L2134" s="3">
        <v>0</v>
      </c>
      <c r="N2134" t="s">
        <v>3763</v>
      </c>
      <c r="S2134" s="4" t="e">
        <f t="shared" si="134"/>
        <v>#NUM!</v>
      </c>
      <c r="T2134" s="4" t="str">
        <f t="shared" si="132"/>
        <v/>
      </c>
      <c r="U2134" s="4" t="s">
        <v>3763</v>
      </c>
    </row>
    <row r="2135" spans="1:21" x14ac:dyDescent="0.3">
      <c r="A2135" t="s">
        <v>2746</v>
      </c>
      <c r="B2135" s="1" t="s">
        <v>11</v>
      </c>
      <c r="C2135" s="1" t="s">
        <v>12</v>
      </c>
      <c r="D2135" s="1" t="s">
        <v>13</v>
      </c>
      <c r="E2135" s="2" t="s">
        <v>3731</v>
      </c>
      <c r="F2135" s="2" t="b">
        <f t="shared" si="135"/>
        <v>0</v>
      </c>
      <c r="G2135" s="2">
        <f t="shared" si="133"/>
        <v>42018</v>
      </c>
      <c r="H2135" s="1" t="s">
        <v>55</v>
      </c>
      <c r="I2135" s="1" t="s">
        <v>1159</v>
      </c>
      <c r="J2135" s="1">
        <v>800</v>
      </c>
      <c r="K2135" s="1">
        <v>776</v>
      </c>
      <c r="L2135" s="3">
        <v>0.03</v>
      </c>
      <c r="N2135" t="s">
        <v>3731</v>
      </c>
      <c r="P2135">
        <v>1</v>
      </c>
      <c r="Q2135">
        <v>14</v>
      </c>
      <c r="R2135">
        <v>2015</v>
      </c>
      <c r="S2135" s="4">
        <f t="shared" si="134"/>
        <v>42018</v>
      </c>
      <c r="T2135" s="4">
        <f t="shared" si="132"/>
        <v>42018</v>
      </c>
      <c r="U2135" s="4">
        <v>42018</v>
      </c>
    </row>
    <row r="2136" spans="1:21" x14ac:dyDescent="0.3">
      <c r="A2136" t="s">
        <v>2747</v>
      </c>
      <c r="B2136" s="1" t="s">
        <v>221</v>
      </c>
      <c r="C2136" s="1" t="s">
        <v>40</v>
      </c>
      <c r="D2136" s="1" t="s">
        <v>35</v>
      </c>
      <c r="E2136" s="2">
        <v>43435</v>
      </c>
      <c r="F2136" s="2" t="b">
        <f t="shared" si="135"/>
        <v>1</v>
      </c>
      <c r="G2136" s="2">
        <f t="shared" si="133"/>
        <v>43435</v>
      </c>
      <c r="H2136" s="1" t="s">
        <v>41</v>
      </c>
      <c r="I2136" s="1" t="s">
        <v>1322</v>
      </c>
      <c r="J2136" s="1">
        <v>30</v>
      </c>
      <c r="K2136" s="1">
        <v>26</v>
      </c>
      <c r="L2136" s="3">
        <v>0.1333</v>
      </c>
      <c r="N2136" t="s">
        <v>3763</v>
      </c>
      <c r="S2136" s="4" t="e">
        <f t="shared" si="134"/>
        <v>#NUM!</v>
      </c>
      <c r="T2136" s="4" t="str">
        <f t="shared" si="132"/>
        <v/>
      </c>
      <c r="U2136" s="4" t="s">
        <v>3763</v>
      </c>
    </row>
    <row r="2137" spans="1:21" x14ac:dyDescent="0.3">
      <c r="A2137" t="s">
        <v>2748</v>
      </c>
      <c r="B2137" s="1" t="s">
        <v>150</v>
      </c>
      <c r="C2137" s="1" t="s">
        <v>151</v>
      </c>
      <c r="D2137" s="1" t="s">
        <v>13</v>
      </c>
      <c r="E2137" s="2" t="s">
        <v>3654</v>
      </c>
      <c r="F2137" s="2" t="b">
        <f t="shared" si="135"/>
        <v>0</v>
      </c>
      <c r="G2137" s="2">
        <f t="shared" si="133"/>
        <v>41869</v>
      </c>
      <c r="H2137" s="1" t="s">
        <v>46</v>
      </c>
      <c r="I2137" s="1" t="s">
        <v>2108</v>
      </c>
      <c r="J2137" s="1">
        <v>500</v>
      </c>
      <c r="K2137" s="1">
        <v>360</v>
      </c>
      <c r="L2137" s="3">
        <v>0.28000000000000003</v>
      </c>
      <c r="N2137" t="s">
        <v>3654</v>
      </c>
      <c r="P2137">
        <v>8</v>
      </c>
      <c r="Q2137">
        <v>18</v>
      </c>
      <c r="R2137">
        <v>2014</v>
      </c>
      <c r="S2137" s="4">
        <f t="shared" si="134"/>
        <v>41869</v>
      </c>
      <c r="T2137" s="4">
        <f t="shared" si="132"/>
        <v>41869</v>
      </c>
      <c r="U2137" s="4">
        <v>41869</v>
      </c>
    </row>
    <row r="2138" spans="1:21" x14ac:dyDescent="0.3">
      <c r="A2138" t="s">
        <v>2749</v>
      </c>
      <c r="B2138" s="1" t="s">
        <v>95</v>
      </c>
      <c r="C2138" s="1" t="s">
        <v>96</v>
      </c>
      <c r="D2138" s="1" t="s">
        <v>13</v>
      </c>
      <c r="E2138" s="2">
        <v>42986</v>
      </c>
      <c r="F2138" s="2" t="b">
        <f t="shared" si="135"/>
        <v>1</v>
      </c>
      <c r="G2138" s="2">
        <f t="shared" si="133"/>
        <v>42986</v>
      </c>
      <c r="H2138" s="1" t="s">
        <v>30</v>
      </c>
      <c r="I2138" s="1" t="s">
        <v>180</v>
      </c>
      <c r="J2138" s="1">
        <v>150</v>
      </c>
      <c r="K2138" s="1">
        <v>126</v>
      </c>
      <c r="L2138" s="3">
        <v>0.16</v>
      </c>
      <c r="N2138" t="s">
        <v>3763</v>
      </c>
      <c r="S2138" s="4" t="e">
        <f t="shared" si="134"/>
        <v>#NUM!</v>
      </c>
      <c r="T2138" s="4" t="str">
        <f t="shared" si="132"/>
        <v/>
      </c>
      <c r="U2138" s="4" t="s">
        <v>3763</v>
      </c>
    </row>
    <row r="2139" spans="1:21" x14ac:dyDescent="0.3">
      <c r="A2139" t="s">
        <v>2750</v>
      </c>
      <c r="B2139" s="1" t="s">
        <v>33</v>
      </c>
      <c r="C2139" s="1" t="s">
        <v>34</v>
      </c>
      <c r="D2139" s="1" t="s">
        <v>35</v>
      </c>
      <c r="E2139" s="2">
        <v>42404</v>
      </c>
      <c r="F2139" s="2" t="b">
        <f t="shared" si="135"/>
        <v>1</v>
      </c>
      <c r="G2139" s="2">
        <f t="shared" si="133"/>
        <v>42404</v>
      </c>
      <c r="H2139" s="1" t="s">
        <v>55</v>
      </c>
      <c r="I2139" s="1" t="s">
        <v>2422</v>
      </c>
      <c r="J2139" s="1">
        <v>800</v>
      </c>
      <c r="K2139" s="1">
        <v>520</v>
      </c>
      <c r="L2139" s="3">
        <v>0.35</v>
      </c>
      <c r="N2139" t="s">
        <v>3763</v>
      </c>
      <c r="S2139" s="4" t="e">
        <f t="shared" si="134"/>
        <v>#NUM!</v>
      </c>
      <c r="T2139" s="4" t="str">
        <f t="shared" si="132"/>
        <v/>
      </c>
      <c r="U2139" s="4" t="s">
        <v>3763</v>
      </c>
    </row>
    <row r="2140" spans="1:21" x14ac:dyDescent="0.3">
      <c r="A2140" t="s">
        <v>2751</v>
      </c>
      <c r="B2140" s="1" t="s">
        <v>182</v>
      </c>
      <c r="C2140" s="1" t="s">
        <v>108</v>
      </c>
      <c r="D2140" s="1" t="s">
        <v>19</v>
      </c>
      <c r="E2140" s="2">
        <v>43292</v>
      </c>
      <c r="F2140" s="2" t="b">
        <f t="shared" si="135"/>
        <v>1</v>
      </c>
      <c r="G2140" s="2">
        <f t="shared" si="133"/>
        <v>43292</v>
      </c>
      <c r="H2140" s="1" t="s">
        <v>61</v>
      </c>
      <c r="I2140" s="1" t="s">
        <v>1258</v>
      </c>
      <c r="J2140" s="1">
        <v>1000</v>
      </c>
      <c r="K2140" s="1">
        <v>650</v>
      </c>
      <c r="L2140" s="3">
        <v>0.35</v>
      </c>
      <c r="N2140" t="s">
        <v>3763</v>
      </c>
      <c r="S2140" s="4" t="e">
        <f t="shared" si="134"/>
        <v>#NUM!</v>
      </c>
      <c r="T2140" s="4" t="str">
        <f t="shared" si="132"/>
        <v/>
      </c>
      <c r="U2140" s="4" t="s">
        <v>3763</v>
      </c>
    </row>
    <row r="2141" spans="1:21" x14ac:dyDescent="0.3">
      <c r="A2141" t="s">
        <v>2752</v>
      </c>
      <c r="B2141" s="1" t="s">
        <v>134</v>
      </c>
      <c r="C2141" s="1" t="s">
        <v>92</v>
      </c>
      <c r="D2141" s="1" t="s">
        <v>35</v>
      </c>
      <c r="E2141" s="2" t="s">
        <v>3721</v>
      </c>
      <c r="F2141" s="2" t="b">
        <f t="shared" si="135"/>
        <v>0</v>
      </c>
      <c r="G2141" s="2">
        <f t="shared" si="133"/>
        <v>42596</v>
      </c>
      <c r="H2141" s="1" t="s">
        <v>61</v>
      </c>
      <c r="I2141" s="1" t="s">
        <v>702</v>
      </c>
      <c r="J2141" s="1">
        <v>1000</v>
      </c>
      <c r="K2141" s="1">
        <v>920</v>
      </c>
      <c r="L2141" s="3">
        <v>0.08</v>
      </c>
      <c r="N2141" t="s">
        <v>3721</v>
      </c>
      <c r="P2141">
        <v>8</v>
      </c>
      <c r="Q2141">
        <v>14</v>
      </c>
      <c r="R2141">
        <v>2016</v>
      </c>
      <c r="S2141" s="4">
        <f t="shared" si="134"/>
        <v>42596</v>
      </c>
      <c r="T2141" s="4">
        <f t="shared" si="132"/>
        <v>42596</v>
      </c>
      <c r="U2141" s="4">
        <v>42596</v>
      </c>
    </row>
    <row r="2142" spans="1:21" x14ac:dyDescent="0.3">
      <c r="A2142" t="s">
        <v>2753</v>
      </c>
      <c r="B2142" s="1" t="s">
        <v>53</v>
      </c>
      <c r="C2142" s="1" t="s">
        <v>54</v>
      </c>
      <c r="D2142" s="1" t="s">
        <v>13</v>
      </c>
      <c r="E2142" s="2" t="s">
        <v>3170</v>
      </c>
      <c r="F2142" s="2" t="b">
        <f t="shared" si="135"/>
        <v>0</v>
      </c>
      <c r="G2142" s="2">
        <f t="shared" si="133"/>
        <v>42790</v>
      </c>
      <c r="H2142" s="1" t="s">
        <v>122</v>
      </c>
      <c r="I2142" s="1" t="s">
        <v>56</v>
      </c>
      <c r="J2142" s="1">
        <v>50</v>
      </c>
      <c r="K2142" s="1">
        <v>49</v>
      </c>
      <c r="L2142" s="3">
        <v>0.02</v>
      </c>
      <c r="N2142" t="s">
        <v>3170</v>
      </c>
      <c r="P2142">
        <v>2</v>
      </c>
      <c r="Q2142">
        <v>24</v>
      </c>
      <c r="R2142">
        <v>2017</v>
      </c>
      <c r="S2142" s="4">
        <f t="shared" si="134"/>
        <v>42790</v>
      </c>
      <c r="T2142" s="4">
        <f t="shared" si="132"/>
        <v>42790</v>
      </c>
      <c r="U2142" s="4">
        <v>42790</v>
      </c>
    </row>
    <row r="2143" spans="1:21" x14ac:dyDescent="0.3">
      <c r="A2143" t="s">
        <v>2754</v>
      </c>
      <c r="B2143" s="1" t="s">
        <v>95</v>
      </c>
      <c r="C2143" s="1" t="s">
        <v>96</v>
      </c>
      <c r="D2143" s="1" t="s">
        <v>13</v>
      </c>
      <c r="E2143" s="2">
        <v>43221</v>
      </c>
      <c r="F2143" s="2" t="b">
        <f t="shared" si="135"/>
        <v>1</v>
      </c>
      <c r="G2143" s="2">
        <f t="shared" si="133"/>
        <v>43221</v>
      </c>
      <c r="H2143" s="1" t="s">
        <v>61</v>
      </c>
      <c r="I2143" s="1" t="s">
        <v>2138</v>
      </c>
      <c r="J2143" s="1">
        <v>1000</v>
      </c>
      <c r="K2143" s="1">
        <v>950</v>
      </c>
      <c r="L2143" s="3">
        <v>0.05</v>
      </c>
      <c r="N2143" t="s">
        <v>3763</v>
      </c>
      <c r="S2143" s="4" t="e">
        <f t="shared" si="134"/>
        <v>#NUM!</v>
      </c>
      <c r="T2143" s="4" t="str">
        <f t="shared" si="132"/>
        <v/>
      </c>
      <c r="U2143" s="4" t="s">
        <v>3763</v>
      </c>
    </row>
    <row r="2144" spans="1:21" x14ac:dyDescent="0.3">
      <c r="A2144" t="s">
        <v>2755</v>
      </c>
      <c r="B2144" s="1" t="s">
        <v>107</v>
      </c>
      <c r="C2144" s="1" t="s">
        <v>108</v>
      </c>
      <c r="D2144" s="1" t="s">
        <v>19</v>
      </c>
      <c r="E2144" s="2">
        <v>42990</v>
      </c>
      <c r="F2144" s="2" t="b">
        <f t="shared" si="135"/>
        <v>1</v>
      </c>
      <c r="G2144" s="2">
        <f t="shared" si="133"/>
        <v>42990</v>
      </c>
      <c r="H2144" s="1" t="s">
        <v>41</v>
      </c>
      <c r="I2144" s="1" t="s">
        <v>239</v>
      </c>
      <c r="J2144" s="1">
        <v>30</v>
      </c>
      <c r="K2144" s="1">
        <v>29</v>
      </c>
      <c r="L2144" s="3">
        <v>3.3300000000000003E-2</v>
      </c>
      <c r="N2144" t="s">
        <v>3763</v>
      </c>
      <c r="S2144" s="4" t="e">
        <f t="shared" si="134"/>
        <v>#NUM!</v>
      </c>
      <c r="T2144" s="4" t="str">
        <f t="shared" si="132"/>
        <v/>
      </c>
      <c r="U2144" s="4" t="s">
        <v>3763</v>
      </c>
    </row>
    <row r="2145" spans="1:21" x14ac:dyDescent="0.3">
      <c r="A2145" t="s">
        <v>2756</v>
      </c>
      <c r="B2145" s="1" t="s">
        <v>241</v>
      </c>
      <c r="C2145" s="1" t="s">
        <v>242</v>
      </c>
      <c r="D2145" s="1" t="s">
        <v>13</v>
      </c>
      <c r="E2145" s="2">
        <v>41883</v>
      </c>
      <c r="F2145" s="2" t="b">
        <f t="shared" si="135"/>
        <v>1</v>
      </c>
      <c r="G2145" s="2">
        <f t="shared" si="133"/>
        <v>41883</v>
      </c>
      <c r="H2145" s="1" t="s">
        <v>122</v>
      </c>
      <c r="I2145" s="1" t="s">
        <v>520</v>
      </c>
      <c r="J2145" s="1">
        <v>50</v>
      </c>
      <c r="K2145" s="1">
        <v>37</v>
      </c>
      <c r="L2145" s="3">
        <v>0.26</v>
      </c>
      <c r="N2145" t="s">
        <v>3763</v>
      </c>
      <c r="S2145" s="4" t="e">
        <f t="shared" si="134"/>
        <v>#NUM!</v>
      </c>
      <c r="T2145" s="4" t="str">
        <f t="shared" si="132"/>
        <v/>
      </c>
      <c r="U2145" s="4" t="s">
        <v>3763</v>
      </c>
    </row>
    <row r="2146" spans="1:21" x14ac:dyDescent="0.3">
      <c r="A2146" t="s">
        <v>2757</v>
      </c>
      <c r="B2146" s="1" t="s">
        <v>131</v>
      </c>
      <c r="C2146" s="1" t="s">
        <v>108</v>
      </c>
      <c r="D2146" s="1" t="s">
        <v>19</v>
      </c>
      <c r="E2146" s="2" t="s">
        <v>3431</v>
      </c>
      <c r="F2146" s="2" t="b">
        <f t="shared" si="135"/>
        <v>0</v>
      </c>
      <c r="G2146" s="2">
        <f t="shared" si="133"/>
        <v>42112</v>
      </c>
      <c r="H2146" s="1" t="s">
        <v>41</v>
      </c>
      <c r="I2146" s="1" t="s">
        <v>474</v>
      </c>
      <c r="J2146" s="1">
        <v>30</v>
      </c>
      <c r="K2146" s="1">
        <v>23</v>
      </c>
      <c r="L2146" s="3">
        <v>0.23330000000000001</v>
      </c>
      <c r="N2146" t="s">
        <v>3431</v>
      </c>
      <c r="P2146">
        <v>4</v>
      </c>
      <c r="Q2146">
        <v>18</v>
      </c>
      <c r="R2146">
        <v>2015</v>
      </c>
      <c r="S2146" s="4">
        <f t="shared" si="134"/>
        <v>42112</v>
      </c>
      <c r="T2146" s="4">
        <f t="shared" si="132"/>
        <v>42112</v>
      </c>
      <c r="U2146" s="4">
        <v>42112</v>
      </c>
    </row>
    <row r="2147" spans="1:21" x14ac:dyDescent="0.3">
      <c r="A2147" t="s">
        <v>2758</v>
      </c>
      <c r="B2147" s="1" t="s">
        <v>77</v>
      </c>
      <c r="C2147" s="1" t="s">
        <v>78</v>
      </c>
      <c r="D2147" s="1" t="s">
        <v>35</v>
      </c>
      <c r="E2147" s="2">
        <v>42310</v>
      </c>
      <c r="F2147" s="2" t="b">
        <f t="shared" si="135"/>
        <v>1</v>
      </c>
      <c r="G2147" s="2">
        <f t="shared" si="133"/>
        <v>42310</v>
      </c>
      <c r="H2147" s="1" t="s">
        <v>115</v>
      </c>
      <c r="I2147" s="1" t="s">
        <v>1789</v>
      </c>
      <c r="J2147" s="1">
        <v>250</v>
      </c>
      <c r="K2147" s="1">
        <v>168</v>
      </c>
      <c r="L2147" s="3">
        <v>0.32800000000000001</v>
      </c>
      <c r="N2147" t="s">
        <v>3763</v>
      </c>
      <c r="S2147" s="4" t="e">
        <f t="shared" si="134"/>
        <v>#NUM!</v>
      </c>
      <c r="T2147" s="4" t="str">
        <f t="shared" si="132"/>
        <v/>
      </c>
      <c r="U2147" s="4" t="s">
        <v>3763</v>
      </c>
    </row>
    <row r="2148" spans="1:21" x14ac:dyDescent="0.3">
      <c r="A2148" t="s">
        <v>2759</v>
      </c>
      <c r="B2148" s="1" t="s">
        <v>81</v>
      </c>
      <c r="C2148" s="1" t="s">
        <v>82</v>
      </c>
      <c r="D2148" s="1" t="s">
        <v>13</v>
      </c>
      <c r="E2148" s="2">
        <v>43315</v>
      </c>
      <c r="F2148" s="2" t="b">
        <f t="shared" si="135"/>
        <v>1</v>
      </c>
      <c r="G2148" s="2">
        <f t="shared" si="133"/>
        <v>43315</v>
      </c>
      <c r="H2148" s="1" t="s">
        <v>25</v>
      </c>
      <c r="I2148" s="1" t="s">
        <v>1232</v>
      </c>
      <c r="J2148" s="1">
        <v>700</v>
      </c>
      <c r="K2148" s="1">
        <v>609</v>
      </c>
      <c r="L2148" s="3">
        <v>0.13</v>
      </c>
      <c r="N2148" t="s">
        <v>3763</v>
      </c>
      <c r="S2148" s="4" t="e">
        <f t="shared" si="134"/>
        <v>#NUM!</v>
      </c>
      <c r="T2148" s="4" t="str">
        <f t="shared" si="132"/>
        <v/>
      </c>
      <c r="U2148" s="4" t="s">
        <v>3763</v>
      </c>
    </row>
    <row r="2149" spans="1:21" x14ac:dyDescent="0.3">
      <c r="A2149" t="s">
        <v>2760</v>
      </c>
      <c r="B2149" s="1" t="s">
        <v>2170</v>
      </c>
      <c r="C2149" s="1" t="s">
        <v>18</v>
      </c>
      <c r="D2149" s="1" t="s">
        <v>19</v>
      </c>
      <c r="E2149" s="2" t="s">
        <v>3480</v>
      </c>
      <c r="F2149" s="2" t="b">
        <f t="shared" si="135"/>
        <v>0</v>
      </c>
      <c r="G2149" s="2">
        <f t="shared" si="133"/>
        <v>42839</v>
      </c>
      <c r="H2149" s="1" t="s">
        <v>46</v>
      </c>
      <c r="I2149" s="1" t="s">
        <v>2363</v>
      </c>
      <c r="J2149" s="1">
        <v>500</v>
      </c>
      <c r="K2149" s="1">
        <v>470</v>
      </c>
      <c r="L2149" s="3">
        <v>0.06</v>
      </c>
      <c r="N2149" t="s">
        <v>3480</v>
      </c>
      <c r="P2149">
        <v>4</v>
      </c>
      <c r="Q2149">
        <v>14</v>
      </c>
      <c r="R2149">
        <v>2017</v>
      </c>
      <c r="S2149" s="4">
        <f t="shared" si="134"/>
        <v>42839</v>
      </c>
      <c r="T2149" s="4">
        <f t="shared" si="132"/>
        <v>42839</v>
      </c>
      <c r="U2149" s="4">
        <v>42839</v>
      </c>
    </row>
    <row r="2150" spans="1:21" x14ac:dyDescent="0.3">
      <c r="A2150" t="s">
        <v>2761</v>
      </c>
      <c r="B2150" s="1" t="s">
        <v>154</v>
      </c>
      <c r="C2150" s="1" t="s">
        <v>108</v>
      </c>
      <c r="D2150" s="1" t="s">
        <v>19</v>
      </c>
      <c r="E2150" s="2">
        <v>42412</v>
      </c>
      <c r="F2150" s="2" t="b">
        <f t="shared" si="135"/>
        <v>1</v>
      </c>
      <c r="G2150" s="2">
        <f t="shared" si="133"/>
        <v>42412</v>
      </c>
      <c r="H2150" s="1" t="s">
        <v>14</v>
      </c>
      <c r="I2150" s="1" t="s">
        <v>490</v>
      </c>
      <c r="J2150" s="1">
        <v>80</v>
      </c>
      <c r="K2150" s="1">
        <v>79</v>
      </c>
      <c r="L2150" s="3">
        <v>1.2500000000000001E-2</v>
      </c>
      <c r="N2150" t="s">
        <v>3763</v>
      </c>
      <c r="S2150" s="4" t="e">
        <f t="shared" si="134"/>
        <v>#NUM!</v>
      </c>
      <c r="T2150" s="4" t="str">
        <f t="shared" si="132"/>
        <v/>
      </c>
      <c r="U2150" s="4" t="s">
        <v>3763</v>
      </c>
    </row>
    <row r="2151" spans="1:21" x14ac:dyDescent="0.3">
      <c r="A2151" t="s">
        <v>2762</v>
      </c>
      <c r="B2151" s="1" t="s">
        <v>221</v>
      </c>
      <c r="C2151" s="1" t="s">
        <v>40</v>
      </c>
      <c r="D2151" s="1" t="s">
        <v>35</v>
      </c>
      <c r="E2151" s="2" t="s">
        <v>3299</v>
      </c>
      <c r="F2151" s="2" t="b">
        <f t="shared" si="135"/>
        <v>0</v>
      </c>
      <c r="G2151" s="2">
        <f t="shared" si="133"/>
        <v>42301</v>
      </c>
      <c r="H2151" s="1" t="s">
        <v>30</v>
      </c>
      <c r="I2151" s="1" t="s">
        <v>2425</v>
      </c>
      <c r="J2151" s="1">
        <v>150</v>
      </c>
      <c r="K2151" s="1">
        <v>105</v>
      </c>
      <c r="L2151" s="3">
        <v>0.3</v>
      </c>
      <c r="N2151" t="s">
        <v>3299</v>
      </c>
      <c r="P2151">
        <v>10</v>
      </c>
      <c r="Q2151">
        <v>24</v>
      </c>
      <c r="R2151">
        <v>2015</v>
      </c>
      <c r="S2151" s="4">
        <f t="shared" si="134"/>
        <v>42301</v>
      </c>
      <c r="T2151" s="4">
        <f t="shared" si="132"/>
        <v>42301</v>
      </c>
      <c r="U2151" s="4">
        <v>42301</v>
      </c>
    </row>
    <row r="2152" spans="1:21" x14ac:dyDescent="0.3">
      <c r="A2152" t="s">
        <v>2763</v>
      </c>
      <c r="B2152" s="1" t="s">
        <v>227</v>
      </c>
      <c r="C2152" s="1" t="s">
        <v>228</v>
      </c>
      <c r="D2152" s="1" t="s">
        <v>24</v>
      </c>
      <c r="E2152" s="2">
        <v>42316</v>
      </c>
      <c r="F2152" s="2" t="b">
        <f t="shared" si="135"/>
        <v>1</v>
      </c>
      <c r="G2152" s="2">
        <f t="shared" si="133"/>
        <v>42316</v>
      </c>
      <c r="H2152" s="1" t="s">
        <v>14</v>
      </c>
      <c r="I2152" s="1" t="s">
        <v>278</v>
      </c>
      <c r="J2152" s="1">
        <v>80</v>
      </c>
      <c r="K2152" s="1">
        <v>58</v>
      </c>
      <c r="L2152" s="3">
        <v>0.27500000000000002</v>
      </c>
      <c r="N2152" t="s">
        <v>3763</v>
      </c>
      <c r="S2152" s="4" t="e">
        <f t="shared" si="134"/>
        <v>#NUM!</v>
      </c>
      <c r="T2152" s="4" t="str">
        <f t="shared" si="132"/>
        <v/>
      </c>
      <c r="U2152" s="4" t="s">
        <v>3763</v>
      </c>
    </row>
    <row r="2153" spans="1:21" x14ac:dyDescent="0.3">
      <c r="A2153" t="s">
        <v>2764</v>
      </c>
      <c r="B2153" s="1" t="s">
        <v>11</v>
      </c>
      <c r="C2153" s="1" t="s">
        <v>12</v>
      </c>
      <c r="D2153" s="1" t="s">
        <v>13</v>
      </c>
      <c r="E2153" s="2">
        <v>42219</v>
      </c>
      <c r="F2153" s="2" t="b">
        <f t="shared" si="135"/>
        <v>1</v>
      </c>
      <c r="G2153" s="2">
        <f t="shared" si="133"/>
        <v>42219</v>
      </c>
      <c r="H2153" s="1" t="s">
        <v>55</v>
      </c>
      <c r="I2153" s="1" t="s">
        <v>276</v>
      </c>
      <c r="J2153" s="1">
        <v>800</v>
      </c>
      <c r="K2153" s="1">
        <v>744</v>
      </c>
      <c r="L2153" s="3">
        <v>7.0000000000000007E-2</v>
      </c>
      <c r="N2153" t="s">
        <v>3763</v>
      </c>
      <c r="S2153" s="4" t="e">
        <f t="shared" si="134"/>
        <v>#NUM!</v>
      </c>
      <c r="T2153" s="4" t="str">
        <f t="shared" si="132"/>
        <v/>
      </c>
      <c r="U2153" s="4" t="s">
        <v>3763</v>
      </c>
    </row>
    <row r="2154" spans="1:21" x14ac:dyDescent="0.3">
      <c r="A2154" t="s">
        <v>2765</v>
      </c>
      <c r="B2154" s="1" t="s">
        <v>187</v>
      </c>
      <c r="C2154" s="1" t="s">
        <v>188</v>
      </c>
      <c r="D2154" s="1" t="s">
        <v>13</v>
      </c>
      <c r="E2154" s="2">
        <v>41859</v>
      </c>
      <c r="F2154" s="2" t="b">
        <f t="shared" si="135"/>
        <v>1</v>
      </c>
      <c r="G2154" s="2">
        <f t="shared" si="133"/>
        <v>41859</v>
      </c>
      <c r="H2154" s="1" t="s">
        <v>25</v>
      </c>
      <c r="I2154" s="1" t="s">
        <v>1150</v>
      </c>
      <c r="J2154" s="1">
        <v>700</v>
      </c>
      <c r="K2154" s="1">
        <v>651</v>
      </c>
      <c r="L2154" s="3">
        <v>7.0000000000000007E-2</v>
      </c>
      <c r="N2154" t="s">
        <v>3763</v>
      </c>
      <c r="S2154" s="4" t="e">
        <f t="shared" si="134"/>
        <v>#NUM!</v>
      </c>
      <c r="T2154" s="4" t="str">
        <f t="shared" si="132"/>
        <v/>
      </c>
      <c r="U2154" s="4" t="s">
        <v>3763</v>
      </c>
    </row>
    <row r="2155" spans="1:21" x14ac:dyDescent="0.3">
      <c r="A2155" t="s">
        <v>2766</v>
      </c>
      <c r="B2155" s="1" t="s">
        <v>77</v>
      </c>
      <c r="C2155" s="1" t="s">
        <v>78</v>
      </c>
      <c r="D2155" s="1" t="s">
        <v>35</v>
      </c>
      <c r="E2155" s="2">
        <v>42893</v>
      </c>
      <c r="F2155" s="2" t="b">
        <f t="shared" si="135"/>
        <v>1</v>
      </c>
      <c r="G2155" s="2">
        <f t="shared" si="133"/>
        <v>42893</v>
      </c>
      <c r="H2155" s="1" t="s">
        <v>104</v>
      </c>
      <c r="I2155" s="1" t="s">
        <v>79</v>
      </c>
      <c r="J2155" s="1">
        <v>70</v>
      </c>
      <c r="K2155" s="1">
        <v>65</v>
      </c>
      <c r="L2155" s="3">
        <v>7.1400000000000005E-2</v>
      </c>
      <c r="N2155" t="s">
        <v>3763</v>
      </c>
      <c r="S2155" s="4" t="e">
        <f t="shared" si="134"/>
        <v>#NUM!</v>
      </c>
      <c r="T2155" s="4" t="str">
        <f t="shared" si="132"/>
        <v/>
      </c>
      <c r="U2155" s="4" t="s">
        <v>3763</v>
      </c>
    </row>
    <row r="2156" spans="1:21" x14ac:dyDescent="0.3">
      <c r="A2156" t="s">
        <v>2767</v>
      </c>
      <c r="B2156" s="1" t="s">
        <v>107</v>
      </c>
      <c r="C2156" s="1" t="s">
        <v>108</v>
      </c>
      <c r="D2156" s="1" t="s">
        <v>19</v>
      </c>
      <c r="E2156" s="2" t="s">
        <v>3732</v>
      </c>
      <c r="F2156" s="2" t="b">
        <f t="shared" si="135"/>
        <v>0</v>
      </c>
      <c r="G2156" s="2">
        <f t="shared" si="133"/>
        <v>42024</v>
      </c>
      <c r="H2156" s="1" t="s">
        <v>14</v>
      </c>
      <c r="I2156" s="1" t="s">
        <v>946</v>
      </c>
      <c r="J2156" s="1">
        <v>80</v>
      </c>
      <c r="K2156" s="1">
        <v>75</v>
      </c>
      <c r="L2156" s="3">
        <v>6.25E-2</v>
      </c>
      <c r="N2156" t="s">
        <v>3732</v>
      </c>
      <c r="P2156">
        <v>1</v>
      </c>
      <c r="Q2156">
        <v>20</v>
      </c>
      <c r="R2156">
        <v>2015</v>
      </c>
      <c r="S2156" s="4">
        <f t="shared" si="134"/>
        <v>42024</v>
      </c>
      <c r="T2156" s="4">
        <f t="shared" si="132"/>
        <v>42024</v>
      </c>
      <c r="U2156" s="4">
        <v>42024</v>
      </c>
    </row>
    <row r="2157" spans="1:21" x14ac:dyDescent="0.3">
      <c r="A2157" t="s">
        <v>2768</v>
      </c>
      <c r="B2157" s="1" t="s">
        <v>44</v>
      </c>
      <c r="C2157" s="1" t="s">
        <v>45</v>
      </c>
      <c r="D2157" s="1" t="s">
        <v>24</v>
      </c>
      <c r="E2157" s="2" t="s">
        <v>3008</v>
      </c>
      <c r="F2157" s="2" t="b">
        <f t="shared" si="135"/>
        <v>0</v>
      </c>
      <c r="G2157" s="2">
        <f t="shared" si="133"/>
        <v>42854</v>
      </c>
      <c r="H2157" s="1" t="s">
        <v>46</v>
      </c>
      <c r="I2157" s="1" t="s">
        <v>431</v>
      </c>
      <c r="J2157" s="1">
        <v>500</v>
      </c>
      <c r="K2157" s="1">
        <v>500</v>
      </c>
      <c r="L2157" s="3">
        <v>0</v>
      </c>
      <c r="N2157" t="s">
        <v>3008</v>
      </c>
      <c r="P2157">
        <v>4</v>
      </c>
      <c r="Q2157">
        <v>29</v>
      </c>
      <c r="R2157">
        <v>2017</v>
      </c>
      <c r="S2157" s="4">
        <f t="shared" si="134"/>
        <v>42854</v>
      </c>
      <c r="T2157" s="4">
        <f t="shared" si="132"/>
        <v>42854</v>
      </c>
      <c r="U2157" s="4">
        <v>42854</v>
      </c>
    </row>
    <row r="2158" spans="1:21" x14ac:dyDescent="0.3">
      <c r="A2158" t="s">
        <v>2769</v>
      </c>
      <c r="B2158" s="1" t="s">
        <v>53</v>
      </c>
      <c r="C2158" s="1" t="s">
        <v>54</v>
      </c>
      <c r="D2158" s="1" t="s">
        <v>13</v>
      </c>
      <c r="E2158" s="2" t="s">
        <v>3733</v>
      </c>
      <c r="F2158" s="2" t="b">
        <f t="shared" si="135"/>
        <v>0</v>
      </c>
      <c r="G2158" s="2">
        <f t="shared" si="133"/>
        <v>43062</v>
      </c>
      <c r="H2158" s="1" t="s">
        <v>72</v>
      </c>
      <c r="I2158" s="1" t="s">
        <v>814</v>
      </c>
      <c r="J2158" s="1">
        <v>500</v>
      </c>
      <c r="K2158" s="1">
        <v>495</v>
      </c>
      <c r="L2158" s="3">
        <v>0.01</v>
      </c>
      <c r="N2158" t="s">
        <v>3733</v>
      </c>
      <c r="P2158">
        <v>11</v>
      </c>
      <c r="Q2158">
        <v>23</v>
      </c>
      <c r="R2158">
        <v>2017</v>
      </c>
      <c r="S2158" s="4">
        <f t="shared" si="134"/>
        <v>43062</v>
      </c>
      <c r="T2158" s="4">
        <f t="shared" si="132"/>
        <v>43062</v>
      </c>
      <c r="U2158" s="4">
        <v>43062</v>
      </c>
    </row>
    <row r="2159" spans="1:21" x14ac:dyDescent="0.3">
      <c r="A2159" t="s">
        <v>2770</v>
      </c>
      <c r="B2159" s="1" t="s">
        <v>118</v>
      </c>
      <c r="C2159" s="1" t="s">
        <v>119</v>
      </c>
      <c r="D2159" s="1" t="s">
        <v>35</v>
      </c>
      <c r="E2159" s="2" t="s">
        <v>3189</v>
      </c>
      <c r="F2159" s="2" t="b">
        <f t="shared" si="135"/>
        <v>0</v>
      </c>
      <c r="G2159" s="2">
        <f t="shared" si="133"/>
        <v>42944</v>
      </c>
      <c r="H2159" s="1" t="s">
        <v>25</v>
      </c>
      <c r="I2159" s="1" t="s">
        <v>896</v>
      </c>
      <c r="J2159" s="1">
        <v>700</v>
      </c>
      <c r="K2159" s="1">
        <v>665</v>
      </c>
      <c r="L2159" s="3">
        <v>0.05</v>
      </c>
      <c r="N2159" t="s">
        <v>3189</v>
      </c>
      <c r="P2159">
        <v>7</v>
      </c>
      <c r="Q2159">
        <v>28</v>
      </c>
      <c r="R2159">
        <v>2017</v>
      </c>
      <c r="S2159" s="4">
        <f t="shared" si="134"/>
        <v>42944</v>
      </c>
      <c r="T2159" s="4">
        <f t="shared" si="132"/>
        <v>42944</v>
      </c>
      <c r="U2159" s="4">
        <v>42944</v>
      </c>
    </row>
    <row r="2160" spans="1:21" x14ac:dyDescent="0.3">
      <c r="A2160" t="s">
        <v>2771</v>
      </c>
      <c r="B2160" s="1" t="s">
        <v>95</v>
      </c>
      <c r="C2160" s="1" t="s">
        <v>96</v>
      </c>
      <c r="D2160" s="1" t="s">
        <v>13</v>
      </c>
      <c r="E2160" s="2" t="s">
        <v>3508</v>
      </c>
      <c r="F2160" s="2" t="b">
        <f t="shared" si="135"/>
        <v>0</v>
      </c>
      <c r="G2160" s="2">
        <f t="shared" si="133"/>
        <v>43067</v>
      </c>
      <c r="H2160" s="1" t="s">
        <v>115</v>
      </c>
      <c r="I2160" s="1" t="s">
        <v>216</v>
      </c>
      <c r="J2160" s="1">
        <v>250</v>
      </c>
      <c r="K2160" s="1">
        <v>230</v>
      </c>
      <c r="L2160" s="3">
        <v>0.08</v>
      </c>
      <c r="N2160" t="s">
        <v>3508</v>
      </c>
      <c r="P2160">
        <v>11</v>
      </c>
      <c r="Q2160">
        <v>28</v>
      </c>
      <c r="R2160">
        <v>2017</v>
      </c>
      <c r="S2160" s="4">
        <f t="shared" si="134"/>
        <v>43067</v>
      </c>
      <c r="T2160" s="4">
        <f t="shared" si="132"/>
        <v>43067</v>
      </c>
      <c r="U2160" s="4">
        <v>43067</v>
      </c>
    </row>
    <row r="2161" spans="1:21" x14ac:dyDescent="0.3">
      <c r="A2161" t="s">
        <v>2772</v>
      </c>
      <c r="B2161" s="1" t="s">
        <v>81</v>
      </c>
      <c r="C2161" s="1" t="s">
        <v>82</v>
      </c>
      <c r="D2161" s="1" t="s">
        <v>13</v>
      </c>
      <c r="E2161" s="2" t="s">
        <v>3482</v>
      </c>
      <c r="F2161" s="2" t="b">
        <f t="shared" si="135"/>
        <v>0</v>
      </c>
      <c r="G2161" s="2">
        <f t="shared" si="133"/>
        <v>42452</v>
      </c>
      <c r="H2161" s="1" t="s">
        <v>30</v>
      </c>
      <c r="I2161" s="1" t="s">
        <v>1047</v>
      </c>
      <c r="J2161" s="1">
        <v>150</v>
      </c>
      <c r="K2161" s="1">
        <v>143</v>
      </c>
      <c r="L2161" s="3">
        <v>4.6699999999999998E-2</v>
      </c>
      <c r="N2161" t="s">
        <v>3482</v>
      </c>
      <c r="P2161">
        <v>3</v>
      </c>
      <c r="Q2161">
        <v>23</v>
      </c>
      <c r="R2161">
        <v>2016</v>
      </c>
      <c r="S2161" s="4">
        <f t="shared" si="134"/>
        <v>42452</v>
      </c>
      <c r="T2161" s="4">
        <f t="shared" si="132"/>
        <v>42452</v>
      </c>
      <c r="U2161" s="4">
        <v>42452</v>
      </c>
    </row>
    <row r="2162" spans="1:21" x14ac:dyDescent="0.3">
      <c r="A2162" t="s">
        <v>2773</v>
      </c>
      <c r="B2162" s="1" t="s">
        <v>434</v>
      </c>
      <c r="C2162" s="1" t="s">
        <v>435</v>
      </c>
      <c r="D2162" s="1" t="s">
        <v>24</v>
      </c>
      <c r="E2162" s="2" t="s">
        <v>3691</v>
      </c>
      <c r="F2162" s="2" t="b">
        <f t="shared" si="135"/>
        <v>0</v>
      </c>
      <c r="G2162" s="2">
        <f t="shared" si="133"/>
        <v>42762</v>
      </c>
      <c r="H2162" s="1" t="s">
        <v>115</v>
      </c>
      <c r="I2162" s="1" t="s">
        <v>462</v>
      </c>
      <c r="J2162" s="1">
        <v>250</v>
      </c>
      <c r="K2162" s="1">
        <v>230</v>
      </c>
      <c r="L2162" s="3">
        <v>0.08</v>
      </c>
      <c r="N2162" t="s">
        <v>3691</v>
      </c>
      <c r="P2162">
        <v>1</v>
      </c>
      <c r="Q2162">
        <v>27</v>
      </c>
      <c r="R2162">
        <v>2017</v>
      </c>
      <c r="S2162" s="4">
        <f t="shared" si="134"/>
        <v>42762</v>
      </c>
      <c r="T2162" s="4">
        <f t="shared" si="132"/>
        <v>42762</v>
      </c>
      <c r="U2162" s="4">
        <v>42762</v>
      </c>
    </row>
    <row r="2163" spans="1:21" x14ac:dyDescent="0.3">
      <c r="A2163" t="s">
        <v>2774</v>
      </c>
      <c r="B2163" s="1" t="s">
        <v>22</v>
      </c>
      <c r="C2163" s="1" t="s">
        <v>23</v>
      </c>
      <c r="D2163" s="1" t="s">
        <v>24</v>
      </c>
      <c r="E2163" s="2">
        <v>42010</v>
      </c>
      <c r="F2163" s="2" t="b">
        <f t="shared" si="135"/>
        <v>1</v>
      </c>
      <c r="G2163" s="2">
        <f t="shared" si="133"/>
        <v>42010</v>
      </c>
      <c r="H2163" s="1" t="s">
        <v>25</v>
      </c>
      <c r="I2163" s="1" t="s">
        <v>310</v>
      </c>
      <c r="J2163" s="1">
        <v>700</v>
      </c>
      <c r="K2163" s="1">
        <v>665</v>
      </c>
      <c r="L2163" s="3">
        <v>0.05</v>
      </c>
      <c r="N2163" t="s">
        <v>3763</v>
      </c>
      <c r="S2163" s="4" t="e">
        <f t="shared" si="134"/>
        <v>#NUM!</v>
      </c>
      <c r="T2163" s="4" t="str">
        <f t="shared" si="132"/>
        <v/>
      </c>
      <c r="U2163" s="4" t="s">
        <v>3763</v>
      </c>
    </row>
    <row r="2164" spans="1:21" x14ac:dyDescent="0.3">
      <c r="A2164" t="s">
        <v>2775</v>
      </c>
      <c r="B2164" s="1" t="s">
        <v>2243</v>
      </c>
      <c r="C2164" s="1" t="s">
        <v>108</v>
      </c>
      <c r="D2164" s="1" t="s">
        <v>19</v>
      </c>
      <c r="E2164" s="2" t="s">
        <v>3109</v>
      </c>
      <c r="F2164" s="2" t="b">
        <f t="shared" si="135"/>
        <v>0</v>
      </c>
      <c r="G2164" s="2">
        <f t="shared" si="133"/>
        <v>41839</v>
      </c>
      <c r="H2164" s="1" t="s">
        <v>115</v>
      </c>
      <c r="I2164" s="1" t="s">
        <v>2776</v>
      </c>
      <c r="J2164" s="1">
        <v>250</v>
      </c>
      <c r="K2164" s="1">
        <v>245</v>
      </c>
      <c r="L2164" s="3">
        <v>0.02</v>
      </c>
      <c r="N2164" t="s">
        <v>3109</v>
      </c>
      <c r="P2164">
        <v>7</v>
      </c>
      <c r="Q2164">
        <v>19</v>
      </c>
      <c r="R2164">
        <v>2014</v>
      </c>
      <c r="S2164" s="4">
        <f t="shared" si="134"/>
        <v>41839</v>
      </c>
      <c r="T2164" s="4">
        <f t="shared" si="132"/>
        <v>41839</v>
      </c>
      <c r="U2164" s="4">
        <v>41839</v>
      </c>
    </row>
    <row r="2165" spans="1:21" x14ac:dyDescent="0.3">
      <c r="A2165" t="s">
        <v>2777</v>
      </c>
      <c r="B2165" s="1" t="s">
        <v>154</v>
      </c>
      <c r="C2165" s="1" t="s">
        <v>108</v>
      </c>
      <c r="D2165" s="1" t="s">
        <v>19</v>
      </c>
      <c r="E2165" s="2">
        <v>41707</v>
      </c>
      <c r="F2165" s="2" t="b">
        <f t="shared" si="135"/>
        <v>1</v>
      </c>
      <c r="G2165" s="2">
        <f t="shared" si="133"/>
        <v>41707</v>
      </c>
      <c r="H2165" s="1" t="s">
        <v>36</v>
      </c>
      <c r="I2165" s="1" t="s">
        <v>490</v>
      </c>
      <c r="J2165" s="1">
        <v>50</v>
      </c>
      <c r="K2165" s="1">
        <v>38</v>
      </c>
      <c r="L2165" s="3">
        <v>0.24</v>
      </c>
      <c r="N2165" t="s">
        <v>3763</v>
      </c>
      <c r="S2165" s="4" t="e">
        <f t="shared" si="134"/>
        <v>#NUM!</v>
      </c>
      <c r="T2165" s="4" t="str">
        <f t="shared" si="132"/>
        <v/>
      </c>
      <c r="U2165" s="4" t="s">
        <v>3763</v>
      </c>
    </row>
    <row r="2166" spans="1:21" x14ac:dyDescent="0.3">
      <c r="A2166" t="s">
        <v>2778</v>
      </c>
      <c r="B2166" s="1" t="s">
        <v>134</v>
      </c>
      <c r="C2166" s="1" t="s">
        <v>92</v>
      </c>
      <c r="D2166" s="1" t="s">
        <v>35</v>
      </c>
      <c r="E2166" s="2" t="s">
        <v>3440</v>
      </c>
      <c r="F2166" s="2" t="b">
        <f t="shared" si="135"/>
        <v>0</v>
      </c>
      <c r="G2166" s="2">
        <f t="shared" si="133"/>
        <v>42629</v>
      </c>
      <c r="H2166" s="1" t="s">
        <v>104</v>
      </c>
      <c r="I2166" s="1" t="s">
        <v>538</v>
      </c>
      <c r="J2166" s="1">
        <v>70</v>
      </c>
      <c r="K2166" s="1">
        <v>64</v>
      </c>
      <c r="L2166" s="3">
        <v>8.5699999999999998E-2</v>
      </c>
      <c r="N2166" t="s">
        <v>3440</v>
      </c>
      <c r="P2166">
        <v>9</v>
      </c>
      <c r="Q2166">
        <v>16</v>
      </c>
      <c r="R2166">
        <v>2016</v>
      </c>
      <c r="S2166" s="4">
        <f t="shared" si="134"/>
        <v>42629</v>
      </c>
      <c r="T2166" s="4">
        <f t="shared" si="132"/>
        <v>42629</v>
      </c>
      <c r="U2166" s="4">
        <v>42629</v>
      </c>
    </row>
    <row r="2167" spans="1:21" x14ac:dyDescent="0.3">
      <c r="A2167" t="s">
        <v>2779</v>
      </c>
      <c r="B2167" s="1" t="s">
        <v>124</v>
      </c>
      <c r="C2167" s="1" t="s">
        <v>40</v>
      </c>
      <c r="D2167" s="1" t="s">
        <v>35</v>
      </c>
      <c r="E2167" s="2" t="s">
        <v>3312</v>
      </c>
      <c r="F2167" s="2" t="b">
        <f t="shared" si="135"/>
        <v>0</v>
      </c>
      <c r="G2167" s="2">
        <f t="shared" si="133"/>
        <v>42208</v>
      </c>
      <c r="H2167" s="1" t="s">
        <v>115</v>
      </c>
      <c r="I2167" s="1" t="s">
        <v>916</v>
      </c>
      <c r="J2167" s="1">
        <v>250</v>
      </c>
      <c r="K2167" s="1">
        <v>238</v>
      </c>
      <c r="L2167" s="3">
        <v>4.8000000000000001E-2</v>
      </c>
      <c r="N2167" t="s">
        <v>3312</v>
      </c>
      <c r="P2167">
        <v>7</v>
      </c>
      <c r="Q2167">
        <v>23</v>
      </c>
      <c r="R2167">
        <v>2015</v>
      </c>
      <c r="S2167" s="4">
        <f t="shared" si="134"/>
        <v>42208</v>
      </c>
      <c r="T2167" s="4">
        <f t="shared" si="132"/>
        <v>42208</v>
      </c>
      <c r="U2167" s="4">
        <v>42208</v>
      </c>
    </row>
    <row r="2168" spans="1:21" x14ac:dyDescent="0.3">
      <c r="A2168" t="s">
        <v>2780</v>
      </c>
      <c r="B2168" s="1" t="s">
        <v>111</v>
      </c>
      <c r="C2168" s="1" t="s">
        <v>82</v>
      </c>
      <c r="D2168" s="1" t="s">
        <v>13</v>
      </c>
      <c r="E2168" s="2">
        <v>42526</v>
      </c>
      <c r="F2168" s="2" t="b">
        <f t="shared" si="135"/>
        <v>1</v>
      </c>
      <c r="G2168" s="2">
        <f t="shared" si="133"/>
        <v>42526</v>
      </c>
      <c r="H2168" s="1" t="s">
        <v>30</v>
      </c>
      <c r="I2168" s="1" t="s">
        <v>610</v>
      </c>
      <c r="J2168" s="1">
        <v>150</v>
      </c>
      <c r="K2168" s="1">
        <v>137</v>
      </c>
      <c r="L2168" s="3">
        <v>8.6699999999999999E-2</v>
      </c>
      <c r="N2168" t="s">
        <v>3763</v>
      </c>
      <c r="S2168" s="4" t="e">
        <f t="shared" si="134"/>
        <v>#NUM!</v>
      </c>
      <c r="T2168" s="4" t="str">
        <f t="shared" si="132"/>
        <v/>
      </c>
      <c r="U2168" s="4" t="s">
        <v>3763</v>
      </c>
    </row>
    <row r="2169" spans="1:21" x14ac:dyDescent="0.3">
      <c r="A2169" t="s">
        <v>2781</v>
      </c>
      <c r="B2169" s="1" t="s">
        <v>170</v>
      </c>
      <c r="C2169" s="1" t="s">
        <v>171</v>
      </c>
      <c r="D2169" s="1" t="s">
        <v>13</v>
      </c>
      <c r="E2169" s="2" t="s">
        <v>3734</v>
      </c>
      <c r="F2169" s="2" t="b">
        <f t="shared" si="135"/>
        <v>0</v>
      </c>
      <c r="G2169" s="2">
        <f t="shared" si="133"/>
        <v>42537</v>
      </c>
      <c r="H2169" s="1" t="s">
        <v>55</v>
      </c>
      <c r="I2169" s="1" t="s">
        <v>941</v>
      </c>
      <c r="J2169" s="1">
        <v>800</v>
      </c>
      <c r="K2169" s="1">
        <v>520</v>
      </c>
      <c r="L2169" s="3">
        <v>0.35</v>
      </c>
      <c r="N2169" t="s">
        <v>3734</v>
      </c>
      <c r="P2169">
        <v>6</v>
      </c>
      <c r="Q2169">
        <v>16</v>
      </c>
      <c r="R2169">
        <v>2016</v>
      </c>
      <c r="S2169" s="4">
        <f t="shared" si="134"/>
        <v>42537</v>
      </c>
      <c r="T2169" s="4">
        <f t="shared" si="132"/>
        <v>42537</v>
      </c>
      <c r="U2169" s="4">
        <v>42537</v>
      </c>
    </row>
    <row r="2170" spans="1:21" x14ac:dyDescent="0.3">
      <c r="A2170" t="s">
        <v>2782</v>
      </c>
      <c r="B2170" s="1" t="s">
        <v>187</v>
      </c>
      <c r="C2170" s="1" t="s">
        <v>188</v>
      </c>
      <c r="D2170" s="1" t="s">
        <v>13</v>
      </c>
      <c r="E2170" s="2">
        <v>42010</v>
      </c>
      <c r="F2170" s="2" t="b">
        <f t="shared" si="135"/>
        <v>1</v>
      </c>
      <c r="G2170" s="2">
        <f t="shared" si="133"/>
        <v>42010</v>
      </c>
      <c r="H2170" s="1" t="s">
        <v>14</v>
      </c>
      <c r="I2170" s="1" t="s">
        <v>791</v>
      </c>
      <c r="J2170" s="1">
        <v>80</v>
      </c>
      <c r="K2170" s="1">
        <v>80</v>
      </c>
      <c r="L2170" s="3">
        <v>0</v>
      </c>
      <c r="N2170" t="s">
        <v>3763</v>
      </c>
      <c r="S2170" s="4" t="e">
        <f t="shared" si="134"/>
        <v>#NUM!</v>
      </c>
      <c r="T2170" s="4" t="str">
        <f t="shared" si="132"/>
        <v/>
      </c>
      <c r="U2170" s="4" t="s">
        <v>3763</v>
      </c>
    </row>
    <row r="2171" spans="1:21" x14ac:dyDescent="0.3">
      <c r="A2171" t="s">
        <v>2783</v>
      </c>
      <c r="B2171" s="1" t="s">
        <v>99</v>
      </c>
      <c r="C2171" s="1" t="s">
        <v>100</v>
      </c>
      <c r="D2171" s="1" t="s">
        <v>13</v>
      </c>
      <c r="E2171" s="2" t="s">
        <v>3735</v>
      </c>
      <c r="F2171" s="2" t="b">
        <f t="shared" si="135"/>
        <v>0</v>
      </c>
      <c r="G2171" s="2">
        <f t="shared" si="133"/>
        <v>42049</v>
      </c>
      <c r="H2171" s="1" t="s">
        <v>14</v>
      </c>
      <c r="I2171" s="1" t="s">
        <v>948</v>
      </c>
      <c r="J2171" s="1">
        <v>80</v>
      </c>
      <c r="K2171" s="1">
        <v>62</v>
      </c>
      <c r="L2171" s="3">
        <v>0.22500000000000001</v>
      </c>
      <c r="N2171" t="s">
        <v>3735</v>
      </c>
      <c r="P2171">
        <v>2</v>
      </c>
      <c r="Q2171">
        <v>14</v>
      </c>
      <c r="R2171">
        <v>2015</v>
      </c>
      <c r="S2171" s="4">
        <f t="shared" si="134"/>
        <v>42049</v>
      </c>
      <c r="T2171" s="4">
        <f t="shared" si="132"/>
        <v>42049</v>
      </c>
      <c r="U2171" s="4">
        <v>42049</v>
      </c>
    </row>
    <row r="2172" spans="1:21" x14ac:dyDescent="0.3">
      <c r="A2172" t="s">
        <v>2784</v>
      </c>
      <c r="B2172" s="1" t="s">
        <v>53</v>
      </c>
      <c r="C2172" s="1" t="s">
        <v>54</v>
      </c>
      <c r="D2172" s="1" t="s">
        <v>13</v>
      </c>
      <c r="E2172" s="2" t="s">
        <v>3726</v>
      </c>
      <c r="F2172" s="2" t="b">
        <f t="shared" si="135"/>
        <v>0</v>
      </c>
      <c r="G2172" s="2">
        <f t="shared" si="133"/>
        <v>42606</v>
      </c>
      <c r="H2172" s="1" t="s">
        <v>36</v>
      </c>
      <c r="I2172" s="1" t="s">
        <v>647</v>
      </c>
      <c r="J2172" s="1">
        <v>50</v>
      </c>
      <c r="K2172" s="1">
        <v>50</v>
      </c>
      <c r="L2172" s="3">
        <v>0</v>
      </c>
      <c r="N2172" t="s">
        <v>3726</v>
      </c>
      <c r="P2172">
        <v>8</v>
      </c>
      <c r="Q2172">
        <v>24</v>
      </c>
      <c r="R2172">
        <v>2016</v>
      </c>
      <c r="S2172" s="4">
        <f t="shared" si="134"/>
        <v>42606</v>
      </c>
      <c r="T2172" s="4">
        <f t="shared" si="132"/>
        <v>42606</v>
      </c>
      <c r="U2172" s="4">
        <v>42606</v>
      </c>
    </row>
    <row r="2173" spans="1:21" x14ac:dyDescent="0.3">
      <c r="A2173" t="s">
        <v>2785</v>
      </c>
      <c r="B2173" s="1" t="s">
        <v>131</v>
      </c>
      <c r="C2173" s="1" t="s">
        <v>108</v>
      </c>
      <c r="D2173" s="1" t="s">
        <v>19</v>
      </c>
      <c r="E2173" s="2" t="s">
        <v>3196</v>
      </c>
      <c r="F2173" s="2" t="b">
        <f t="shared" si="135"/>
        <v>0</v>
      </c>
      <c r="G2173" s="2">
        <f t="shared" si="133"/>
        <v>41790</v>
      </c>
      <c r="H2173" s="1" t="s">
        <v>55</v>
      </c>
      <c r="I2173" s="1" t="s">
        <v>688</v>
      </c>
      <c r="J2173" s="1">
        <v>800</v>
      </c>
      <c r="K2173" s="1">
        <v>640</v>
      </c>
      <c r="L2173" s="3">
        <v>0.2</v>
      </c>
      <c r="N2173" t="s">
        <v>3196</v>
      </c>
      <c r="P2173">
        <v>5</v>
      </c>
      <c r="Q2173">
        <v>31</v>
      </c>
      <c r="R2173">
        <v>2014</v>
      </c>
      <c r="S2173" s="4">
        <f t="shared" si="134"/>
        <v>41790</v>
      </c>
      <c r="T2173" s="4">
        <f t="shared" si="132"/>
        <v>41790</v>
      </c>
      <c r="U2173" s="4">
        <v>41790</v>
      </c>
    </row>
    <row r="2174" spans="1:21" x14ac:dyDescent="0.3">
      <c r="A2174" t="s">
        <v>2786</v>
      </c>
      <c r="B2174" s="1" t="s">
        <v>400</v>
      </c>
      <c r="C2174" s="1" t="s">
        <v>401</v>
      </c>
      <c r="D2174" s="1" t="s">
        <v>13</v>
      </c>
      <c r="E2174" s="2" t="s">
        <v>3736</v>
      </c>
      <c r="F2174" s="2" t="b">
        <f t="shared" si="135"/>
        <v>0</v>
      </c>
      <c r="G2174" s="2">
        <f t="shared" si="133"/>
        <v>42082</v>
      </c>
      <c r="H2174" s="1" t="s">
        <v>41</v>
      </c>
      <c r="I2174" s="1" t="s">
        <v>1281</v>
      </c>
      <c r="J2174" s="1">
        <v>30</v>
      </c>
      <c r="K2174" s="1">
        <v>21</v>
      </c>
      <c r="L2174" s="3">
        <v>0.3</v>
      </c>
      <c r="N2174" t="s">
        <v>3736</v>
      </c>
      <c r="P2174">
        <v>3</v>
      </c>
      <c r="Q2174">
        <v>19</v>
      </c>
      <c r="R2174">
        <v>2015</v>
      </c>
      <c r="S2174" s="4">
        <f t="shared" si="134"/>
        <v>42082</v>
      </c>
      <c r="T2174" s="4">
        <f t="shared" si="132"/>
        <v>42082</v>
      </c>
      <c r="U2174" s="4">
        <v>42082</v>
      </c>
    </row>
    <row r="2175" spans="1:21" x14ac:dyDescent="0.3">
      <c r="A2175" t="s">
        <v>2787</v>
      </c>
      <c r="B2175" s="1" t="s">
        <v>2170</v>
      </c>
      <c r="C2175" s="1" t="s">
        <v>18</v>
      </c>
      <c r="D2175" s="1" t="s">
        <v>19</v>
      </c>
      <c r="E2175" s="2">
        <v>41675</v>
      </c>
      <c r="F2175" s="2" t="b">
        <f t="shared" si="135"/>
        <v>1</v>
      </c>
      <c r="G2175" s="2">
        <f t="shared" si="133"/>
        <v>41675</v>
      </c>
      <c r="H2175" s="1" t="s">
        <v>61</v>
      </c>
      <c r="I2175" s="1" t="s">
        <v>2788</v>
      </c>
      <c r="J2175" s="1">
        <v>1000</v>
      </c>
      <c r="K2175" s="1">
        <v>780</v>
      </c>
      <c r="L2175" s="3">
        <v>0.22</v>
      </c>
      <c r="N2175" t="s">
        <v>3763</v>
      </c>
      <c r="S2175" s="4" t="e">
        <f t="shared" si="134"/>
        <v>#NUM!</v>
      </c>
      <c r="T2175" s="4" t="str">
        <f t="shared" si="132"/>
        <v/>
      </c>
      <c r="U2175" s="4" t="s">
        <v>3763</v>
      </c>
    </row>
    <row r="2176" spans="1:21" x14ac:dyDescent="0.3">
      <c r="A2176" t="s">
        <v>2789</v>
      </c>
      <c r="B2176" s="1" t="s">
        <v>95</v>
      </c>
      <c r="C2176" s="1" t="s">
        <v>96</v>
      </c>
      <c r="D2176" s="1" t="s">
        <v>13</v>
      </c>
      <c r="E2176" s="2" t="s">
        <v>3594</v>
      </c>
      <c r="F2176" s="2" t="b">
        <f t="shared" si="135"/>
        <v>0</v>
      </c>
      <c r="G2176" s="2">
        <f t="shared" si="133"/>
        <v>42962</v>
      </c>
      <c r="H2176" s="1" t="s">
        <v>25</v>
      </c>
      <c r="I2176" s="1" t="s">
        <v>97</v>
      </c>
      <c r="J2176" s="1">
        <v>700</v>
      </c>
      <c r="K2176" s="1">
        <v>679</v>
      </c>
      <c r="L2176" s="3">
        <v>0.03</v>
      </c>
      <c r="N2176" t="s">
        <v>3594</v>
      </c>
      <c r="P2176">
        <v>8</v>
      </c>
      <c r="Q2176">
        <v>15</v>
      </c>
      <c r="R2176">
        <v>2017</v>
      </c>
      <c r="S2176" s="4">
        <f t="shared" si="134"/>
        <v>42962</v>
      </c>
      <c r="T2176" s="4">
        <f t="shared" si="132"/>
        <v>42962</v>
      </c>
      <c r="U2176" s="4">
        <v>42962</v>
      </c>
    </row>
    <row r="2177" spans="1:21" x14ac:dyDescent="0.3">
      <c r="A2177" t="s">
        <v>2790</v>
      </c>
      <c r="B2177" s="1" t="s">
        <v>70</v>
      </c>
      <c r="C2177" s="1" t="s">
        <v>71</v>
      </c>
      <c r="D2177" s="1" t="s">
        <v>35</v>
      </c>
      <c r="E2177" s="2" t="s">
        <v>3166</v>
      </c>
      <c r="F2177" s="2" t="b">
        <f t="shared" si="135"/>
        <v>0</v>
      </c>
      <c r="G2177" s="2">
        <f t="shared" si="133"/>
        <v>42056</v>
      </c>
      <c r="H2177" s="1" t="s">
        <v>36</v>
      </c>
      <c r="I2177" s="1" t="s">
        <v>2295</v>
      </c>
      <c r="J2177" s="1">
        <v>50</v>
      </c>
      <c r="K2177" s="1">
        <v>50</v>
      </c>
      <c r="L2177" s="3">
        <v>0</v>
      </c>
      <c r="N2177" t="s">
        <v>3166</v>
      </c>
      <c r="P2177">
        <v>2</v>
      </c>
      <c r="Q2177">
        <v>21</v>
      </c>
      <c r="R2177">
        <v>2015</v>
      </c>
      <c r="S2177" s="4">
        <f t="shared" si="134"/>
        <v>42056</v>
      </c>
      <c r="T2177" s="4">
        <f t="shared" si="132"/>
        <v>42056</v>
      </c>
      <c r="U2177" s="4">
        <v>42056</v>
      </c>
    </row>
    <row r="2178" spans="1:21" x14ac:dyDescent="0.3">
      <c r="A2178" t="s">
        <v>2791</v>
      </c>
      <c r="B2178" s="1" t="s">
        <v>157</v>
      </c>
      <c r="C2178" s="1" t="s">
        <v>108</v>
      </c>
      <c r="D2178" s="1" t="s">
        <v>19</v>
      </c>
      <c r="E2178" s="2">
        <v>42075</v>
      </c>
      <c r="F2178" s="2" t="b">
        <f t="shared" si="135"/>
        <v>1</v>
      </c>
      <c r="G2178" s="2">
        <f t="shared" si="133"/>
        <v>42075</v>
      </c>
      <c r="H2178" s="1" t="s">
        <v>104</v>
      </c>
      <c r="I2178" s="1" t="s">
        <v>304</v>
      </c>
      <c r="J2178" s="1">
        <v>70</v>
      </c>
      <c r="K2178" s="1">
        <v>55</v>
      </c>
      <c r="L2178" s="3">
        <v>0.21429999999999999</v>
      </c>
      <c r="N2178" t="s">
        <v>3763</v>
      </c>
      <c r="S2178" s="4" t="e">
        <f t="shared" si="134"/>
        <v>#NUM!</v>
      </c>
      <c r="T2178" s="4" t="str">
        <f t="shared" si="132"/>
        <v/>
      </c>
      <c r="U2178" s="4" t="s">
        <v>3763</v>
      </c>
    </row>
    <row r="2179" spans="1:21" x14ac:dyDescent="0.3">
      <c r="A2179" t="s">
        <v>2792</v>
      </c>
      <c r="B2179" s="1" t="s">
        <v>400</v>
      </c>
      <c r="C2179" s="1" t="s">
        <v>401</v>
      </c>
      <c r="D2179" s="1" t="s">
        <v>13</v>
      </c>
      <c r="E2179" s="2" t="s">
        <v>3737</v>
      </c>
      <c r="F2179" s="2" t="b">
        <f t="shared" si="135"/>
        <v>0</v>
      </c>
      <c r="G2179" s="2">
        <f t="shared" si="133"/>
        <v>41844</v>
      </c>
      <c r="H2179" s="1" t="s">
        <v>55</v>
      </c>
      <c r="I2179" s="1" t="s">
        <v>486</v>
      </c>
      <c r="J2179" s="1">
        <v>800</v>
      </c>
      <c r="K2179" s="1">
        <v>800</v>
      </c>
      <c r="L2179" s="3">
        <v>0</v>
      </c>
      <c r="N2179" t="s">
        <v>3737</v>
      </c>
      <c r="P2179">
        <v>7</v>
      </c>
      <c r="Q2179">
        <v>24</v>
      </c>
      <c r="R2179">
        <v>2014</v>
      </c>
      <c r="S2179" s="4">
        <f t="shared" si="134"/>
        <v>41844</v>
      </c>
      <c r="T2179" s="4">
        <f t="shared" ref="T2179:T2242" si="136">IF(AND(P2179&lt;&gt;"",Q2179&lt;&gt;"",R2179&lt;&gt;""),IFERROR(DATE(R2179,P2179,Q2179),""),"")</f>
        <v>41844</v>
      </c>
      <c r="U2179" s="4">
        <v>41844</v>
      </c>
    </row>
    <row r="2180" spans="1:21" x14ac:dyDescent="0.3">
      <c r="A2180" t="s">
        <v>2793</v>
      </c>
      <c r="B2180" s="1" t="s">
        <v>64</v>
      </c>
      <c r="C2180" s="1" t="s">
        <v>65</v>
      </c>
      <c r="D2180" s="1" t="s">
        <v>35</v>
      </c>
      <c r="E2180" s="2">
        <v>43081</v>
      </c>
      <c r="F2180" s="2" t="b">
        <f t="shared" si="135"/>
        <v>1</v>
      </c>
      <c r="G2180" s="2">
        <f t="shared" ref="G2180:G2243" si="137">IF(F2180=TRUE,E2180,U2180)</f>
        <v>43081</v>
      </c>
      <c r="H2180" s="1" t="s">
        <v>36</v>
      </c>
      <c r="I2180" s="1" t="s">
        <v>2469</v>
      </c>
      <c r="J2180" s="1">
        <v>50</v>
      </c>
      <c r="K2180" s="1">
        <v>50</v>
      </c>
      <c r="L2180" s="3">
        <v>0</v>
      </c>
      <c r="N2180" t="s">
        <v>3763</v>
      </c>
      <c r="S2180" s="4" t="e">
        <f t="shared" ref="S2180:S2243" si="138">DATE(R2180,P2180,Q2180)</f>
        <v>#NUM!</v>
      </c>
      <c r="T2180" s="4" t="str">
        <f t="shared" si="136"/>
        <v/>
      </c>
      <c r="U2180" s="4" t="s">
        <v>3763</v>
      </c>
    </row>
    <row r="2181" spans="1:21" x14ac:dyDescent="0.3">
      <c r="A2181" t="s">
        <v>2794</v>
      </c>
      <c r="B2181" s="1" t="s">
        <v>17</v>
      </c>
      <c r="C2181" s="1" t="s">
        <v>18</v>
      </c>
      <c r="D2181" s="1" t="s">
        <v>19</v>
      </c>
      <c r="E2181" s="2" t="s">
        <v>3365</v>
      </c>
      <c r="F2181" s="2" t="b">
        <f t="shared" ref="F2181:F2244" si="139">ISNUMBER(E2181)</f>
        <v>0</v>
      </c>
      <c r="G2181" s="2">
        <f t="shared" si="137"/>
        <v>42331</v>
      </c>
      <c r="H2181" s="1" t="s">
        <v>14</v>
      </c>
      <c r="I2181" s="1" t="s">
        <v>776</v>
      </c>
      <c r="J2181" s="1">
        <v>80</v>
      </c>
      <c r="K2181" s="1">
        <v>59</v>
      </c>
      <c r="L2181" s="3">
        <v>0.26250000000000001</v>
      </c>
      <c r="N2181" t="s">
        <v>3365</v>
      </c>
      <c r="P2181">
        <v>11</v>
      </c>
      <c r="Q2181">
        <v>23</v>
      </c>
      <c r="R2181">
        <v>2015</v>
      </c>
      <c r="S2181" s="4">
        <f t="shared" si="138"/>
        <v>42331</v>
      </c>
      <c r="T2181" s="4">
        <f t="shared" si="136"/>
        <v>42331</v>
      </c>
      <c r="U2181" s="4">
        <v>42331</v>
      </c>
    </row>
    <row r="2182" spans="1:21" x14ac:dyDescent="0.3">
      <c r="A2182" t="s">
        <v>2795</v>
      </c>
      <c r="B2182" s="1" t="s">
        <v>289</v>
      </c>
      <c r="C2182" s="1" t="s">
        <v>108</v>
      </c>
      <c r="D2182" s="1" t="s">
        <v>19</v>
      </c>
      <c r="E2182" s="2">
        <v>42312</v>
      </c>
      <c r="F2182" s="2" t="b">
        <f t="shared" si="139"/>
        <v>1</v>
      </c>
      <c r="G2182" s="2">
        <f t="shared" si="137"/>
        <v>42312</v>
      </c>
      <c r="H2182" s="1" t="s">
        <v>41</v>
      </c>
      <c r="I2182" s="1" t="s">
        <v>903</v>
      </c>
      <c r="J2182" s="1">
        <v>30</v>
      </c>
      <c r="K2182" s="1">
        <v>30</v>
      </c>
      <c r="L2182" s="3">
        <v>0</v>
      </c>
      <c r="N2182" t="s">
        <v>3763</v>
      </c>
      <c r="S2182" s="4" t="e">
        <f t="shared" si="138"/>
        <v>#NUM!</v>
      </c>
      <c r="T2182" s="4" t="str">
        <f t="shared" si="136"/>
        <v/>
      </c>
      <c r="U2182" s="4" t="s">
        <v>3763</v>
      </c>
    </row>
    <row r="2183" spans="1:21" x14ac:dyDescent="0.3">
      <c r="A2183" t="s">
        <v>2796</v>
      </c>
      <c r="B2183" s="1" t="s">
        <v>270</v>
      </c>
      <c r="C2183" s="1" t="s">
        <v>271</v>
      </c>
      <c r="D2183" s="1" t="s">
        <v>35</v>
      </c>
      <c r="E2183" s="2" t="s">
        <v>3352</v>
      </c>
      <c r="F2183" s="2" t="b">
        <f t="shared" si="139"/>
        <v>0</v>
      </c>
      <c r="G2183" s="2">
        <f t="shared" si="137"/>
        <v>42974</v>
      </c>
      <c r="H2183" s="1" t="s">
        <v>30</v>
      </c>
      <c r="I2183" s="1" t="s">
        <v>715</v>
      </c>
      <c r="J2183" s="1">
        <v>150</v>
      </c>
      <c r="K2183" s="1">
        <v>140</v>
      </c>
      <c r="L2183" s="3">
        <v>6.6699999999999995E-2</v>
      </c>
      <c r="N2183" t="s">
        <v>3352</v>
      </c>
      <c r="P2183">
        <v>8</v>
      </c>
      <c r="Q2183">
        <v>27</v>
      </c>
      <c r="R2183">
        <v>2017</v>
      </c>
      <c r="S2183" s="4">
        <f t="shared" si="138"/>
        <v>42974</v>
      </c>
      <c r="T2183" s="4">
        <f t="shared" si="136"/>
        <v>42974</v>
      </c>
      <c r="U2183" s="4">
        <v>42974</v>
      </c>
    </row>
    <row r="2184" spans="1:21" x14ac:dyDescent="0.3">
      <c r="A2184" t="s">
        <v>2797</v>
      </c>
      <c r="B2184" s="1" t="s">
        <v>241</v>
      </c>
      <c r="C2184" s="1" t="s">
        <v>242</v>
      </c>
      <c r="D2184" s="1" t="s">
        <v>13</v>
      </c>
      <c r="E2184" s="2" t="s">
        <v>3414</v>
      </c>
      <c r="F2184" s="2" t="b">
        <f t="shared" si="139"/>
        <v>0</v>
      </c>
      <c r="G2184" s="2">
        <f t="shared" si="137"/>
        <v>41910</v>
      </c>
      <c r="H2184" s="1" t="s">
        <v>14</v>
      </c>
      <c r="I2184" s="1" t="s">
        <v>520</v>
      </c>
      <c r="J2184" s="1">
        <v>80</v>
      </c>
      <c r="K2184" s="1">
        <v>66</v>
      </c>
      <c r="L2184" s="3">
        <v>0.17499999999999999</v>
      </c>
      <c r="N2184" t="s">
        <v>3414</v>
      </c>
      <c r="P2184">
        <v>9</v>
      </c>
      <c r="Q2184">
        <v>28</v>
      </c>
      <c r="R2184">
        <v>2014</v>
      </c>
      <c r="S2184" s="4">
        <f t="shared" si="138"/>
        <v>41910</v>
      </c>
      <c r="T2184" s="4">
        <f t="shared" si="136"/>
        <v>41910</v>
      </c>
      <c r="U2184" s="4">
        <v>41910</v>
      </c>
    </row>
    <row r="2185" spans="1:21" x14ac:dyDescent="0.3">
      <c r="A2185" t="s">
        <v>2798</v>
      </c>
      <c r="B2185" s="1" t="s">
        <v>324</v>
      </c>
      <c r="C2185" s="1" t="s">
        <v>325</v>
      </c>
      <c r="D2185" s="1" t="s">
        <v>13</v>
      </c>
      <c r="E2185" s="2" t="s">
        <v>3348</v>
      </c>
      <c r="F2185" s="2" t="b">
        <f t="shared" si="139"/>
        <v>0</v>
      </c>
      <c r="G2185" s="2">
        <f t="shared" si="137"/>
        <v>41905</v>
      </c>
      <c r="H2185" s="1" t="s">
        <v>46</v>
      </c>
      <c r="I2185" s="1" t="s">
        <v>588</v>
      </c>
      <c r="J2185" s="1">
        <v>500</v>
      </c>
      <c r="K2185" s="1">
        <v>475</v>
      </c>
      <c r="L2185" s="3">
        <v>0.05</v>
      </c>
      <c r="N2185" t="s">
        <v>3348</v>
      </c>
      <c r="P2185">
        <v>9</v>
      </c>
      <c r="Q2185">
        <v>23</v>
      </c>
      <c r="R2185">
        <v>2014</v>
      </c>
      <c r="S2185" s="4">
        <f t="shared" si="138"/>
        <v>41905</v>
      </c>
      <c r="T2185" s="4">
        <f t="shared" si="136"/>
        <v>41905</v>
      </c>
      <c r="U2185" s="4">
        <v>41905</v>
      </c>
    </row>
    <row r="2186" spans="1:21" x14ac:dyDescent="0.3">
      <c r="A2186" t="s">
        <v>2799</v>
      </c>
      <c r="B2186" s="1" t="s">
        <v>44</v>
      </c>
      <c r="C2186" s="1" t="s">
        <v>45</v>
      </c>
      <c r="D2186" s="1" t="s">
        <v>24</v>
      </c>
      <c r="E2186" s="2" t="s">
        <v>3597</v>
      </c>
      <c r="F2186" s="2" t="b">
        <f t="shared" si="139"/>
        <v>0</v>
      </c>
      <c r="G2186" s="2">
        <f t="shared" si="137"/>
        <v>42538</v>
      </c>
      <c r="H2186" s="1" t="s">
        <v>46</v>
      </c>
      <c r="I2186" s="1" t="s">
        <v>1102</v>
      </c>
      <c r="J2186" s="1">
        <v>500</v>
      </c>
      <c r="K2186" s="1">
        <v>485</v>
      </c>
      <c r="L2186" s="3">
        <v>0.03</v>
      </c>
      <c r="N2186" t="s">
        <v>3597</v>
      </c>
      <c r="P2186">
        <v>6</v>
      </c>
      <c r="Q2186">
        <v>17</v>
      </c>
      <c r="R2186">
        <v>2016</v>
      </c>
      <c r="S2186" s="4">
        <f t="shared" si="138"/>
        <v>42538</v>
      </c>
      <c r="T2186" s="4">
        <f t="shared" si="136"/>
        <v>42538</v>
      </c>
      <c r="U2186" s="4">
        <v>42538</v>
      </c>
    </row>
    <row r="2187" spans="1:21" x14ac:dyDescent="0.3">
      <c r="A2187" t="s">
        <v>2800</v>
      </c>
      <c r="B2187" s="1" t="s">
        <v>49</v>
      </c>
      <c r="C2187" s="1" t="s">
        <v>50</v>
      </c>
      <c r="D2187" s="1" t="s">
        <v>24</v>
      </c>
      <c r="E2187" s="2">
        <v>42103</v>
      </c>
      <c r="F2187" s="2" t="b">
        <f t="shared" si="139"/>
        <v>1</v>
      </c>
      <c r="G2187" s="2">
        <f t="shared" si="137"/>
        <v>42103</v>
      </c>
      <c r="H2187" s="1" t="s">
        <v>25</v>
      </c>
      <c r="I2187" s="1" t="s">
        <v>2287</v>
      </c>
      <c r="J2187" s="1">
        <v>700</v>
      </c>
      <c r="K2187" s="1">
        <v>581</v>
      </c>
      <c r="L2187" s="3">
        <v>0.17</v>
      </c>
      <c r="N2187" t="s">
        <v>3763</v>
      </c>
      <c r="S2187" s="4" t="e">
        <f t="shared" si="138"/>
        <v>#NUM!</v>
      </c>
      <c r="T2187" s="4" t="str">
        <f t="shared" si="136"/>
        <v/>
      </c>
      <c r="U2187" s="4" t="s">
        <v>3763</v>
      </c>
    </row>
    <row r="2188" spans="1:21" x14ac:dyDescent="0.3">
      <c r="A2188" t="s">
        <v>2801</v>
      </c>
      <c r="B2188" s="1" t="s">
        <v>59</v>
      </c>
      <c r="C2188" s="1" t="s">
        <v>60</v>
      </c>
      <c r="D2188" s="1" t="s">
        <v>13</v>
      </c>
      <c r="E2188" s="2" t="s">
        <v>2982</v>
      </c>
      <c r="F2188" s="2" t="b">
        <f t="shared" si="139"/>
        <v>0</v>
      </c>
      <c r="G2188" s="2">
        <f t="shared" si="137"/>
        <v>43327</v>
      </c>
      <c r="H2188" s="1" t="s">
        <v>14</v>
      </c>
      <c r="I2188" s="1" t="s">
        <v>1778</v>
      </c>
      <c r="J2188" s="1">
        <v>80</v>
      </c>
      <c r="K2188" s="1">
        <v>74</v>
      </c>
      <c r="L2188" s="3">
        <v>7.4999999999999997E-2</v>
      </c>
      <c r="N2188" t="s">
        <v>2982</v>
      </c>
      <c r="P2188">
        <v>8</v>
      </c>
      <c r="Q2188">
        <v>15</v>
      </c>
      <c r="R2188">
        <v>2018</v>
      </c>
      <c r="S2188" s="4">
        <f t="shared" si="138"/>
        <v>43327</v>
      </c>
      <c r="T2188" s="4">
        <f t="shared" si="136"/>
        <v>43327</v>
      </c>
      <c r="U2188" s="4">
        <v>43327</v>
      </c>
    </row>
    <row r="2189" spans="1:21" x14ac:dyDescent="0.3">
      <c r="A2189" t="s">
        <v>2802</v>
      </c>
      <c r="B2189" s="1" t="s">
        <v>227</v>
      </c>
      <c r="C2189" s="1" t="s">
        <v>228</v>
      </c>
      <c r="D2189" s="1" t="s">
        <v>24</v>
      </c>
      <c r="E2189" s="2">
        <v>43435</v>
      </c>
      <c r="F2189" s="2" t="b">
        <f t="shared" si="139"/>
        <v>1</v>
      </c>
      <c r="G2189" s="2">
        <f t="shared" si="137"/>
        <v>43435</v>
      </c>
      <c r="H2189" s="1" t="s">
        <v>72</v>
      </c>
      <c r="I2189" s="1" t="s">
        <v>621</v>
      </c>
      <c r="J2189" s="1">
        <v>500</v>
      </c>
      <c r="K2189" s="1">
        <v>490</v>
      </c>
      <c r="L2189" s="3">
        <v>0.02</v>
      </c>
      <c r="N2189" t="s">
        <v>3763</v>
      </c>
      <c r="S2189" s="4" t="e">
        <f t="shared" si="138"/>
        <v>#NUM!</v>
      </c>
      <c r="T2189" s="4" t="str">
        <f t="shared" si="136"/>
        <v/>
      </c>
      <c r="U2189" s="4" t="s">
        <v>3763</v>
      </c>
    </row>
    <row r="2190" spans="1:21" x14ac:dyDescent="0.3">
      <c r="A2190" t="s">
        <v>2803</v>
      </c>
      <c r="B2190" s="1" t="s">
        <v>103</v>
      </c>
      <c r="C2190" s="1" t="s">
        <v>71</v>
      </c>
      <c r="D2190" s="1" t="s">
        <v>35</v>
      </c>
      <c r="E2190" s="2">
        <v>42652</v>
      </c>
      <c r="F2190" s="2" t="b">
        <f t="shared" si="139"/>
        <v>1</v>
      </c>
      <c r="G2190" s="2">
        <f t="shared" si="137"/>
        <v>42652</v>
      </c>
      <c r="H2190" s="1" t="s">
        <v>115</v>
      </c>
      <c r="I2190" s="1" t="s">
        <v>105</v>
      </c>
      <c r="J2190" s="1">
        <v>250</v>
      </c>
      <c r="K2190" s="1">
        <v>240</v>
      </c>
      <c r="L2190" s="3">
        <v>0.04</v>
      </c>
      <c r="N2190" t="s">
        <v>3763</v>
      </c>
      <c r="S2190" s="4" t="e">
        <f t="shared" si="138"/>
        <v>#NUM!</v>
      </c>
      <c r="T2190" s="4" t="str">
        <f t="shared" si="136"/>
        <v/>
      </c>
      <c r="U2190" s="4" t="s">
        <v>3763</v>
      </c>
    </row>
    <row r="2191" spans="1:21" x14ac:dyDescent="0.3">
      <c r="A2191" t="s">
        <v>2804</v>
      </c>
      <c r="B2191" s="1" t="s">
        <v>44</v>
      </c>
      <c r="C2191" s="1" t="s">
        <v>45</v>
      </c>
      <c r="D2191" s="1" t="s">
        <v>24</v>
      </c>
      <c r="E2191" s="2" t="s">
        <v>3396</v>
      </c>
      <c r="F2191" s="2" t="b">
        <f t="shared" si="139"/>
        <v>0</v>
      </c>
      <c r="G2191" s="2">
        <f t="shared" si="137"/>
        <v>43023</v>
      </c>
      <c r="H2191" s="1" t="s">
        <v>55</v>
      </c>
      <c r="I2191" s="1" t="s">
        <v>1177</v>
      </c>
      <c r="J2191" s="1">
        <v>800</v>
      </c>
      <c r="K2191" s="1">
        <v>744</v>
      </c>
      <c r="L2191" s="3">
        <v>7.0000000000000007E-2</v>
      </c>
      <c r="N2191" t="s">
        <v>3396</v>
      </c>
      <c r="P2191">
        <v>10</v>
      </c>
      <c r="Q2191">
        <v>15</v>
      </c>
      <c r="R2191">
        <v>2017</v>
      </c>
      <c r="S2191" s="4">
        <f t="shared" si="138"/>
        <v>43023</v>
      </c>
      <c r="T2191" s="4">
        <f t="shared" si="136"/>
        <v>43023</v>
      </c>
      <c r="U2191" s="4">
        <v>43023</v>
      </c>
    </row>
    <row r="2192" spans="1:21" x14ac:dyDescent="0.3">
      <c r="A2192" t="s">
        <v>2805</v>
      </c>
      <c r="B2192" s="1" t="s">
        <v>49</v>
      </c>
      <c r="C2192" s="1" t="s">
        <v>50</v>
      </c>
      <c r="D2192" s="1" t="s">
        <v>24</v>
      </c>
      <c r="E2192" s="2" t="s">
        <v>3267</v>
      </c>
      <c r="F2192" s="2" t="b">
        <f t="shared" si="139"/>
        <v>0</v>
      </c>
      <c r="G2192" s="2">
        <f t="shared" si="137"/>
        <v>43113</v>
      </c>
      <c r="H2192" s="1" t="s">
        <v>72</v>
      </c>
      <c r="I2192" s="1" t="s">
        <v>1000</v>
      </c>
      <c r="J2192" s="1">
        <v>500</v>
      </c>
      <c r="K2192" s="1">
        <v>490</v>
      </c>
      <c r="L2192" s="3">
        <v>0.02</v>
      </c>
      <c r="N2192" t="s">
        <v>3267</v>
      </c>
      <c r="P2192">
        <v>1</v>
      </c>
      <c r="Q2192">
        <v>13</v>
      </c>
      <c r="R2192">
        <v>2018</v>
      </c>
      <c r="S2192" s="4">
        <f t="shared" si="138"/>
        <v>43113</v>
      </c>
      <c r="T2192" s="4">
        <f t="shared" si="136"/>
        <v>43113</v>
      </c>
      <c r="U2192" s="4">
        <v>43113</v>
      </c>
    </row>
    <row r="2193" spans="1:21" x14ac:dyDescent="0.3">
      <c r="A2193" t="s">
        <v>2806</v>
      </c>
      <c r="B2193" s="1" t="s">
        <v>241</v>
      </c>
      <c r="C2193" s="1" t="s">
        <v>242</v>
      </c>
      <c r="D2193" s="1" t="s">
        <v>13</v>
      </c>
      <c r="E2193" s="2">
        <v>42926</v>
      </c>
      <c r="F2193" s="2" t="b">
        <f t="shared" si="139"/>
        <v>1</v>
      </c>
      <c r="G2193" s="2">
        <f t="shared" si="137"/>
        <v>42926</v>
      </c>
      <c r="H2193" s="1" t="s">
        <v>72</v>
      </c>
      <c r="I2193" s="1" t="s">
        <v>287</v>
      </c>
      <c r="J2193" s="1">
        <v>500</v>
      </c>
      <c r="K2193" s="1">
        <v>495</v>
      </c>
      <c r="L2193" s="3">
        <v>0.01</v>
      </c>
      <c r="N2193" t="s">
        <v>3763</v>
      </c>
      <c r="S2193" s="4" t="e">
        <f t="shared" si="138"/>
        <v>#NUM!</v>
      </c>
      <c r="T2193" s="4" t="str">
        <f t="shared" si="136"/>
        <v/>
      </c>
      <c r="U2193" s="4" t="s">
        <v>3763</v>
      </c>
    </row>
    <row r="2194" spans="1:21" x14ac:dyDescent="0.3">
      <c r="A2194" t="s">
        <v>2807</v>
      </c>
      <c r="B2194" s="1" t="s">
        <v>131</v>
      </c>
      <c r="C2194" s="1" t="s">
        <v>108</v>
      </c>
      <c r="D2194" s="1" t="s">
        <v>19</v>
      </c>
      <c r="E2194" s="2" t="s">
        <v>3528</v>
      </c>
      <c r="F2194" s="2" t="b">
        <f t="shared" si="139"/>
        <v>0</v>
      </c>
      <c r="G2194" s="2">
        <f t="shared" si="137"/>
        <v>43126</v>
      </c>
      <c r="H2194" s="1" t="s">
        <v>72</v>
      </c>
      <c r="I2194" s="1" t="s">
        <v>546</v>
      </c>
      <c r="J2194" s="1">
        <v>500</v>
      </c>
      <c r="K2194" s="1">
        <v>500</v>
      </c>
      <c r="L2194" s="3">
        <v>0</v>
      </c>
      <c r="N2194" t="s">
        <v>3528</v>
      </c>
      <c r="P2194">
        <v>1</v>
      </c>
      <c r="Q2194">
        <v>26</v>
      </c>
      <c r="R2194">
        <v>2018</v>
      </c>
      <c r="S2194" s="4">
        <f t="shared" si="138"/>
        <v>43126</v>
      </c>
      <c r="T2194" s="4">
        <f t="shared" si="136"/>
        <v>43126</v>
      </c>
      <c r="U2194" s="4">
        <v>43126</v>
      </c>
    </row>
    <row r="2195" spans="1:21" x14ac:dyDescent="0.3">
      <c r="A2195" t="s">
        <v>2808</v>
      </c>
      <c r="B2195" s="1" t="s">
        <v>170</v>
      </c>
      <c r="C2195" s="1" t="s">
        <v>171</v>
      </c>
      <c r="D2195" s="1" t="s">
        <v>13</v>
      </c>
      <c r="E2195" s="2" t="s">
        <v>3195</v>
      </c>
      <c r="F2195" s="2" t="b">
        <f t="shared" si="139"/>
        <v>0</v>
      </c>
      <c r="G2195" s="2">
        <f t="shared" si="137"/>
        <v>43053</v>
      </c>
      <c r="H2195" s="1" t="s">
        <v>30</v>
      </c>
      <c r="I2195" s="1" t="s">
        <v>440</v>
      </c>
      <c r="J2195" s="1">
        <v>150</v>
      </c>
      <c r="K2195" s="1">
        <v>138</v>
      </c>
      <c r="L2195" s="3">
        <v>0.08</v>
      </c>
      <c r="N2195" t="s">
        <v>3195</v>
      </c>
      <c r="P2195">
        <v>11</v>
      </c>
      <c r="Q2195">
        <v>14</v>
      </c>
      <c r="R2195">
        <v>2017</v>
      </c>
      <c r="S2195" s="4">
        <f t="shared" si="138"/>
        <v>43053</v>
      </c>
      <c r="T2195" s="4">
        <f t="shared" si="136"/>
        <v>43053</v>
      </c>
      <c r="U2195" s="4">
        <v>43053</v>
      </c>
    </row>
    <row r="2196" spans="1:21" x14ac:dyDescent="0.3">
      <c r="A2196" t="s">
        <v>2809</v>
      </c>
      <c r="B2196" s="1" t="s">
        <v>44</v>
      </c>
      <c r="C2196" s="1" t="s">
        <v>45</v>
      </c>
      <c r="D2196" s="1" t="s">
        <v>24</v>
      </c>
      <c r="E2196" s="2" t="s">
        <v>3738</v>
      </c>
      <c r="F2196" s="2" t="b">
        <f t="shared" si="139"/>
        <v>0</v>
      </c>
      <c r="G2196" s="2">
        <f t="shared" si="137"/>
        <v>42423</v>
      </c>
      <c r="H2196" s="1" t="s">
        <v>72</v>
      </c>
      <c r="I2196" s="1" t="s">
        <v>1035</v>
      </c>
      <c r="J2196" s="1">
        <v>500</v>
      </c>
      <c r="K2196" s="1">
        <v>490</v>
      </c>
      <c r="L2196" s="3">
        <v>0.02</v>
      </c>
      <c r="N2196" t="s">
        <v>3738</v>
      </c>
      <c r="P2196">
        <v>2</v>
      </c>
      <c r="Q2196">
        <v>23</v>
      </c>
      <c r="R2196">
        <v>2016</v>
      </c>
      <c r="S2196" s="4">
        <f t="shared" si="138"/>
        <v>42423</v>
      </c>
      <c r="T2196" s="4">
        <f t="shared" si="136"/>
        <v>42423</v>
      </c>
      <c r="U2196" s="4">
        <v>42423</v>
      </c>
    </row>
    <row r="2197" spans="1:21" x14ac:dyDescent="0.3">
      <c r="A2197" t="s">
        <v>2810</v>
      </c>
      <c r="B2197" s="1" t="s">
        <v>77</v>
      </c>
      <c r="C2197" s="1" t="s">
        <v>78</v>
      </c>
      <c r="D2197" s="1" t="s">
        <v>35</v>
      </c>
      <c r="E2197" s="2">
        <v>43012</v>
      </c>
      <c r="F2197" s="2" t="b">
        <f t="shared" si="139"/>
        <v>1</v>
      </c>
      <c r="G2197" s="2">
        <f t="shared" si="137"/>
        <v>43012</v>
      </c>
      <c r="H2197" s="1" t="s">
        <v>25</v>
      </c>
      <c r="I2197" s="1" t="s">
        <v>394</v>
      </c>
      <c r="J2197" s="1">
        <v>700</v>
      </c>
      <c r="K2197" s="1">
        <v>658</v>
      </c>
      <c r="L2197" s="3">
        <v>0.06</v>
      </c>
      <c r="N2197" t="s">
        <v>3763</v>
      </c>
      <c r="S2197" s="4" t="e">
        <f t="shared" si="138"/>
        <v>#NUM!</v>
      </c>
      <c r="T2197" s="4" t="str">
        <f t="shared" si="136"/>
        <v/>
      </c>
      <c r="U2197" s="4" t="s">
        <v>3763</v>
      </c>
    </row>
    <row r="2198" spans="1:21" x14ac:dyDescent="0.3">
      <c r="A2198" t="s">
        <v>2811</v>
      </c>
      <c r="B2198" s="1" t="s">
        <v>324</v>
      </c>
      <c r="C2198" s="1" t="s">
        <v>325</v>
      </c>
      <c r="D2198" s="1" t="s">
        <v>13</v>
      </c>
      <c r="E2198" s="2" t="s">
        <v>3121</v>
      </c>
      <c r="F2198" s="2" t="b">
        <f t="shared" si="139"/>
        <v>0</v>
      </c>
      <c r="G2198" s="2">
        <f t="shared" si="137"/>
        <v>42456</v>
      </c>
      <c r="H2198" s="1" t="s">
        <v>61</v>
      </c>
      <c r="I2198" s="1" t="s">
        <v>922</v>
      </c>
      <c r="J2198" s="1">
        <v>1000</v>
      </c>
      <c r="K2198" s="1">
        <v>800</v>
      </c>
      <c r="L2198" s="3">
        <v>0.2</v>
      </c>
      <c r="N2198" t="s">
        <v>3121</v>
      </c>
      <c r="P2198">
        <v>3</v>
      </c>
      <c r="Q2198">
        <v>27</v>
      </c>
      <c r="R2198">
        <v>2016</v>
      </c>
      <c r="S2198" s="4">
        <f t="shared" si="138"/>
        <v>42456</v>
      </c>
      <c r="T2198" s="4">
        <f t="shared" si="136"/>
        <v>42456</v>
      </c>
      <c r="U2198" s="4">
        <v>42456</v>
      </c>
    </row>
    <row r="2199" spans="1:21" x14ac:dyDescent="0.3">
      <c r="A2199" t="s">
        <v>2812</v>
      </c>
      <c r="B2199" s="1" t="s">
        <v>221</v>
      </c>
      <c r="C2199" s="1" t="s">
        <v>40</v>
      </c>
      <c r="D2199" s="1" t="s">
        <v>35</v>
      </c>
      <c r="E2199" s="2" t="s">
        <v>3391</v>
      </c>
      <c r="F2199" s="2" t="b">
        <f t="shared" si="139"/>
        <v>0</v>
      </c>
      <c r="G2199" s="2">
        <f t="shared" si="137"/>
        <v>42792</v>
      </c>
      <c r="H2199" s="1" t="s">
        <v>46</v>
      </c>
      <c r="I2199" s="1" t="s">
        <v>1322</v>
      </c>
      <c r="J2199" s="1">
        <v>500</v>
      </c>
      <c r="K2199" s="1">
        <v>485</v>
      </c>
      <c r="L2199" s="3">
        <v>0.03</v>
      </c>
      <c r="N2199" t="s">
        <v>3391</v>
      </c>
      <c r="P2199">
        <v>2</v>
      </c>
      <c r="Q2199">
        <v>26</v>
      </c>
      <c r="R2199">
        <v>2017</v>
      </c>
      <c r="S2199" s="4">
        <f t="shared" si="138"/>
        <v>42792</v>
      </c>
      <c r="T2199" s="4">
        <f t="shared" si="136"/>
        <v>42792</v>
      </c>
      <c r="U2199" s="4">
        <v>42792</v>
      </c>
    </row>
    <row r="2200" spans="1:21" x14ac:dyDescent="0.3">
      <c r="A2200" t="s">
        <v>2813</v>
      </c>
      <c r="B2200" s="1" t="s">
        <v>85</v>
      </c>
      <c r="C2200" s="1" t="s">
        <v>86</v>
      </c>
      <c r="D2200" s="1" t="s">
        <v>13</v>
      </c>
      <c r="E2200" s="2">
        <v>42401</v>
      </c>
      <c r="F2200" s="2" t="b">
        <f t="shared" si="139"/>
        <v>1</v>
      </c>
      <c r="G2200" s="2">
        <f t="shared" si="137"/>
        <v>42401</v>
      </c>
      <c r="H2200" s="1" t="s">
        <v>46</v>
      </c>
      <c r="I2200" s="1" t="s">
        <v>87</v>
      </c>
      <c r="J2200" s="1">
        <v>500</v>
      </c>
      <c r="K2200" s="1">
        <v>445</v>
      </c>
      <c r="L2200" s="3">
        <v>0.11</v>
      </c>
      <c r="N2200" t="s">
        <v>3763</v>
      </c>
      <c r="S2200" s="4" t="e">
        <f t="shared" si="138"/>
        <v>#NUM!</v>
      </c>
      <c r="T2200" s="4" t="str">
        <f t="shared" si="136"/>
        <v/>
      </c>
      <c r="U2200" s="4" t="s">
        <v>3763</v>
      </c>
    </row>
    <row r="2201" spans="1:21" x14ac:dyDescent="0.3">
      <c r="A2201" t="s">
        <v>2814</v>
      </c>
      <c r="B2201" s="1" t="s">
        <v>91</v>
      </c>
      <c r="C2201" s="1" t="s">
        <v>92</v>
      </c>
      <c r="D2201" s="1" t="s">
        <v>35</v>
      </c>
      <c r="E2201" s="2">
        <v>42217</v>
      </c>
      <c r="F2201" s="2" t="b">
        <f t="shared" si="139"/>
        <v>1</v>
      </c>
      <c r="G2201" s="2">
        <f t="shared" si="137"/>
        <v>42217</v>
      </c>
      <c r="H2201" s="1" t="s">
        <v>104</v>
      </c>
      <c r="I2201" s="1" t="s">
        <v>1513</v>
      </c>
      <c r="J2201" s="1">
        <v>70</v>
      </c>
      <c r="K2201" s="1">
        <v>59</v>
      </c>
      <c r="L2201" s="3">
        <v>0.15709999999999999</v>
      </c>
      <c r="N2201" t="s">
        <v>3763</v>
      </c>
      <c r="S2201" s="4" t="e">
        <f t="shared" si="138"/>
        <v>#NUM!</v>
      </c>
      <c r="T2201" s="4" t="str">
        <f t="shared" si="136"/>
        <v/>
      </c>
      <c r="U2201" s="4" t="s">
        <v>3763</v>
      </c>
    </row>
    <row r="2202" spans="1:21" x14ac:dyDescent="0.3">
      <c r="A2202" t="s">
        <v>2815</v>
      </c>
      <c r="B2202" s="1" t="s">
        <v>157</v>
      </c>
      <c r="C2202" s="1" t="s">
        <v>108</v>
      </c>
      <c r="D2202" s="1" t="s">
        <v>19</v>
      </c>
      <c r="E2202" s="2">
        <v>41824</v>
      </c>
      <c r="F2202" s="2" t="b">
        <f t="shared" si="139"/>
        <v>1</v>
      </c>
      <c r="G2202" s="2">
        <f t="shared" si="137"/>
        <v>41824</v>
      </c>
      <c r="H2202" s="1" t="s">
        <v>30</v>
      </c>
      <c r="I2202" s="1" t="s">
        <v>981</v>
      </c>
      <c r="J2202" s="1">
        <v>150</v>
      </c>
      <c r="K2202" s="1">
        <v>122</v>
      </c>
      <c r="L2202" s="3">
        <v>0.1867</v>
      </c>
      <c r="N2202" t="s">
        <v>3763</v>
      </c>
      <c r="S2202" s="4" t="e">
        <f t="shared" si="138"/>
        <v>#NUM!</v>
      </c>
      <c r="T2202" s="4" t="str">
        <f t="shared" si="136"/>
        <v/>
      </c>
      <c r="U2202" s="4" t="s">
        <v>3763</v>
      </c>
    </row>
    <row r="2203" spans="1:21" x14ac:dyDescent="0.3">
      <c r="A2203" t="s">
        <v>2816</v>
      </c>
      <c r="B2203" s="1" t="s">
        <v>174</v>
      </c>
      <c r="C2203" s="1" t="s">
        <v>175</v>
      </c>
      <c r="D2203" s="1" t="s">
        <v>13</v>
      </c>
      <c r="E2203" s="2" t="s">
        <v>3245</v>
      </c>
      <c r="F2203" s="2" t="b">
        <f t="shared" si="139"/>
        <v>0</v>
      </c>
      <c r="G2203" s="2">
        <f t="shared" si="137"/>
        <v>42481</v>
      </c>
      <c r="H2203" s="1" t="s">
        <v>25</v>
      </c>
      <c r="I2203" s="1" t="s">
        <v>1456</v>
      </c>
      <c r="J2203" s="1">
        <v>700</v>
      </c>
      <c r="K2203" s="1">
        <v>658</v>
      </c>
      <c r="L2203" s="3">
        <v>0.06</v>
      </c>
      <c r="N2203" t="s">
        <v>3245</v>
      </c>
      <c r="P2203">
        <v>4</v>
      </c>
      <c r="Q2203">
        <v>21</v>
      </c>
      <c r="R2203">
        <v>2016</v>
      </c>
      <c r="S2203" s="4">
        <f t="shared" si="138"/>
        <v>42481</v>
      </c>
      <c r="T2203" s="4">
        <f t="shared" si="136"/>
        <v>42481</v>
      </c>
      <c r="U2203" s="4">
        <v>42481</v>
      </c>
    </row>
    <row r="2204" spans="1:21" x14ac:dyDescent="0.3">
      <c r="A2204" t="s">
        <v>2817</v>
      </c>
      <c r="B2204" s="1" t="s">
        <v>11</v>
      </c>
      <c r="C2204" s="1" t="s">
        <v>12</v>
      </c>
      <c r="D2204" s="1" t="s">
        <v>13</v>
      </c>
      <c r="E2204" s="2" t="s">
        <v>3736</v>
      </c>
      <c r="F2204" s="2" t="b">
        <f t="shared" si="139"/>
        <v>0</v>
      </c>
      <c r="G2204" s="2">
        <f t="shared" si="137"/>
        <v>42082</v>
      </c>
      <c r="H2204" s="1" t="s">
        <v>46</v>
      </c>
      <c r="I2204" s="1" t="s">
        <v>137</v>
      </c>
      <c r="J2204" s="1">
        <v>500</v>
      </c>
      <c r="K2204" s="1">
        <v>480</v>
      </c>
      <c r="L2204" s="3">
        <v>0.04</v>
      </c>
      <c r="N2204" t="s">
        <v>3736</v>
      </c>
      <c r="P2204">
        <v>3</v>
      </c>
      <c r="Q2204">
        <v>19</v>
      </c>
      <c r="R2204">
        <v>2015</v>
      </c>
      <c r="S2204" s="4">
        <f t="shared" si="138"/>
        <v>42082</v>
      </c>
      <c r="T2204" s="4">
        <f t="shared" si="136"/>
        <v>42082</v>
      </c>
      <c r="U2204" s="4">
        <v>42082</v>
      </c>
    </row>
    <row r="2205" spans="1:21" x14ac:dyDescent="0.3">
      <c r="A2205" t="s">
        <v>2818</v>
      </c>
      <c r="B2205" s="1" t="s">
        <v>127</v>
      </c>
      <c r="C2205" s="1" t="s">
        <v>128</v>
      </c>
      <c r="D2205" s="1" t="s">
        <v>13</v>
      </c>
      <c r="E2205" s="2" t="s">
        <v>3739</v>
      </c>
      <c r="F2205" s="2" t="b">
        <f t="shared" si="139"/>
        <v>0</v>
      </c>
      <c r="G2205" s="2">
        <f t="shared" si="137"/>
        <v>42306</v>
      </c>
      <c r="H2205" s="1" t="s">
        <v>41</v>
      </c>
      <c r="I2205" s="1" t="s">
        <v>385</v>
      </c>
      <c r="J2205" s="1">
        <v>30</v>
      </c>
      <c r="K2205" s="1">
        <v>27</v>
      </c>
      <c r="L2205" s="3">
        <v>0.1</v>
      </c>
      <c r="N2205" t="s">
        <v>3739</v>
      </c>
      <c r="P2205">
        <v>10</v>
      </c>
      <c r="Q2205">
        <v>29</v>
      </c>
      <c r="R2205">
        <v>2015</v>
      </c>
      <c r="S2205" s="4">
        <f t="shared" si="138"/>
        <v>42306</v>
      </c>
      <c r="T2205" s="4">
        <f t="shared" si="136"/>
        <v>42306</v>
      </c>
      <c r="U2205" s="4">
        <v>42306</v>
      </c>
    </row>
    <row r="2206" spans="1:21" x14ac:dyDescent="0.3">
      <c r="A2206" t="s">
        <v>2819</v>
      </c>
      <c r="B2206" s="1" t="s">
        <v>400</v>
      </c>
      <c r="C2206" s="1" t="s">
        <v>401</v>
      </c>
      <c r="D2206" s="1" t="s">
        <v>13</v>
      </c>
      <c r="E2206" s="2">
        <v>43077</v>
      </c>
      <c r="F2206" s="2" t="b">
        <f t="shared" si="139"/>
        <v>1</v>
      </c>
      <c r="G2206" s="2">
        <f t="shared" si="137"/>
        <v>43077</v>
      </c>
      <c r="H2206" s="1" t="s">
        <v>55</v>
      </c>
      <c r="I2206" s="1" t="s">
        <v>402</v>
      </c>
      <c r="J2206" s="1">
        <v>800</v>
      </c>
      <c r="K2206" s="1">
        <v>592</v>
      </c>
      <c r="L2206" s="3">
        <v>0.26</v>
      </c>
      <c r="N2206" t="s">
        <v>3763</v>
      </c>
      <c r="S2206" s="4" t="e">
        <f t="shared" si="138"/>
        <v>#NUM!</v>
      </c>
      <c r="T2206" s="4" t="str">
        <f t="shared" si="136"/>
        <v/>
      </c>
      <c r="U2206" s="4" t="s">
        <v>3763</v>
      </c>
    </row>
    <row r="2207" spans="1:21" x14ac:dyDescent="0.3">
      <c r="A2207" t="s">
        <v>2820</v>
      </c>
      <c r="B2207" s="1" t="s">
        <v>22</v>
      </c>
      <c r="C2207" s="1" t="s">
        <v>23</v>
      </c>
      <c r="D2207" s="1" t="s">
        <v>24</v>
      </c>
      <c r="E2207" s="2">
        <v>42980</v>
      </c>
      <c r="F2207" s="2" t="b">
        <f t="shared" si="139"/>
        <v>1</v>
      </c>
      <c r="G2207" s="2">
        <f t="shared" si="137"/>
        <v>42980</v>
      </c>
      <c r="H2207" s="1" t="s">
        <v>55</v>
      </c>
      <c r="I2207" s="1" t="s">
        <v>1584</v>
      </c>
      <c r="J2207" s="1">
        <v>800</v>
      </c>
      <c r="K2207" s="1">
        <v>680</v>
      </c>
      <c r="L2207" s="3">
        <v>0.15</v>
      </c>
      <c r="N2207" t="s">
        <v>3763</v>
      </c>
      <c r="S2207" s="4" t="e">
        <f t="shared" si="138"/>
        <v>#NUM!</v>
      </c>
      <c r="T2207" s="4" t="str">
        <f t="shared" si="136"/>
        <v/>
      </c>
      <c r="U2207" s="4" t="s">
        <v>3763</v>
      </c>
    </row>
    <row r="2208" spans="1:21" x14ac:dyDescent="0.3">
      <c r="A2208" t="s">
        <v>2821</v>
      </c>
      <c r="B2208" s="1" t="s">
        <v>434</v>
      </c>
      <c r="C2208" s="1" t="s">
        <v>435</v>
      </c>
      <c r="D2208" s="1" t="s">
        <v>24</v>
      </c>
      <c r="E2208" s="2">
        <v>42705</v>
      </c>
      <c r="F2208" s="2" t="b">
        <f t="shared" si="139"/>
        <v>1</v>
      </c>
      <c r="G2208" s="2">
        <f t="shared" si="137"/>
        <v>42705</v>
      </c>
      <c r="H2208" s="1" t="s">
        <v>25</v>
      </c>
      <c r="I2208" s="1" t="s">
        <v>585</v>
      </c>
      <c r="J2208" s="1">
        <v>700</v>
      </c>
      <c r="K2208" s="1">
        <v>693</v>
      </c>
      <c r="L2208" s="3">
        <v>0.01</v>
      </c>
      <c r="N2208" t="s">
        <v>3763</v>
      </c>
      <c r="S2208" s="4" t="e">
        <f t="shared" si="138"/>
        <v>#NUM!</v>
      </c>
      <c r="T2208" s="4" t="str">
        <f t="shared" si="136"/>
        <v/>
      </c>
      <c r="U2208" s="4" t="s">
        <v>3763</v>
      </c>
    </row>
    <row r="2209" spans="1:21" x14ac:dyDescent="0.3">
      <c r="A2209" t="s">
        <v>2822</v>
      </c>
      <c r="B2209" s="1" t="s">
        <v>124</v>
      </c>
      <c r="C2209" s="1" t="s">
        <v>40</v>
      </c>
      <c r="D2209" s="1" t="s">
        <v>35</v>
      </c>
      <c r="E2209" s="2" t="s">
        <v>3740</v>
      </c>
      <c r="F2209" s="2" t="b">
        <f t="shared" si="139"/>
        <v>0</v>
      </c>
      <c r="G2209" s="2">
        <f t="shared" si="137"/>
        <v>43021</v>
      </c>
      <c r="H2209" s="1" t="s">
        <v>30</v>
      </c>
      <c r="I2209" s="1" t="s">
        <v>863</v>
      </c>
      <c r="J2209" s="1">
        <v>150</v>
      </c>
      <c r="K2209" s="1">
        <v>141</v>
      </c>
      <c r="L2209" s="3">
        <v>0.06</v>
      </c>
      <c r="N2209" t="s">
        <v>3740</v>
      </c>
      <c r="P2209">
        <v>10</v>
      </c>
      <c r="Q2209">
        <v>13</v>
      </c>
      <c r="R2209">
        <v>2017</v>
      </c>
      <c r="S2209" s="4">
        <f t="shared" si="138"/>
        <v>43021</v>
      </c>
      <c r="T2209" s="4">
        <f t="shared" si="136"/>
        <v>43021</v>
      </c>
      <c r="U2209" s="4">
        <v>43021</v>
      </c>
    </row>
    <row r="2210" spans="1:21" x14ac:dyDescent="0.3">
      <c r="A2210" t="s">
        <v>2823</v>
      </c>
      <c r="B2210" s="1" t="s">
        <v>205</v>
      </c>
      <c r="C2210" s="1" t="s">
        <v>206</v>
      </c>
      <c r="D2210" s="1" t="s">
        <v>24</v>
      </c>
      <c r="E2210" s="2" t="s">
        <v>3741</v>
      </c>
      <c r="F2210" s="2" t="b">
        <f t="shared" si="139"/>
        <v>0</v>
      </c>
      <c r="G2210" s="2">
        <f t="shared" si="137"/>
        <v>42963</v>
      </c>
      <c r="H2210" s="1" t="s">
        <v>46</v>
      </c>
      <c r="I2210" s="1" t="s">
        <v>722</v>
      </c>
      <c r="J2210" s="1">
        <v>500</v>
      </c>
      <c r="K2210" s="1">
        <v>470</v>
      </c>
      <c r="L2210" s="3">
        <v>0.06</v>
      </c>
      <c r="N2210" t="s">
        <v>3741</v>
      </c>
      <c r="P2210">
        <v>8</v>
      </c>
      <c r="Q2210">
        <v>16</v>
      </c>
      <c r="R2210">
        <v>2017</v>
      </c>
      <c r="S2210" s="4">
        <f t="shared" si="138"/>
        <v>42963</v>
      </c>
      <c r="T2210" s="4">
        <f t="shared" si="136"/>
        <v>42963</v>
      </c>
      <c r="U2210" s="4">
        <v>42963</v>
      </c>
    </row>
    <row r="2211" spans="1:21" x14ac:dyDescent="0.3">
      <c r="A2211" t="s">
        <v>2824</v>
      </c>
      <c r="B2211" s="1" t="s">
        <v>182</v>
      </c>
      <c r="C2211" s="1" t="s">
        <v>108</v>
      </c>
      <c r="D2211" s="1" t="s">
        <v>19</v>
      </c>
      <c r="E2211" s="2">
        <v>43319</v>
      </c>
      <c r="F2211" s="2" t="b">
        <f t="shared" si="139"/>
        <v>1</v>
      </c>
      <c r="G2211" s="2">
        <f t="shared" si="137"/>
        <v>43319</v>
      </c>
      <c r="H2211" s="1" t="s">
        <v>72</v>
      </c>
      <c r="I2211" s="1" t="s">
        <v>203</v>
      </c>
      <c r="J2211" s="1">
        <v>500</v>
      </c>
      <c r="K2211" s="1">
        <v>495</v>
      </c>
      <c r="L2211" s="3">
        <v>0.01</v>
      </c>
      <c r="N2211" t="s">
        <v>3763</v>
      </c>
      <c r="S2211" s="4" t="e">
        <f t="shared" si="138"/>
        <v>#NUM!</v>
      </c>
      <c r="T2211" s="4" t="str">
        <f t="shared" si="136"/>
        <v/>
      </c>
      <c r="U2211" s="4" t="s">
        <v>3763</v>
      </c>
    </row>
    <row r="2212" spans="1:21" x14ac:dyDescent="0.3">
      <c r="A2212" t="s">
        <v>2825</v>
      </c>
      <c r="B2212" s="1" t="s">
        <v>182</v>
      </c>
      <c r="C2212" s="1" t="s">
        <v>108</v>
      </c>
      <c r="D2212" s="1" t="s">
        <v>19</v>
      </c>
      <c r="E2212" s="2">
        <v>42497</v>
      </c>
      <c r="F2212" s="2" t="b">
        <f t="shared" si="139"/>
        <v>1</v>
      </c>
      <c r="G2212" s="2">
        <f t="shared" si="137"/>
        <v>42497</v>
      </c>
      <c r="H2212" s="1" t="s">
        <v>115</v>
      </c>
      <c r="I2212" s="1" t="s">
        <v>1258</v>
      </c>
      <c r="J2212" s="1">
        <v>250</v>
      </c>
      <c r="K2212" s="1">
        <v>248</v>
      </c>
      <c r="L2212" s="3">
        <v>8.0000000000000002E-3</v>
      </c>
      <c r="N2212" t="s">
        <v>3763</v>
      </c>
      <c r="S2212" s="4" t="e">
        <f t="shared" si="138"/>
        <v>#NUM!</v>
      </c>
      <c r="T2212" s="4" t="str">
        <f t="shared" si="136"/>
        <v/>
      </c>
      <c r="U2212" s="4" t="s">
        <v>3763</v>
      </c>
    </row>
    <row r="2213" spans="1:21" x14ac:dyDescent="0.3">
      <c r="A2213" t="s">
        <v>2826</v>
      </c>
      <c r="B2213" s="1" t="s">
        <v>81</v>
      </c>
      <c r="C2213" s="1" t="s">
        <v>82</v>
      </c>
      <c r="D2213" s="1" t="s">
        <v>13</v>
      </c>
      <c r="E2213" s="2" t="s">
        <v>3386</v>
      </c>
      <c r="F2213" s="2" t="b">
        <f t="shared" si="139"/>
        <v>0</v>
      </c>
      <c r="G2213" s="2">
        <f t="shared" si="137"/>
        <v>43069</v>
      </c>
      <c r="H2213" s="1" t="s">
        <v>14</v>
      </c>
      <c r="I2213" s="1" t="s">
        <v>387</v>
      </c>
      <c r="J2213" s="1">
        <v>80</v>
      </c>
      <c r="K2213" s="1">
        <v>76</v>
      </c>
      <c r="L2213" s="3">
        <v>0.05</v>
      </c>
      <c r="N2213" t="s">
        <v>3386</v>
      </c>
      <c r="P2213">
        <v>11</v>
      </c>
      <c r="Q2213">
        <v>30</v>
      </c>
      <c r="R2213">
        <v>2017</v>
      </c>
      <c r="S2213" s="4">
        <f t="shared" si="138"/>
        <v>43069</v>
      </c>
      <c r="T2213" s="4">
        <f t="shared" si="136"/>
        <v>43069</v>
      </c>
      <c r="U2213" s="4">
        <v>43069</v>
      </c>
    </row>
    <row r="2214" spans="1:21" x14ac:dyDescent="0.3">
      <c r="A2214" t="s">
        <v>2827</v>
      </c>
      <c r="B2214" s="1" t="s">
        <v>134</v>
      </c>
      <c r="C2214" s="1" t="s">
        <v>92</v>
      </c>
      <c r="D2214" s="1" t="s">
        <v>35</v>
      </c>
      <c r="E2214" s="2">
        <v>42252</v>
      </c>
      <c r="F2214" s="2" t="b">
        <f t="shared" si="139"/>
        <v>1</v>
      </c>
      <c r="G2214" s="2">
        <f t="shared" si="137"/>
        <v>42252</v>
      </c>
      <c r="H2214" s="1" t="s">
        <v>122</v>
      </c>
      <c r="I2214" s="1" t="s">
        <v>1127</v>
      </c>
      <c r="J2214" s="1">
        <v>50</v>
      </c>
      <c r="K2214" s="1">
        <v>33</v>
      </c>
      <c r="L2214" s="3">
        <v>0.34</v>
      </c>
      <c r="N2214" t="s">
        <v>3763</v>
      </c>
      <c r="S2214" s="4" t="e">
        <f t="shared" si="138"/>
        <v>#NUM!</v>
      </c>
      <c r="T2214" s="4" t="str">
        <f t="shared" si="136"/>
        <v/>
      </c>
      <c r="U2214" s="4" t="s">
        <v>3763</v>
      </c>
    </row>
    <row r="2215" spans="1:21" x14ac:dyDescent="0.3">
      <c r="A2215" t="s">
        <v>2828</v>
      </c>
      <c r="B2215" s="1" t="s">
        <v>44</v>
      </c>
      <c r="C2215" s="1" t="s">
        <v>45</v>
      </c>
      <c r="D2215" s="1" t="s">
        <v>24</v>
      </c>
      <c r="E2215" s="2" t="s">
        <v>3586</v>
      </c>
      <c r="F2215" s="2" t="b">
        <f t="shared" si="139"/>
        <v>0</v>
      </c>
      <c r="G2215" s="2">
        <f t="shared" si="137"/>
        <v>43295</v>
      </c>
      <c r="H2215" s="1" t="s">
        <v>46</v>
      </c>
      <c r="I2215" s="1" t="s">
        <v>1102</v>
      </c>
      <c r="J2215" s="1">
        <v>500</v>
      </c>
      <c r="K2215" s="1">
        <v>475</v>
      </c>
      <c r="L2215" s="3">
        <v>0.05</v>
      </c>
      <c r="N2215" t="s">
        <v>3586</v>
      </c>
      <c r="P2215">
        <v>7</v>
      </c>
      <c r="Q2215">
        <v>14</v>
      </c>
      <c r="R2215">
        <v>2018</v>
      </c>
      <c r="S2215" s="4">
        <f t="shared" si="138"/>
        <v>43295</v>
      </c>
      <c r="T2215" s="4">
        <f t="shared" si="136"/>
        <v>43295</v>
      </c>
      <c r="U2215" s="4">
        <v>43295</v>
      </c>
    </row>
    <row r="2216" spans="1:21" x14ac:dyDescent="0.3">
      <c r="A2216" t="s">
        <v>2829</v>
      </c>
      <c r="B2216" s="1" t="s">
        <v>118</v>
      </c>
      <c r="C2216" s="1" t="s">
        <v>119</v>
      </c>
      <c r="D2216" s="1" t="s">
        <v>35</v>
      </c>
      <c r="E2216" s="2">
        <v>43226</v>
      </c>
      <c r="F2216" s="2" t="b">
        <f t="shared" si="139"/>
        <v>1</v>
      </c>
      <c r="G2216" s="2">
        <f t="shared" si="137"/>
        <v>43226</v>
      </c>
      <c r="H2216" s="1" t="s">
        <v>25</v>
      </c>
      <c r="I2216" s="1" t="s">
        <v>847</v>
      </c>
      <c r="J2216" s="1">
        <v>700</v>
      </c>
      <c r="K2216" s="1">
        <v>686</v>
      </c>
      <c r="L2216" s="3">
        <v>0.02</v>
      </c>
      <c r="N2216" t="s">
        <v>3763</v>
      </c>
      <c r="S2216" s="4" t="e">
        <f t="shared" si="138"/>
        <v>#NUM!</v>
      </c>
      <c r="T2216" s="4" t="str">
        <f t="shared" si="136"/>
        <v/>
      </c>
      <c r="U2216" s="4" t="s">
        <v>3763</v>
      </c>
    </row>
    <row r="2217" spans="1:21" x14ac:dyDescent="0.3">
      <c r="A2217" t="s">
        <v>2830</v>
      </c>
      <c r="B2217" s="1" t="s">
        <v>53</v>
      </c>
      <c r="C2217" s="1" t="s">
        <v>54</v>
      </c>
      <c r="D2217" s="1" t="s">
        <v>13</v>
      </c>
      <c r="E2217" s="2">
        <v>41976</v>
      </c>
      <c r="F2217" s="2" t="b">
        <f t="shared" si="139"/>
        <v>1</v>
      </c>
      <c r="G2217" s="2">
        <f t="shared" si="137"/>
        <v>41976</v>
      </c>
      <c r="H2217" s="1" t="s">
        <v>61</v>
      </c>
      <c r="I2217" s="1" t="s">
        <v>795</v>
      </c>
      <c r="J2217" s="1">
        <v>1000</v>
      </c>
      <c r="K2217" s="1">
        <v>780</v>
      </c>
      <c r="L2217" s="3">
        <v>0.22</v>
      </c>
      <c r="N2217" t="s">
        <v>3763</v>
      </c>
      <c r="S2217" s="4" t="e">
        <f t="shared" si="138"/>
        <v>#NUM!</v>
      </c>
      <c r="T2217" s="4" t="str">
        <f t="shared" si="136"/>
        <v/>
      </c>
      <c r="U2217" s="4" t="s">
        <v>3763</v>
      </c>
    </row>
    <row r="2218" spans="1:21" x14ac:dyDescent="0.3">
      <c r="A2218" t="s">
        <v>2831</v>
      </c>
      <c r="B2218" s="1" t="s">
        <v>2170</v>
      </c>
      <c r="C2218" s="1" t="s">
        <v>18</v>
      </c>
      <c r="D2218" s="1" t="s">
        <v>19</v>
      </c>
      <c r="E2218" s="2" t="s">
        <v>3196</v>
      </c>
      <c r="F2218" s="2" t="b">
        <f t="shared" si="139"/>
        <v>0</v>
      </c>
      <c r="G2218" s="2">
        <f t="shared" si="137"/>
        <v>41790</v>
      </c>
      <c r="H2218" s="1" t="s">
        <v>61</v>
      </c>
      <c r="I2218" s="1" t="s">
        <v>2457</v>
      </c>
      <c r="J2218" s="1">
        <v>1000</v>
      </c>
      <c r="K2218" s="1">
        <v>510</v>
      </c>
      <c r="L2218" s="3">
        <v>0.49</v>
      </c>
      <c r="N2218" t="s">
        <v>3196</v>
      </c>
      <c r="P2218">
        <v>5</v>
      </c>
      <c r="Q2218">
        <v>31</v>
      </c>
      <c r="R2218">
        <v>2014</v>
      </c>
      <c r="S2218" s="4">
        <f t="shared" si="138"/>
        <v>41790</v>
      </c>
      <c r="T2218" s="4">
        <f t="shared" si="136"/>
        <v>41790</v>
      </c>
      <c r="U2218" s="4">
        <v>41790</v>
      </c>
    </row>
    <row r="2219" spans="1:21" x14ac:dyDescent="0.3">
      <c r="A2219" t="s">
        <v>2832</v>
      </c>
      <c r="B2219" s="1" t="s">
        <v>131</v>
      </c>
      <c r="C2219" s="1" t="s">
        <v>108</v>
      </c>
      <c r="D2219" s="1" t="s">
        <v>19</v>
      </c>
      <c r="E2219" s="2" t="s">
        <v>3229</v>
      </c>
      <c r="F2219" s="2" t="b">
        <f t="shared" si="139"/>
        <v>0</v>
      </c>
      <c r="G2219" s="2">
        <f t="shared" si="137"/>
        <v>42728</v>
      </c>
      <c r="H2219" s="1" t="s">
        <v>122</v>
      </c>
      <c r="I2219" s="1" t="s">
        <v>793</v>
      </c>
      <c r="J2219" s="1">
        <v>50</v>
      </c>
      <c r="K2219" s="1">
        <v>49</v>
      </c>
      <c r="L2219" s="3">
        <v>0.02</v>
      </c>
      <c r="N2219" t="s">
        <v>3229</v>
      </c>
      <c r="P2219">
        <v>12</v>
      </c>
      <c r="Q2219">
        <v>24</v>
      </c>
      <c r="R2219">
        <v>2016</v>
      </c>
      <c r="S2219" s="4">
        <f t="shared" si="138"/>
        <v>42728</v>
      </c>
      <c r="T2219" s="4">
        <f t="shared" si="136"/>
        <v>42728</v>
      </c>
      <c r="U2219" s="4">
        <v>42728</v>
      </c>
    </row>
    <row r="2220" spans="1:21" x14ac:dyDescent="0.3">
      <c r="A2220" t="s">
        <v>2833</v>
      </c>
      <c r="B2220" s="1" t="s">
        <v>124</v>
      </c>
      <c r="C2220" s="1" t="s">
        <v>40</v>
      </c>
      <c r="D2220" s="1" t="s">
        <v>35</v>
      </c>
      <c r="E2220" s="2" t="s">
        <v>3742</v>
      </c>
      <c r="F2220" s="2" t="b">
        <f t="shared" si="139"/>
        <v>0</v>
      </c>
      <c r="G2220" s="2">
        <f t="shared" si="137"/>
        <v>43027</v>
      </c>
      <c r="H2220" s="1" t="s">
        <v>55</v>
      </c>
      <c r="I2220" s="1" t="s">
        <v>575</v>
      </c>
      <c r="J2220" s="1">
        <v>800</v>
      </c>
      <c r="K2220" s="1">
        <v>512</v>
      </c>
      <c r="L2220" s="3">
        <v>0.36</v>
      </c>
      <c r="N2220" t="s">
        <v>3742</v>
      </c>
      <c r="P2220">
        <v>10</v>
      </c>
      <c r="Q2220">
        <v>19</v>
      </c>
      <c r="R2220">
        <v>2017</v>
      </c>
      <c r="S2220" s="4">
        <f t="shared" si="138"/>
        <v>43027</v>
      </c>
      <c r="T2220" s="4">
        <f t="shared" si="136"/>
        <v>43027</v>
      </c>
      <c r="U2220" s="4">
        <v>43027</v>
      </c>
    </row>
    <row r="2221" spans="1:21" x14ac:dyDescent="0.3">
      <c r="A2221" t="s">
        <v>2834</v>
      </c>
      <c r="B2221" s="1" t="s">
        <v>205</v>
      </c>
      <c r="C2221" s="1" t="s">
        <v>206</v>
      </c>
      <c r="D2221" s="1" t="s">
        <v>24</v>
      </c>
      <c r="E2221" s="2">
        <v>42043</v>
      </c>
      <c r="F2221" s="2" t="b">
        <f t="shared" si="139"/>
        <v>1</v>
      </c>
      <c r="G2221" s="2">
        <f t="shared" si="137"/>
        <v>42043</v>
      </c>
      <c r="H2221" s="1" t="s">
        <v>55</v>
      </c>
      <c r="I2221" s="1" t="s">
        <v>1872</v>
      </c>
      <c r="J2221" s="1">
        <v>800</v>
      </c>
      <c r="K2221" s="1">
        <v>656</v>
      </c>
      <c r="L2221" s="3">
        <v>0.18</v>
      </c>
      <c r="N2221" t="s">
        <v>3763</v>
      </c>
      <c r="S2221" s="4" t="e">
        <f t="shared" si="138"/>
        <v>#NUM!</v>
      </c>
      <c r="T2221" s="4" t="str">
        <f t="shared" si="136"/>
        <v/>
      </c>
      <c r="U2221" s="4" t="s">
        <v>3763</v>
      </c>
    </row>
    <row r="2222" spans="1:21" x14ac:dyDescent="0.3">
      <c r="A2222" t="s">
        <v>2835</v>
      </c>
      <c r="B2222" s="1" t="s">
        <v>205</v>
      </c>
      <c r="C2222" s="1" t="s">
        <v>206</v>
      </c>
      <c r="D2222" s="1" t="s">
        <v>24</v>
      </c>
      <c r="E2222" s="2" t="s">
        <v>3618</v>
      </c>
      <c r="F2222" s="2" t="b">
        <f t="shared" si="139"/>
        <v>0</v>
      </c>
      <c r="G2222" s="2">
        <f t="shared" si="137"/>
        <v>42123</v>
      </c>
      <c r="H2222" s="1" t="s">
        <v>14</v>
      </c>
      <c r="I2222" s="1" t="s">
        <v>660</v>
      </c>
      <c r="J2222" s="1">
        <v>80</v>
      </c>
      <c r="K2222" s="1">
        <v>72</v>
      </c>
      <c r="L2222" s="3">
        <v>0.1</v>
      </c>
      <c r="N2222" t="s">
        <v>3618</v>
      </c>
      <c r="P2222">
        <v>4</v>
      </c>
      <c r="Q2222">
        <v>29</v>
      </c>
      <c r="R2222">
        <v>2015</v>
      </c>
      <c r="S2222" s="4">
        <f t="shared" si="138"/>
        <v>42123</v>
      </c>
      <c r="T2222" s="4">
        <f t="shared" si="136"/>
        <v>42123</v>
      </c>
      <c r="U2222" s="4">
        <v>42123</v>
      </c>
    </row>
    <row r="2223" spans="1:21" x14ac:dyDescent="0.3">
      <c r="A2223" t="s">
        <v>2836</v>
      </c>
      <c r="B2223" s="1" t="s">
        <v>103</v>
      </c>
      <c r="C2223" s="1" t="s">
        <v>71</v>
      </c>
      <c r="D2223" s="1" t="s">
        <v>35</v>
      </c>
      <c r="E2223" s="2" t="s">
        <v>3743</v>
      </c>
      <c r="F2223" s="2" t="b">
        <f t="shared" si="139"/>
        <v>0</v>
      </c>
      <c r="G2223" s="2">
        <f t="shared" si="137"/>
        <v>41879</v>
      </c>
      <c r="H2223" s="1" t="s">
        <v>72</v>
      </c>
      <c r="I2223" s="1" t="s">
        <v>105</v>
      </c>
      <c r="J2223" s="1">
        <v>500</v>
      </c>
      <c r="K2223" s="1">
        <v>500</v>
      </c>
      <c r="L2223" s="3">
        <v>0</v>
      </c>
      <c r="N2223" t="s">
        <v>3743</v>
      </c>
      <c r="P2223">
        <v>8</v>
      </c>
      <c r="Q2223">
        <v>28</v>
      </c>
      <c r="R2223">
        <v>2014</v>
      </c>
      <c r="S2223" s="4">
        <f t="shared" si="138"/>
        <v>41879</v>
      </c>
      <c r="T2223" s="4">
        <f t="shared" si="136"/>
        <v>41879</v>
      </c>
      <c r="U2223" s="4">
        <v>41879</v>
      </c>
    </row>
    <row r="2224" spans="1:21" x14ac:dyDescent="0.3">
      <c r="A2224" t="s">
        <v>2837</v>
      </c>
      <c r="B2224" s="1" t="s">
        <v>103</v>
      </c>
      <c r="C2224" s="1" t="s">
        <v>71</v>
      </c>
      <c r="D2224" s="1" t="s">
        <v>35</v>
      </c>
      <c r="E2224" s="2">
        <v>41950</v>
      </c>
      <c r="F2224" s="2" t="b">
        <f t="shared" si="139"/>
        <v>1</v>
      </c>
      <c r="G2224" s="2">
        <f t="shared" si="137"/>
        <v>41950</v>
      </c>
      <c r="H2224" s="1" t="s">
        <v>55</v>
      </c>
      <c r="I2224" s="1" t="s">
        <v>592</v>
      </c>
      <c r="J2224" s="1">
        <v>800</v>
      </c>
      <c r="K2224" s="1">
        <v>472</v>
      </c>
      <c r="L2224" s="3">
        <v>0.41</v>
      </c>
      <c r="N2224" t="s">
        <v>3763</v>
      </c>
      <c r="S2224" s="4" t="e">
        <f t="shared" si="138"/>
        <v>#NUM!</v>
      </c>
      <c r="T2224" s="4" t="str">
        <f t="shared" si="136"/>
        <v/>
      </c>
      <c r="U2224" s="4" t="s">
        <v>3763</v>
      </c>
    </row>
    <row r="2225" spans="1:21" x14ac:dyDescent="0.3">
      <c r="A2225" t="s">
        <v>2838</v>
      </c>
      <c r="B2225" s="1" t="s">
        <v>70</v>
      </c>
      <c r="C2225" s="1" t="s">
        <v>71</v>
      </c>
      <c r="D2225" s="1" t="s">
        <v>35</v>
      </c>
      <c r="E2225" s="2" t="s">
        <v>3375</v>
      </c>
      <c r="F2225" s="2" t="b">
        <f t="shared" si="139"/>
        <v>0</v>
      </c>
      <c r="G2225" s="2">
        <f t="shared" si="137"/>
        <v>43128</v>
      </c>
      <c r="H2225" s="1" t="s">
        <v>14</v>
      </c>
      <c r="I2225" s="1" t="s">
        <v>391</v>
      </c>
      <c r="J2225" s="1">
        <v>80</v>
      </c>
      <c r="K2225" s="1">
        <v>80</v>
      </c>
      <c r="L2225" s="3">
        <v>0</v>
      </c>
      <c r="N2225" t="s">
        <v>3375</v>
      </c>
      <c r="P2225">
        <v>1</v>
      </c>
      <c r="Q2225">
        <v>28</v>
      </c>
      <c r="R2225">
        <v>2018</v>
      </c>
      <c r="S2225" s="4">
        <f t="shared" si="138"/>
        <v>43128</v>
      </c>
      <c r="T2225" s="4">
        <f t="shared" si="136"/>
        <v>43128</v>
      </c>
      <c r="U2225" s="4">
        <v>43128</v>
      </c>
    </row>
    <row r="2226" spans="1:21" x14ac:dyDescent="0.3">
      <c r="A2226" t="s">
        <v>2839</v>
      </c>
      <c r="B2226" s="1" t="s">
        <v>187</v>
      </c>
      <c r="C2226" s="1" t="s">
        <v>188</v>
      </c>
      <c r="D2226" s="1" t="s">
        <v>13</v>
      </c>
      <c r="E2226" s="2" t="s">
        <v>3744</v>
      </c>
      <c r="F2226" s="2" t="b">
        <f t="shared" si="139"/>
        <v>0</v>
      </c>
      <c r="G2226" s="2">
        <f t="shared" si="137"/>
        <v>42080</v>
      </c>
      <c r="H2226" s="1" t="s">
        <v>104</v>
      </c>
      <c r="I2226" s="1" t="s">
        <v>1150</v>
      </c>
      <c r="J2226" s="1">
        <v>70</v>
      </c>
      <c r="K2226" s="1">
        <v>64</v>
      </c>
      <c r="L2226" s="3">
        <v>8.5699999999999998E-2</v>
      </c>
      <c r="N2226" t="s">
        <v>3744</v>
      </c>
      <c r="P2226">
        <v>3</v>
      </c>
      <c r="Q2226">
        <v>17</v>
      </c>
      <c r="R2226">
        <v>2015</v>
      </c>
      <c r="S2226" s="4">
        <f t="shared" si="138"/>
        <v>42080</v>
      </c>
      <c r="T2226" s="4">
        <f t="shared" si="136"/>
        <v>42080</v>
      </c>
      <c r="U2226" s="4">
        <v>42080</v>
      </c>
    </row>
    <row r="2227" spans="1:21" x14ac:dyDescent="0.3">
      <c r="A2227" t="s">
        <v>2840</v>
      </c>
      <c r="B2227" s="1" t="s">
        <v>182</v>
      </c>
      <c r="C2227" s="1" t="s">
        <v>108</v>
      </c>
      <c r="D2227" s="1" t="s">
        <v>19</v>
      </c>
      <c r="E2227" s="2">
        <v>41917</v>
      </c>
      <c r="F2227" s="2" t="b">
        <f t="shared" si="139"/>
        <v>1</v>
      </c>
      <c r="G2227" s="2">
        <f t="shared" si="137"/>
        <v>41917</v>
      </c>
      <c r="H2227" s="1" t="s">
        <v>30</v>
      </c>
      <c r="I2227" s="1" t="s">
        <v>2016</v>
      </c>
      <c r="J2227" s="1">
        <v>150</v>
      </c>
      <c r="K2227" s="1">
        <v>114</v>
      </c>
      <c r="L2227" s="3">
        <v>0.24</v>
      </c>
      <c r="N2227" t="s">
        <v>3763</v>
      </c>
      <c r="S2227" s="4" t="e">
        <f t="shared" si="138"/>
        <v>#NUM!</v>
      </c>
      <c r="T2227" s="4" t="str">
        <f t="shared" si="136"/>
        <v/>
      </c>
      <c r="U2227" s="4" t="s">
        <v>3763</v>
      </c>
    </row>
    <row r="2228" spans="1:21" x14ac:dyDescent="0.3">
      <c r="A2228" t="s">
        <v>2841</v>
      </c>
      <c r="B2228" s="1" t="s">
        <v>28</v>
      </c>
      <c r="C2228" s="1" t="s">
        <v>29</v>
      </c>
      <c r="D2228" s="1" t="s">
        <v>13</v>
      </c>
      <c r="E2228" s="2">
        <v>42888</v>
      </c>
      <c r="F2228" s="2" t="b">
        <f t="shared" si="139"/>
        <v>1</v>
      </c>
      <c r="G2228" s="2">
        <f t="shared" si="137"/>
        <v>42888</v>
      </c>
      <c r="H2228" s="1" t="s">
        <v>14</v>
      </c>
      <c r="I2228" s="1" t="s">
        <v>2842</v>
      </c>
      <c r="J2228" s="1">
        <v>80</v>
      </c>
      <c r="K2228" s="1">
        <v>73</v>
      </c>
      <c r="L2228" s="3">
        <v>8.7499999999999994E-2</v>
      </c>
      <c r="N2228" t="s">
        <v>3763</v>
      </c>
      <c r="S2228" s="4" t="e">
        <f t="shared" si="138"/>
        <v>#NUM!</v>
      </c>
      <c r="T2228" s="4" t="str">
        <f t="shared" si="136"/>
        <v/>
      </c>
      <c r="U2228" s="4" t="s">
        <v>3763</v>
      </c>
    </row>
    <row r="2229" spans="1:21" x14ac:dyDescent="0.3">
      <c r="A2229" t="s">
        <v>2843</v>
      </c>
      <c r="B2229" s="1" t="s">
        <v>127</v>
      </c>
      <c r="C2229" s="1" t="s">
        <v>128</v>
      </c>
      <c r="D2229" s="1" t="s">
        <v>13</v>
      </c>
      <c r="E2229" s="2" t="s">
        <v>3464</v>
      </c>
      <c r="F2229" s="2" t="b">
        <f t="shared" si="139"/>
        <v>0</v>
      </c>
      <c r="G2229" s="2">
        <f t="shared" si="137"/>
        <v>42760</v>
      </c>
      <c r="H2229" s="1" t="s">
        <v>122</v>
      </c>
      <c r="I2229" s="1" t="s">
        <v>210</v>
      </c>
      <c r="J2229" s="1">
        <v>50</v>
      </c>
      <c r="K2229" s="1">
        <v>47</v>
      </c>
      <c r="L2229" s="3">
        <v>0.06</v>
      </c>
      <c r="N2229" t="s">
        <v>3464</v>
      </c>
      <c r="P2229">
        <v>1</v>
      </c>
      <c r="Q2229">
        <v>25</v>
      </c>
      <c r="R2229">
        <v>2017</v>
      </c>
      <c r="S2229" s="4">
        <f t="shared" si="138"/>
        <v>42760</v>
      </c>
      <c r="T2229" s="4">
        <f t="shared" si="136"/>
        <v>42760</v>
      </c>
      <c r="U2229" s="4">
        <v>42760</v>
      </c>
    </row>
    <row r="2230" spans="1:21" x14ac:dyDescent="0.3">
      <c r="A2230" t="s">
        <v>2844</v>
      </c>
      <c r="B2230" s="1" t="s">
        <v>224</v>
      </c>
      <c r="C2230" s="1" t="s">
        <v>50</v>
      </c>
      <c r="D2230" s="1" t="s">
        <v>24</v>
      </c>
      <c r="E2230" s="2">
        <v>43354</v>
      </c>
      <c r="F2230" s="2" t="b">
        <f t="shared" si="139"/>
        <v>1</v>
      </c>
      <c r="G2230" s="2">
        <f t="shared" si="137"/>
        <v>43354</v>
      </c>
      <c r="H2230" s="1" t="s">
        <v>61</v>
      </c>
      <c r="I2230" s="1" t="s">
        <v>774</v>
      </c>
      <c r="J2230" s="1">
        <v>1000</v>
      </c>
      <c r="K2230" s="1">
        <v>960</v>
      </c>
      <c r="L2230" s="3">
        <v>0.04</v>
      </c>
      <c r="N2230" t="s">
        <v>3763</v>
      </c>
      <c r="S2230" s="4" t="e">
        <f t="shared" si="138"/>
        <v>#NUM!</v>
      </c>
      <c r="T2230" s="4" t="str">
        <f t="shared" si="136"/>
        <v/>
      </c>
      <c r="U2230" s="4" t="s">
        <v>3763</v>
      </c>
    </row>
    <row r="2231" spans="1:21" x14ac:dyDescent="0.3">
      <c r="A2231" t="s">
        <v>2845</v>
      </c>
      <c r="B2231" s="1" t="s">
        <v>157</v>
      </c>
      <c r="C2231" s="1" t="s">
        <v>108</v>
      </c>
      <c r="D2231" s="1" t="s">
        <v>19</v>
      </c>
      <c r="E2231" s="2" t="s">
        <v>3505</v>
      </c>
      <c r="F2231" s="2" t="b">
        <f t="shared" si="139"/>
        <v>0</v>
      </c>
      <c r="G2231" s="2">
        <f t="shared" si="137"/>
        <v>42642</v>
      </c>
      <c r="H2231" s="1" t="s">
        <v>61</v>
      </c>
      <c r="I2231" s="1" t="s">
        <v>1870</v>
      </c>
      <c r="J2231" s="1">
        <v>1000</v>
      </c>
      <c r="K2231" s="1">
        <v>990</v>
      </c>
      <c r="L2231" s="3">
        <v>0.01</v>
      </c>
      <c r="N2231" t="s">
        <v>3505</v>
      </c>
      <c r="P2231">
        <v>9</v>
      </c>
      <c r="Q2231">
        <v>29</v>
      </c>
      <c r="R2231">
        <v>2016</v>
      </c>
      <c r="S2231" s="4">
        <f t="shared" si="138"/>
        <v>42642</v>
      </c>
      <c r="T2231" s="4">
        <f t="shared" si="136"/>
        <v>42642</v>
      </c>
      <c r="U2231" s="4">
        <v>42642</v>
      </c>
    </row>
    <row r="2232" spans="1:21" x14ac:dyDescent="0.3">
      <c r="A2232" t="s">
        <v>2846</v>
      </c>
      <c r="B2232" s="1" t="s">
        <v>205</v>
      </c>
      <c r="C2232" s="1" t="s">
        <v>206</v>
      </c>
      <c r="D2232" s="1" t="s">
        <v>24</v>
      </c>
      <c r="E2232" s="2" t="s">
        <v>3745</v>
      </c>
      <c r="F2232" s="2" t="b">
        <f t="shared" si="139"/>
        <v>0</v>
      </c>
      <c r="G2232" s="2">
        <f t="shared" si="137"/>
        <v>43393</v>
      </c>
      <c r="H2232" s="1" t="s">
        <v>55</v>
      </c>
      <c r="I2232" s="1" t="s">
        <v>207</v>
      </c>
      <c r="J2232" s="1">
        <v>800</v>
      </c>
      <c r="K2232" s="1">
        <v>720</v>
      </c>
      <c r="L2232" s="3">
        <v>0.1</v>
      </c>
      <c r="N2232" t="s">
        <v>3745</v>
      </c>
      <c r="P2232">
        <v>10</v>
      </c>
      <c r="Q2232">
        <v>20</v>
      </c>
      <c r="R2232">
        <v>2018</v>
      </c>
      <c r="S2232" s="4">
        <f t="shared" si="138"/>
        <v>43393</v>
      </c>
      <c r="T2232" s="4">
        <f t="shared" si="136"/>
        <v>43393</v>
      </c>
      <c r="U2232" s="4">
        <v>43393</v>
      </c>
    </row>
    <row r="2233" spans="1:21" x14ac:dyDescent="0.3">
      <c r="A2233" t="s">
        <v>2847</v>
      </c>
      <c r="B2233" s="1" t="s">
        <v>182</v>
      </c>
      <c r="C2233" s="1" t="s">
        <v>108</v>
      </c>
      <c r="D2233" s="1" t="s">
        <v>19</v>
      </c>
      <c r="E2233" s="2">
        <v>42255</v>
      </c>
      <c r="F2233" s="2" t="b">
        <f t="shared" si="139"/>
        <v>1</v>
      </c>
      <c r="G2233" s="2">
        <f t="shared" si="137"/>
        <v>42255</v>
      </c>
      <c r="H2233" s="1" t="s">
        <v>55</v>
      </c>
      <c r="I2233" s="1" t="s">
        <v>1043</v>
      </c>
      <c r="J2233" s="1">
        <v>800</v>
      </c>
      <c r="K2233" s="1">
        <v>600</v>
      </c>
      <c r="L2233" s="3">
        <v>0.25</v>
      </c>
      <c r="N2233" t="s">
        <v>3763</v>
      </c>
      <c r="S2233" s="4" t="e">
        <f t="shared" si="138"/>
        <v>#NUM!</v>
      </c>
      <c r="T2233" s="4" t="str">
        <f t="shared" si="136"/>
        <v/>
      </c>
      <c r="U2233" s="4" t="s">
        <v>3763</v>
      </c>
    </row>
    <row r="2234" spans="1:21" x14ac:dyDescent="0.3">
      <c r="A2234" t="s">
        <v>2848</v>
      </c>
      <c r="B2234" s="1" t="s">
        <v>146</v>
      </c>
      <c r="C2234" s="1" t="s">
        <v>147</v>
      </c>
      <c r="D2234" s="1" t="s">
        <v>13</v>
      </c>
      <c r="E2234" s="2">
        <v>42372</v>
      </c>
      <c r="F2234" s="2" t="b">
        <f t="shared" si="139"/>
        <v>1</v>
      </c>
      <c r="G2234" s="2">
        <f t="shared" si="137"/>
        <v>42372</v>
      </c>
      <c r="H2234" s="1" t="s">
        <v>46</v>
      </c>
      <c r="I2234" s="1" t="s">
        <v>725</v>
      </c>
      <c r="J2234" s="1">
        <v>500</v>
      </c>
      <c r="K2234" s="1">
        <v>435</v>
      </c>
      <c r="L2234" s="3">
        <v>0.13</v>
      </c>
      <c r="N2234" t="s">
        <v>3763</v>
      </c>
      <c r="S2234" s="4" t="e">
        <f t="shared" si="138"/>
        <v>#NUM!</v>
      </c>
      <c r="T2234" s="4" t="str">
        <f t="shared" si="136"/>
        <v/>
      </c>
      <c r="U2234" s="4" t="s">
        <v>3763</v>
      </c>
    </row>
    <row r="2235" spans="1:21" x14ac:dyDescent="0.3">
      <c r="A2235" t="s">
        <v>2849</v>
      </c>
      <c r="B2235" s="1" t="s">
        <v>205</v>
      </c>
      <c r="C2235" s="1" t="s">
        <v>206</v>
      </c>
      <c r="D2235" s="1" t="s">
        <v>24</v>
      </c>
      <c r="E2235" s="2" t="s">
        <v>3059</v>
      </c>
      <c r="F2235" s="2" t="b">
        <f t="shared" si="139"/>
        <v>0</v>
      </c>
      <c r="G2235" s="2">
        <f t="shared" si="137"/>
        <v>41696</v>
      </c>
      <c r="H2235" s="1" t="s">
        <v>41</v>
      </c>
      <c r="I2235" s="1" t="s">
        <v>1478</v>
      </c>
      <c r="J2235" s="1">
        <v>30</v>
      </c>
      <c r="K2235" s="1">
        <v>25</v>
      </c>
      <c r="L2235" s="3">
        <v>0.16669999999999999</v>
      </c>
      <c r="N2235" t="s">
        <v>3059</v>
      </c>
      <c r="P2235">
        <v>2</v>
      </c>
      <c r="Q2235">
        <v>26</v>
      </c>
      <c r="R2235">
        <v>2014</v>
      </c>
      <c r="S2235" s="4">
        <f t="shared" si="138"/>
        <v>41696</v>
      </c>
      <c r="T2235" s="4">
        <f t="shared" si="136"/>
        <v>41696</v>
      </c>
      <c r="U2235" s="4">
        <v>41696</v>
      </c>
    </row>
    <row r="2236" spans="1:21" x14ac:dyDescent="0.3">
      <c r="A2236" t="s">
        <v>2850</v>
      </c>
      <c r="B2236" s="1" t="s">
        <v>221</v>
      </c>
      <c r="C2236" s="1" t="s">
        <v>40</v>
      </c>
      <c r="D2236" s="1" t="s">
        <v>35</v>
      </c>
      <c r="E2236" s="2" t="s">
        <v>3746</v>
      </c>
      <c r="F2236" s="2" t="b">
        <f t="shared" si="139"/>
        <v>0</v>
      </c>
      <c r="G2236" s="2">
        <f t="shared" si="137"/>
        <v>41655</v>
      </c>
      <c r="H2236" s="1" t="s">
        <v>36</v>
      </c>
      <c r="I2236" s="1" t="s">
        <v>1179</v>
      </c>
      <c r="J2236" s="1">
        <v>50</v>
      </c>
      <c r="K2236" s="1">
        <v>46</v>
      </c>
      <c r="L2236" s="3">
        <v>0.08</v>
      </c>
      <c r="N2236" t="s">
        <v>3746</v>
      </c>
      <c r="P2236">
        <v>1</v>
      </c>
      <c r="Q2236">
        <v>16</v>
      </c>
      <c r="R2236">
        <v>2014</v>
      </c>
      <c r="S2236" s="4">
        <f t="shared" si="138"/>
        <v>41655</v>
      </c>
      <c r="T2236" s="4">
        <f t="shared" si="136"/>
        <v>41655</v>
      </c>
      <c r="U2236" s="4">
        <v>41655</v>
      </c>
    </row>
    <row r="2237" spans="1:21" x14ac:dyDescent="0.3">
      <c r="A2237" t="s">
        <v>2851</v>
      </c>
      <c r="B2237" s="1" t="s">
        <v>53</v>
      </c>
      <c r="C2237" s="1" t="s">
        <v>54</v>
      </c>
      <c r="D2237" s="1" t="s">
        <v>13</v>
      </c>
      <c r="E2237" s="2">
        <v>41921</v>
      </c>
      <c r="F2237" s="2" t="b">
        <f t="shared" si="139"/>
        <v>1</v>
      </c>
      <c r="G2237" s="2">
        <f t="shared" si="137"/>
        <v>41921</v>
      </c>
      <c r="H2237" s="1" t="s">
        <v>36</v>
      </c>
      <c r="I2237" s="1" t="s">
        <v>647</v>
      </c>
      <c r="J2237" s="1">
        <v>50</v>
      </c>
      <c r="K2237" s="1">
        <v>48</v>
      </c>
      <c r="L2237" s="3">
        <v>0.04</v>
      </c>
      <c r="N2237" t="s">
        <v>3763</v>
      </c>
      <c r="S2237" s="4" t="e">
        <f t="shared" si="138"/>
        <v>#NUM!</v>
      </c>
      <c r="T2237" s="4" t="str">
        <f t="shared" si="136"/>
        <v/>
      </c>
      <c r="U2237" s="4" t="s">
        <v>3763</v>
      </c>
    </row>
    <row r="2238" spans="1:21" x14ac:dyDescent="0.3">
      <c r="A2238" t="s">
        <v>2852</v>
      </c>
      <c r="B2238" s="1" t="s">
        <v>150</v>
      </c>
      <c r="C2238" s="1" t="s">
        <v>151</v>
      </c>
      <c r="D2238" s="1" t="s">
        <v>13</v>
      </c>
      <c r="E2238" s="2" t="s">
        <v>3335</v>
      </c>
      <c r="F2238" s="2" t="b">
        <f t="shared" si="139"/>
        <v>0</v>
      </c>
      <c r="G2238" s="2">
        <f t="shared" si="137"/>
        <v>42608</v>
      </c>
      <c r="H2238" s="1" t="s">
        <v>30</v>
      </c>
      <c r="I2238" s="1" t="s">
        <v>771</v>
      </c>
      <c r="J2238" s="1">
        <v>150</v>
      </c>
      <c r="K2238" s="1">
        <v>134</v>
      </c>
      <c r="L2238" s="3">
        <v>0.1067</v>
      </c>
      <c r="N2238" t="s">
        <v>3335</v>
      </c>
      <c r="P2238">
        <v>8</v>
      </c>
      <c r="Q2238">
        <v>26</v>
      </c>
      <c r="R2238">
        <v>2016</v>
      </c>
      <c r="S2238" s="4">
        <f t="shared" si="138"/>
        <v>42608</v>
      </c>
      <c r="T2238" s="4">
        <f t="shared" si="136"/>
        <v>42608</v>
      </c>
      <c r="U2238" s="4">
        <v>42608</v>
      </c>
    </row>
    <row r="2239" spans="1:21" x14ac:dyDescent="0.3">
      <c r="A2239" t="s">
        <v>2853</v>
      </c>
      <c r="B2239" s="1" t="s">
        <v>224</v>
      </c>
      <c r="C2239" s="1" t="s">
        <v>50</v>
      </c>
      <c r="D2239" s="1" t="s">
        <v>24</v>
      </c>
      <c r="E2239" s="2" t="s">
        <v>3747</v>
      </c>
      <c r="F2239" s="2" t="b">
        <f t="shared" si="139"/>
        <v>0</v>
      </c>
      <c r="G2239" s="2">
        <f t="shared" si="137"/>
        <v>41727</v>
      </c>
      <c r="H2239" s="1" t="s">
        <v>14</v>
      </c>
      <c r="I2239" s="1" t="s">
        <v>2854</v>
      </c>
      <c r="J2239" s="1">
        <v>80</v>
      </c>
      <c r="K2239" s="1">
        <v>75</v>
      </c>
      <c r="L2239" s="3">
        <v>6.25E-2</v>
      </c>
      <c r="N2239" t="s">
        <v>3747</v>
      </c>
      <c r="P2239">
        <v>3</v>
      </c>
      <c r="Q2239">
        <v>29</v>
      </c>
      <c r="R2239">
        <v>2014</v>
      </c>
      <c r="S2239" s="4">
        <f t="shared" si="138"/>
        <v>41727</v>
      </c>
      <c r="T2239" s="4">
        <f t="shared" si="136"/>
        <v>41727</v>
      </c>
      <c r="U2239" s="4">
        <v>41727</v>
      </c>
    </row>
    <row r="2240" spans="1:21" x14ac:dyDescent="0.3">
      <c r="A2240" t="s">
        <v>2855</v>
      </c>
      <c r="B2240" s="1" t="s">
        <v>118</v>
      </c>
      <c r="C2240" s="1" t="s">
        <v>119</v>
      </c>
      <c r="D2240" s="1" t="s">
        <v>35</v>
      </c>
      <c r="E2240" s="2" t="s">
        <v>3175</v>
      </c>
      <c r="F2240" s="2" t="b">
        <f t="shared" si="139"/>
        <v>0</v>
      </c>
      <c r="G2240" s="2">
        <f t="shared" si="137"/>
        <v>42483</v>
      </c>
      <c r="H2240" s="1" t="s">
        <v>25</v>
      </c>
      <c r="I2240" s="1" t="s">
        <v>540</v>
      </c>
      <c r="J2240" s="1">
        <v>700</v>
      </c>
      <c r="K2240" s="1">
        <v>693</v>
      </c>
      <c r="L2240" s="3">
        <v>0.01</v>
      </c>
      <c r="N2240" t="s">
        <v>3175</v>
      </c>
      <c r="P2240">
        <v>4</v>
      </c>
      <c r="Q2240">
        <v>23</v>
      </c>
      <c r="R2240">
        <v>2016</v>
      </c>
      <c r="S2240" s="4">
        <f t="shared" si="138"/>
        <v>42483</v>
      </c>
      <c r="T2240" s="4">
        <f t="shared" si="136"/>
        <v>42483</v>
      </c>
      <c r="U2240" s="4">
        <v>42483</v>
      </c>
    </row>
    <row r="2241" spans="1:21" x14ac:dyDescent="0.3">
      <c r="A2241" t="s">
        <v>2856</v>
      </c>
      <c r="B2241" s="1" t="s">
        <v>111</v>
      </c>
      <c r="C2241" s="1" t="s">
        <v>82</v>
      </c>
      <c r="D2241" s="1" t="s">
        <v>13</v>
      </c>
      <c r="E2241" s="2" t="s">
        <v>3156</v>
      </c>
      <c r="F2241" s="2" t="b">
        <f t="shared" si="139"/>
        <v>0</v>
      </c>
      <c r="G2241" s="2">
        <f t="shared" si="137"/>
        <v>41964</v>
      </c>
      <c r="H2241" s="1" t="s">
        <v>30</v>
      </c>
      <c r="I2241" s="1" t="s">
        <v>820</v>
      </c>
      <c r="J2241" s="1">
        <v>150</v>
      </c>
      <c r="K2241" s="1">
        <v>119</v>
      </c>
      <c r="L2241" s="3">
        <v>0.20669999999999999</v>
      </c>
      <c r="N2241" t="s">
        <v>3156</v>
      </c>
      <c r="P2241">
        <v>11</v>
      </c>
      <c r="Q2241">
        <v>21</v>
      </c>
      <c r="R2241">
        <v>2014</v>
      </c>
      <c r="S2241" s="4">
        <f t="shared" si="138"/>
        <v>41964</v>
      </c>
      <c r="T2241" s="4">
        <f t="shared" si="136"/>
        <v>41964</v>
      </c>
      <c r="U2241" s="4">
        <v>41964</v>
      </c>
    </row>
    <row r="2242" spans="1:21" x14ac:dyDescent="0.3">
      <c r="A2242" t="s">
        <v>2857</v>
      </c>
      <c r="B2242" s="1" t="s">
        <v>59</v>
      </c>
      <c r="C2242" s="1" t="s">
        <v>60</v>
      </c>
      <c r="D2242" s="1" t="s">
        <v>13</v>
      </c>
      <c r="E2242" s="2" t="s">
        <v>2974</v>
      </c>
      <c r="F2242" s="2" t="b">
        <f t="shared" si="139"/>
        <v>0</v>
      </c>
      <c r="G2242" s="2">
        <f t="shared" si="137"/>
        <v>42305</v>
      </c>
      <c r="H2242" s="1" t="s">
        <v>14</v>
      </c>
      <c r="I2242" s="1" t="s">
        <v>1842</v>
      </c>
      <c r="J2242" s="1">
        <v>80</v>
      </c>
      <c r="K2242" s="1">
        <v>48</v>
      </c>
      <c r="L2242" s="3">
        <v>0.4</v>
      </c>
      <c r="N2242" t="s">
        <v>2974</v>
      </c>
      <c r="P2242">
        <v>10</v>
      </c>
      <c r="Q2242">
        <v>28</v>
      </c>
      <c r="R2242">
        <v>2015</v>
      </c>
      <c r="S2242" s="4">
        <f t="shared" si="138"/>
        <v>42305</v>
      </c>
      <c r="T2242" s="4">
        <f t="shared" si="136"/>
        <v>42305</v>
      </c>
      <c r="U2242" s="4">
        <v>42305</v>
      </c>
    </row>
    <row r="2243" spans="1:21" x14ac:dyDescent="0.3">
      <c r="A2243" t="s">
        <v>2858</v>
      </c>
      <c r="B2243" s="1" t="s">
        <v>17</v>
      </c>
      <c r="C2243" s="1" t="s">
        <v>18</v>
      </c>
      <c r="D2243" s="1" t="s">
        <v>19</v>
      </c>
      <c r="E2243" s="2" t="s">
        <v>2994</v>
      </c>
      <c r="F2243" s="2" t="b">
        <f t="shared" si="139"/>
        <v>0</v>
      </c>
      <c r="G2243" s="2">
        <f t="shared" si="137"/>
        <v>41898</v>
      </c>
      <c r="H2243" s="1" t="s">
        <v>122</v>
      </c>
      <c r="I2243" s="1" t="s">
        <v>20</v>
      </c>
      <c r="J2243" s="1">
        <v>50</v>
      </c>
      <c r="K2243" s="1">
        <v>45</v>
      </c>
      <c r="L2243" s="3">
        <v>0.1</v>
      </c>
      <c r="N2243" t="s">
        <v>2994</v>
      </c>
      <c r="P2243">
        <v>9</v>
      </c>
      <c r="Q2243">
        <v>16</v>
      </c>
      <c r="R2243">
        <v>2014</v>
      </c>
      <c r="S2243" s="4">
        <f t="shared" si="138"/>
        <v>41898</v>
      </c>
      <c r="T2243" s="4">
        <f t="shared" ref="T2243:T2306" si="140">IF(AND(P2243&lt;&gt;"",Q2243&lt;&gt;"",R2243&lt;&gt;""),IFERROR(DATE(R2243,P2243,Q2243),""),"")</f>
        <v>41898</v>
      </c>
      <c r="U2243" s="4">
        <v>41898</v>
      </c>
    </row>
    <row r="2244" spans="1:21" x14ac:dyDescent="0.3">
      <c r="A2244" t="s">
        <v>2859</v>
      </c>
      <c r="B2244" s="1" t="s">
        <v>182</v>
      </c>
      <c r="C2244" s="1" t="s">
        <v>108</v>
      </c>
      <c r="D2244" s="1" t="s">
        <v>19</v>
      </c>
      <c r="E2244" s="2" t="s">
        <v>3748</v>
      </c>
      <c r="F2244" s="2" t="b">
        <f t="shared" si="139"/>
        <v>0</v>
      </c>
      <c r="G2244" s="2">
        <f t="shared" ref="G2244:G2307" si="141">IF(F2244=TRUE,E2244,U2244)</f>
        <v>41818</v>
      </c>
      <c r="H2244" s="1" t="s">
        <v>115</v>
      </c>
      <c r="I2244" s="1" t="s">
        <v>502</v>
      </c>
      <c r="J2244" s="1">
        <v>250</v>
      </c>
      <c r="K2244" s="1">
        <v>250</v>
      </c>
      <c r="L2244" s="3">
        <v>0</v>
      </c>
      <c r="N2244" t="s">
        <v>3748</v>
      </c>
      <c r="P2244">
        <v>6</v>
      </c>
      <c r="Q2244">
        <v>28</v>
      </c>
      <c r="R2244">
        <v>2014</v>
      </c>
      <c r="S2244" s="4">
        <f t="shared" ref="S2244:S2307" si="142">DATE(R2244,P2244,Q2244)</f>
        <v>41818</v>
      </c>
      <c r="T2244" s="4">
        <f t="shared" si="140"/>
        <v>41818</v>
      </c>
      <c r="U2244" s="4">
        <v>41818</v>
      </c>
    </row>
    <row r="2245" spans="1:21" x14ac:dyDescent="0.3">
      <c r="A2245" t="s">
        <v>2860</v>
      </c>
      <c r="B2245" s="1" t="s">
        <v>127</v>
      </c>
      <c r="C2245" s="1" t="s">
        <v>128</v>
      </c>
      <c r="D2245" s="1" t="s">
        <v>13</v>
      </c>
      <c r="E2245" s="2" t="s">
        <v>3535</v>
      </c>
      <c r="F2245" s="2" t="b">
        <f t="shared" ref="F2245:F2308" si="143">ISNUMBER(E2245)</f>
        <v>0</v>
      </c>
      <c r="G2245" s="2">
        <f t="shared" si="141"/>
        <v>41847</v>
      </c>
      <c r="H2245" s="1" t="s">
        <v>46</v>
      </c>
      <c r="I2245" s="1" t="s">
        <v>920</v>
      </c>
      <c r="J2245" s="1">
        <v>500</v>
      </c>
      <c r="K2245" s="1">
        <v>380</v>
      </c>
      <c r="L2245" s="3">
        <v>0.24</v>
      </c>
      <c r="N2245" t="s">
        <v>3535</v>
      </c>
      <c r="P2245">
        <v>7</v>
      </c>
      <c r="Q2245">
        <v>27</v>
      </c>
      <c r="R2245">
        <v>2014</v>
      </c>
      <c r="S2245" s="4">
        <f t="shared" si="142"/>
        <v>41847</v>
      </c>
      <c r="T2245" s="4">
        <f t="shared" si="140"/>
        <v>41847</v>
      </c>
      <c r="U2245" s="4">
        <v>41847</v>
      </c>
    </row>
    <row r="2246" spans="1:21" x14ac:dyDescent="0.3">
      <c r="A2246" t="s">
        <v>2861</v>
      </c>
      <c r="B2246" s="1" t="s">
        <v>39</v>
      </c>
      <c r="C2246" s="1" t="s">
        <v>40</v>
      </c>
      <c r="D2246" s="1" t="s">
        <v>35</v>
      </c>
      <c r="E2246" s="2">
        <v>42893</v>
      </c>
      <c r="F2246" s="2" t="b">
        <f t="shared" si="143"/>
        <v>1</v>
      </c>
      <c r="G2246" s="2">
        <f t="shared" si="141"/>
        <v>42893</v>
      </c>
      <c r="H2246" s="1" t="s">
        <v>72</v>
      </c>
      <c r="I2246" s="1" t="s">
        <v>1707</v>
      </c>
      <c r="J2246" s="1">
        <v>500</v>
      </c>
      <c r="K2246" s="1">
        <v>495</v>
      </c>
      <c r="L2246" s="3">
        <v>0.01</v>
      </c>
      <c r="N2246" t="s">
        <v>3763</v>
      </c>
      <c r="S2246" s="4" t="e">
        <f t="shared" si="142"/>
        <v>#NUM!</v>
      </c>
      <c r="T2246" s="4" t="str">
        <f t="shared" si="140"/>
        <v/>
      </c>
      <c r="U2246" s="4" t="s">
        <v>3763</v>
      </c>
    </row>
    <row r="2247" spans="1:21" x14ac:dyDescent="0.3">
      <c r="A2247" t="s">
        <v>2862</v>
      </c>
      <c r="B2247" s="1" t="s">
        <v>111</v>
      </c>
      <c r="C2247" s="1" t="s">
        <v>82</v>
      </c>
      <c r="D2247" s="1" t="s">
        <v>13</v>
      </c>
      <c r="E2247" s="2" t="s">
        <v>3514</v>
      </c>
      <c r="F2247" s="2" t="b">
        <f t="shared" si="143"/>
        <v>0</v>
      </c>
      <c r="G2247" s="2">
        <f t="shared" si="141"/>
        <v>41667</v>
      </c>
      <c r="H2247" s="1" t="s">
        <v>25</v>
      </c>
      <c r="I2247" s="1" t="s">
        <v>112</v>
      </c>
      <c r="J2247" s="1">
        <v>700</v>
      </c>
      <c r="K2247" s="1">
        <v>623</v>
      </c>
      <c r="L2247" s="3">
        <v>0.11</v>
      </c>
      <c r="N2247" t="s">
        <v>3514</v>
      </c>
      <c r="P2247">
        <v>1</v>
      </c>
      <c r="Q2247">
        <v>28</v>
      </c>
      <c r="R2247">
        <v>2014</v>
      </c>
      <c r="S2247" s="4">
        <f t="shared" si="142"/>
        <v>41667</v>
      </c>
      <c r="T2247" s="4">
        <f t="shared" si="140"/>
        <v>41667</v>
      </c>
      <c r="U2247" s="4">
        <v>41667</v>
      </c>
    </row>
    <row r="2248" spans="1:21" x14ac:dyDescent="0.3">
      <c r="A2248" t="s">
        <v>2863</v>
      </c>
      <c r="B2248" s="1" t="s">
        <v>99</v>
      </c>
      <c r="C2248" s="1" t="s">
        <v>100</v>
      </c>
      <c r="D2248" s="1" t="s">
        <v>13</v>
      </c>
      <c r="E2248" s="2" t="s">
        <v>3427</v>
      </c>
      <c r="F2248" s="2" t="b">
        <f t="shared" si="143"/>
        <v>0</v>
      </c>
      <c r="G2248" s="2">
        <f t="shared" si="141"/>
        <v>42477</v>
      </c>
      <c r="H2248" s="1" t="s">
        <v>122</v>
      </c>
      <c r="I2248" s="1" t="s">
        <v>948</v>
      </c>
      <c r="J2248" s="1">
        <v>50</v>
      </c>
      <c r="K2248" s="1">
        <v>44</v>
      </c>
      <c r="L2248" s="3">
        <v>0.12</v>
      </c>
      <c r="N2248" t="s">
        <v>3427</v>
      </c>
      <c r="P2248">
        <v>4</v>
      </c>
      <c r="Q2248">
        <v>17</v>
      </c>
      <c r="R2248">
        <v>2016</v>
      </c>
      <c r="S2248" s="4">
        <f t="shared" si="142"/>
        <v>42477</v>
      </c>
      <c r="T2248" s="4">
        <f t="shared" si="140"/>
        <v>42477</v>
      </c>
      <c r="U2248" s="4">
        <v>42477</v>
      </c>
    </row>
    <row r="2249" spans="1:21" x14ac:dyDescent="0.3">
      <c r="A2249" t="s">
        <v>2864</v>
      </c>
      <c r="B2249" s="1" t="s">
        <v>85</v>
      </c>
      <c r="C2249" s="1" t="s">
        <v>86</v>
      </c>
      <c r="D2249" s="1" t="s">
        <v>13</v>
      </c>
      <c r="E2249" s="2" t="s">
        <v>3694</v>
      </c>
      <c r="F2249" s="2" t="b">
        <f t="shared" si="143"/>
        <v>0</v>
      </c>
      <c r="G2249" s="2">
        <f t="shared" si="141"/>
        <v>42998</v>
      </c>
      <c r="H2249" s="1" t="s">
        <v>41</v>
      </c>
      <c r="I2249" s="1" t="s">
        <v>363</v>
      </c>
      <c r="J2249" s="1">
        <v>30</v>
      </c>
      <c r="K2249" s="1">
        <v>30</v>
      </c>
      <c r="L2249" s="3">
        <v>0</v>
      </c>
      <c r="N2249" t="s">
        <v>3694</v>
      </c>
      <c r="P2249">
        <v>9</v>
      </c>
      <c r="Q2249">
        <v>20</v>
      </c>
      <c r="R2249">
        <v>2017</v>
      </c>
      <c r="S2249" s="4">
        <f t="shared" si="142"/>
        <v>42998</v>
      </c>
      <c r="T2249" s="4">
        <f t="shared" si="140"/>
        <v>42998</v>
      </c>
      <c r="U2249" s="4">
        <v>42998</v>
      </c>
    </row>
    <row r="2250" spans="1:21" x14ac:dyDescent="0.3">
      <c r="A2250" t="s">
        <v>2865</v>
      </c>
      <c r="B2250" s="1" t="s">
        <v>324</v>
      </c>
      <c r="C2250" s="1" t="s">
        <v>325</v>
      </c>
      <c r="D2250" s="1" t="s">
        <v>13</v>
      </c>
      <c r="E2250" s="2" t="s">
        <v>3027</v>
      </c>
      <c r="F2250" s="2" t="b">
        <f t="shared" si="143"/>
        <v>0</v>
      </c>
      <c r="G2250" s="2">
        <f t="shared" si="141"/>
        <v>41833</v>
      </c>
      <c r="H2250" s="1" t="s">
        <v>36</v>
      </c>
      <c r="I2250" s="1" t="s">
        <v>588</v>
      </c>
      <c r="J2250" s="1">
        <v>50</v>
      </c>
      <c r="K2250" s="1">
        <v>49</v>
      </c>
      <c r="L2250" s="3">
        <v>0.02</v>
      </c>
      <c r="N2250" t="s">
        <v>3027</v>
      </c>
      <c r="P2250">
        <v>7</v>
      </c>
      <c r="Q2250">
        <v>13</v>
      </c>
      <c r="R2250">
        <v>2014</v>
      </c>
      <c r="S2250" s="4">
        <f t="shared" si="142"/>
        <v>41833</v>
      </c>
      <c r="T2250" s="4">
        <f t="shared" si="140"/>
        <v>41833</v>
      </c>
      <c r="U2250" s="4">
        <v>41833</v>
      </c>
    </row>
    <row r="2251" spans="1:21" x14ac:dyDescent="0.3">
      <c r="A2251" t="s">
        <v>2866</v>
      </c>
      <c r="B2251" s="1" t="s">
        <v>154</v>
      </c>
      <c r="C2251" s="1" t="s">
        <v>108</v>
      </c>
      <c r="D2251" s="1" t="s">
        <v>19</v>
      </c>
      <c r="E2251" s="2" t="s">
        <v>3379</v>
      </c>
      <c r="F2251" s="2" t="b">
        <f t="shared" si="143"/>
        <v>0</v>
      </c>
      <c r="G2251" s="2">
        <f t="shared" si="141"/>
        <v>42540</v>
      </c>
      <c r="H2251" s="1" t="s">
        <v>14</v>
      </c>
      <c r="I2251" s="1" t="s">
        <v>1004</v>
      </c>
      <c r="J2251" s="1">
        <v>80</v>
      </c>
      <c r="K2251" s="1">
        <v>72</v>
      </c>
      <c r="L2251" s="3">
        <v>0.1</v>
      </c>
      <c r="N2251" t="s">
        <v>3379</v>
      </c>
      <c r="P2251">
        <v>6</v>
      </c>
      <c r="Q2251">
        <v>19</v>
      </c>
      <c r="R2251">
        <v>2016</v>
      </c>
      <c r="S2251" s="4">
        <f t="shared" si="142"/>
        <v>42540</v>
      </c>
      <c r="T2251" s="4">
        <f t="shared" si="140"/>
        <v>42540</v>
      </c>
      <c r="U2251" s="4">
        <v>42540</v>
      </c>
    </row>
    <row r="2252" spans="1:21" x14ac:dyDescent="0.3">
      <c r="A2252" t="s">
        <v>2867</v>
      </c>
      <c r="B2252" s="1" t="s">
        <v>39</v>
      </c>
      <c r="C2252" s="1" t="s">
        <v>40</v>
      </c>
      <c r="D2252" s="1" t="s">
        <v>35</v>
      </c>
      <c r="E2252" s="2">
        <v>42130</v>
      </c>
      <c r="F2252" s="2" t="b">
        <f t="shared" si="143"/>
        <v>1</v>
      </c>
      <c r="G2252" s="2">
        <f t="shared" si="141"/>
        <v>42130</v>
      </c>
      <c r="H2252" s="1" t="s">
        <v>36</v>
      </c>
      <c r="I2252" s="1" t="s">
        <v>1526</v>
      </c>
      <c r="J2252" s="1">
        <v>50</v>
      </c>
      <c r="K2252" s="1">
        <v>45</v>
      </c>
      <c r="L2252" s="3">
        <v>0.1</v>
      </c>
      <c r="N2252" t="s">
        <v>3763</v>
      </c>
      <c r="S2252" s="4" t="e">
        <f t="shared" si="142"/>
        <v>#NUM!</v>
      </c>
      <c r="T2252" s="4" t="str">
        <f t="shared" si="140"/>
        <v/>
      </c>
      <c r="U2252" s="4" t="s">
        <v>3763</v>
      </c>
    </row>
    <row r="2253" spans="1:21" x14ac:dyDescent="0.3">
      <c r="A2253" t="s">
        <v>2868</v>
      </c>
      <c r="B2253" s="1" t="s">
        <v>107</v>
      </c>
      <c r="C2253" s="1" t="s">
        <v>108</v>
      </c>
      <c r="D2253" s="1" t="s">
        <v>19</v>
      </c>
      <c r="E2253" s="2" t="s">
        <v>3749</v>
      </c>
      <c r="F2253" s="2" t="b">
        <f t="shared" si="143"/>
        <v>0</v>
      </c>
      <c r="G2253" s="2">
        <f t="shared" si="141"/>
        <v>42612</v>
      </c>
      <c r="H2253" s="1" t="s">
        <v>30</v>
      </c>
      <c r="I2253" s="1" t="s">
        <v>1029</v>
      </c>
      <c r="J2253" s="1">
        <v>150</v>
      </c>
      <c r="K2253" s="1">
        <v>149</v>
      </c>
      <c r="L2253" s="3">
        <v>6.7000000000000002E-3</v>
      </c>
      <c r="N2253" t="s">
        <v>3749</v>
      </c>
      <c r="P2253">
        <v>8</v>
      </c>
      <c r="Q2253">
        <v>30</v>
      </c>
      <c r="R2253">
        <v>2016</v>
      </c>
      <c r="S2253" s="4">
        <f t="shared" si="142"/>
        <v>42612</v>
      </c>
      <c r="T2253" s="4">
        <f t="shared" si="140"/>
        <v>42612</v>
      </c>
      <c r="U2253" s="4">
        <v>42612</v>
      </c>
    </row>
    <row r="2254" spans="1:21" x14ac:dyDescent="0.3">
      <c r="A2254" t="s">
        <v>2869</v>
      </c>
      <c r="B2254" s="1" t="s">
        <v>174</v>
      </c>
      <c r="C2254" s="1" t="s">
        <v>175</v>
      </c>
      <c r="D2254" s="1" t="s">
        <v>13</v>
      </c>
      <c r="E2254" s="2" t="s">
        <v>3750</v>
      </c>
      <c r="F2254" s="2" t="b">
        <f t="shared" si="143"/>
        <v>0</v>
      </c>
      <c r="G2254" s="2">
        <f t="shared" si="141"/>
        <v>42693</v>
      </c>
      <c r="H2254" s="1" t="s">
        <v>104</v>
      </c>
      <c r="I2254" s="1" t="s">
        <v>176</v>
      </c>
      <c r="J2254" s="1">
        <v>70</v>
      </c>
      <c r="K2254" s="1">
        <v>61</v>
      </c>
      <c r="L2254" s="3">
        <v>0.12859999999999999</v>
      </c>
      <c r="N2254" t="s">
        <v>3750</v>
      </c>
      <c r="P2254">
        <v>11</v>
      </c>
      <c r="Q2254">
        <v>19</v>
      </c>
      <c r="R2254">
        <v>2016</v>
      </c>
      <c r="S2254" s="4">
        <f t="shared" si="142"/>
        <v>42693</v>
      </c>
      <c r="T2254" s="4">
        <f t="shared" si="140"/>
        <v>42693</v>
      </c>
      <c r="U2254" s="4">
        <v>42693</v>
      </c>
    </row>
    <row r="2255" spans="1:21" x14ac:dyDescent="0.3">
      <c r="A2255" t="s">
        <v>2870</v>
      </c>
      <c r="B2255" s="1" t="s">
        <v>81</v>
      </c>
      <c r="C2255" s="1" t="s">
        <v>82</v>
      </c>
      <c r="D2255" s="1" t="s">
        <v>13</v>
      </c>
      <c r="E2255" s="2" t="s">
        <v>3304</v>
      </c>
      <c r="F2255" s="2" t="b">
        <f t="shared" si="143"/>
        <v>0</v>
      </c>
      <c r="G2255" s="2">
        <f t="shared" si="141"/>
        <v>42610</v>
      </c>
      <c r="H2255" s="1" t="s">
        <v>72</v>
      </c>
      <c r="I2255" s="1" t="s">
        <v>387</v>
      </c>
      <c r="J2255" s="1">
        <v>500</v>
      </c>
      <c r="K2255" s="1">
        <v>500</v>
      </c>
      <c r="L2255" s="3">
        <v>0</v>
      </c>
      <c r="N2255" t="s">
        <v>3304</v>
      </c>
      <c r="P2255">
        <v>8</v>
      </c>
      <c r="Q2255">
        <v>28</v>
      </c>
      <c r="R2255">
        <v>2016</v>
      </c>
      <c r="S2255" s="4">
        <f t="shared" si="142"/>
        <v>42610</v>
      </c>
      <c r="T2255" s="4">
        <f t="shared" si="140"/>
        <v>42610</v>
      </c>
      <c r="U2255" s="4">
        <v>42610</v>
      </c>
    </row>
    <row r="2256" spans="1:21" x14ac:dyDescent="0.3">
      <c r="A2256" t="s">
        <v>2871</v>
      </c>
      <c r="B2256" s="1" t="s">
        <v>95</v>
      </c>
      <c r="C2256" s="1" t="s">
        <v>96</v>
      </c>
      <c r="D2256" s="1" t="s">
        <v>13</v>
      </c>
      <c r="E2256" s="2" t="s">
        <v>3300</v>
      </c>
      <c r="F2256" s="2" t="b">
        <f t="shared" si="143"/>
        <v>0</v>
      </c>
      <c r="G2256" s="2">
        <f t="shared" si="141"/>
        <v>41989</v>
      </c>
      <c r="H2256" s="1" t="s">
        <v>25</v>
      </c>
      <c r="I2256" s="1" t="s">
        <v>1408</v>
      </c>
      <c r="J2256" s="1">
        <v>700</v>
      </c>
      <c r="K2256" s="1">
        <v>672</v>
      </c>
      <c r="L2256" s="3">
        <v>0.04</v>
      </c>
      <c r="N2256" t="s">
        <v>3300</v>
      </c>
      <c r="P2256">
        <v>12</v>
      </c>
      <c r="Q2256">
        <v>16</v>
      </c>
      <c r="R2256">
        <v>2014</v>
      </c>
      <c r="S2256" s="4">
        <f t="shared" si="142"/>
        <v>41989</v>
      </c>
      <c r="T2256" s="4">
        <f t="shared" si="140"/>
        <v>41989</v>
      </c>
      <c r="U2256" s="4">
        <v>41989</v>
      </c>
    </row>
    <row r="2257" spans="1:21" x14ac:dyDescent="0.3">
      <c r="A2257" t="s">
        <v>2872</v>
      </c>
      <c r="B2257" s="1" t="s">
        <v>434</v>
      </c>
      <c r="C2257" s="1" t="s">
        <v>435</v>
      </c>
      <c r="D2257" s="1" t="s">
        <v>24</v>
      </c>
      <c r="E2257" s="2">
        <v>43104</v>
      </c>
      <c r="F2257" s="2" t="b">
        <f t="shared" si="143"/>
        <v>1</v>
      </c>
      <c r="G2257" s="2">
        <f t="shared" si="141"/>
        <v>43104</v>
      </c>
      <c r="H2257" s="1" t="s">
        <v>55</v>
      </c>
      <c r="I2257" s="1" t="s">
        <v>858</v>
      </c>
      <c r="J2257" s="1">
        <v>800</v>
      </c>
      <c r="K2257" s="1">
        <v>640</v>
      </c>
      <c r="L2257" s="3">
        <v>0.2</v>
      </c>
      <c r="N2257" t="s">
        <v>3763</v>
      </c>
      <c r="S2257" s="4" t="e">
        <f t="shared" si="142"/>
        <v>#NUM!</v>
      </c>
      <c r="T2257" s="4" t="str">
        <f t="shared" si="140"/>
        <v/>
      </c>
      <c r="U2257" s="4" t="s">
        <v>3763</v>
      </c>
    </row>
    <row r="2258" spans="1:21" x14ac:dyDescent="0.3">
      <c r="A2258" t="s">
        <v>2873</v>
      </c>
      <c r="B2258" s="1" t="s">
        <v>241</v>
      </c>
      <c r="C2258" s="1" t="s">
        <v>242</v>
      </c>
      <c r="D2258" s="1" t="s">
        <v>13</v>
      </c>
      <c r="E2258" s="2" t="s">
        <v>3217</v>
      </c>
      <c r="F2258" s="2" t="b">
        <f t="shared" si="143"/>
        <v>0</v>
      </c>
      <c r="G2258" s="2">
        <f t="shared" si="141"/>
        <v>42946</v>
      </c>
      <c r="H2258" s="1" t="s">
        <v>61</v>
      </c>
      <c r="I2258" s="1" t="s">
        <v>380</v>
      </c>
      <c r="J2258" s="1">
        <v>1000</v>
      </c>
      <c r="K2258" s="1">
        <v>630</v>
      </c>
      <c r="L2258" s="3">
        <v>0.37</v>
      </c>
      <c r="N2258" t="s">
        <v>3217</v>
      </c>
      <c r="P2258">
        <v>7</v>
      </c>
      <c r="Q2258">
        <v>30</v>
      </c>
      <c r="R2258">
        <v>2017</v>
      </c>
      <c r="S2258" s="4">
        <f t="shared" si="142"/>
        <v>42946</v>
      </c>
      <c r="T2258" s="4">
        <f t="shared" si="140"/>
        <v>42946</v>
      </c>
      <c r="U2258" s="4">
        <v>42946</v>
      </c>
    </row>
    <row r="2259" spans="1:21" x14ac:dyDescent="0.3">
      <c r="A2259" t="s">
        <v>2874</v>
      </c>
      <c r="B2259" s="1" t="s">
        <v>127</v>
      </c>
      <c r="C2259" s="1" t="s">
        <v>128</v>
      </c>
      <c r="D2259" s="1" t="s">
        <v>13</v>
      </c>
      <c r="E2259" s="2">
        <v>42740</v>
      </c>
      <c r="F2259" s="2" t="b">
        <f t="shared" si="143"/>
        <v>1</v>
      </c>
      <c r="G2259" s="2">
        <f t="shared" si="141"/>
        <v>42740</v>
      </c>
      <c r="H2259" s="1" t="s">
        <v>36</v>
      </c>
      <c r="I2259" s="1" t="s">
        <v>210</v>
      </c>
      <c r="J2259" s="1">
        <v>50</v>
      </c>
      <c r="K2259" s="1">
        <v>46</v>
      </c>
      <c r="L2259" s="3">
        <v>0.08</v>
      </c>
      <c r="N2259" t="s">
        <v>3763</v>
      </c>
      <c r="S2259" s="4" t="e">
        <f t="shared" si="142"/>
        <v>#NUM!</v>
      </c>
      <c r="T2259" s="4" t="str">
        <f t="shared" si="140"/>
        <v/>
      </c>
      <c r="U2259" s="4" t="s">
        <v>3763</v>
      </c>
    </row>
    <row r="2260" spans="1:21" x14ac:dyDescent="0.3">
      <c r="A2260" t="s">
        <v>2875</v>
      </c>
      <c r="B2260" s="1" t="s">
        <v>2243</v>
      </c>
      <c r="C2260" s="1" t="s">
        <v>108</v>
      </c>
      <c r="D2260" s="1" t="s">
        <v>19</v>
      </c>
      <c r="E2260" s="2">
        <v>42339</v>
      </c>
      <c r="F2260" s="2" t="b">
        <f t="shared" si="143"/>
        <v>1</v>
      </c>
      <c r="G2260" s="2">
        <f t="shared" si="141"/>
        <v>42339</v>
      </c>
      <c r="H2260" s="1" t="s">
        <v>36</v>
      </c>
      <c r="I2260" s="1" t="s">
        <v>2776</v>
      </c>
      <c r="J2260" s="1">
        <v>50</v>
      </c>
      <c r="K2260" s="1">
        <v>33</v>
      </c>
      <c r="L2260" s="3">
        <v>0.34</v>
      </c>
      <c r="N2260" t="s">
        <v>3763</v>
      </c>
      <c r="S2260" s="4" t="e">
        <f t="shared" si="142"/>
        <v>#NUM!</v>
      </c>
      <c r="T2260" s="4" t="str">
        <f t="shared" si="140"/>
        <v/>
      </c>
      <c r="U2260" s="4" t="s">
        <v>3763</v>
      </c>
    </row>
    <row r="2261" spans="1:21" x14ac:dyDescent="0.3">
      <c r="A2261" t="s">
        <v>2876</v>
      </c>
      <c r="B2261" s="1" t="s">
        <v>95</v>
      </c>
      <c r="C2261" s="1" t="s">
        <v>96</v>
      </c>
      <c r="D2261" s="1" t="s">
        <v>13</v>
      </c>
      <c r="E2261" s="2" t="s">
        <v>3444</v>
      </c>
      <c r="F2261" s="2" t="b">
        <f t="shared" si="143"/>
        <v>0</v>
      </c>
      <c r="G2261" s="2">
        <f t="shared" si="141"/>
        <v>42723</v>
      </c>
      <c r="H2261" s="1" t="s">
        <v>55</v>
      </c>
      <c r="I2261" s="1" t="s">
        <v>460</v>
      </c>
      <c r="J2261" s="1">
        <v>800</v>
      </c>
      <c r="K2261" s="1">
        <v>568</v>
      </c>
      <c r="L2261" s="3">
        <v>0.28999999999999998</v>
      </c>
      <c r="N2261" t="s">
        <v>3444</v>
      </c>
      <c r="P2261">
        <v>12</v>
      </c>
      <c r="Q2261">
        <v>19</v>
      </c>
      <c r="R2261">
        <v>2016</v>
      </c>
      <c r="S2261" s="4">
        <f t="shared" si="142"/>
        <v>42723</v>
      </c>
      <c r="T2261" s="4">
        <f t="shared" si="140"/>
        <v>42723</v>
      </c>
      <c r="U2261" s="4">
        <v>42723</v>
      </c>
    </row>
    <row r="2262" spans="1:21" x14ac:dyDescent="0.3">
      <c r="A2262" t="s">
        <v>2877</v>
      </c>
      <c r="B2262" s="1" t="s">
        <v>91</v>
      </c>
      <c r="C2262" s="1" t="s">
        <v>92</v>
      </c>
      <c r="D2262" s="1" t="s">
        <v>35</v>
      </c>
      <c r="E2262" s="2" t="s">
        <v>3751</v>
      </c>
      <c r="F2262" s="2" t="b">
        <f t="shared" si="143"/>
        <v>0</v>
      </c>
      <c r="G2262" s="2">
        <f t="shared" si="141"/>
        <v>42081</v>
      </c>
      <c r="H2262" s="1" t="s">
        <v>46</v>
      </c>
      <c r="I2262" s="1" t="s">
        <v>2351</v>
      </c>
      <c r="J2262" s="1">
        <v>500</v>
      </c>
      <c r="K2262" s="1">
        <v>490</v>
      </c>
      <c r="L2262" s="3">
        <v>0.02</v>
      </c>
      <c r="N2262" t="s">
        <v>3751</v>
      </c>
      <c r="P2262">
        <v>3</v>
      </c>
      <c r="Q2262">
        <v>18</v>
      </c>
      <c r="R2262">
        <v>2015</v>
      </c>
      <c r="S2262" s="4">
        <f t="shared" si="142"/>
        <v>42081</v>
      </c>
      <c r="T2262" s="4">
        <f t="shared" si="140"/>
        <v>42081</v>
      </c>
      <c r="U2262" s="4">
        <v>42081</v>
      </c>
    </row>
    <row r="2263" spans="1:21" x14ac:dyDescent="0.3">
      <c r="A2263" t="s">
        <v>2878</v>
      </c>
      <c r="B2263" s="1" t="s">
        <v>146</v>
      </c>
      <c r="C2263" s="1" t="s">
        <v>147</v>
      </c>
      <c r="D2263" s="1" t="s">
        <v>13</v>
      </c>
      <c r="E2263" s="2">
        <v>42892</v>
      </c>
      <c r="F2263" s="2" t="b">
        <f t="shared" si="143"/>
        <v>1</v>
      </c>
      <c r="G2263" s="2">
        <f t="shared" si="141"/>
        <v>42892</v>
      </c>
      <c r="H2263" s="1" t="s">
        <v>115</v>
      </c>
      <c r="I2263" s="1" t="s">
        <v>1006</v>
      </c>
      <c r="J2263" s="1">
        <v>250</v>
      </c>
      <c r="K2263" s="1">
        <v>238</v>
      </c>
      <c r="L2263" s="3">
        <v>4.8000000000000001E-2</v>
      </c>
      <c r="N2263" t="s">
        <v>3763</v>
      </c>
      <c r="S2263" s="4" t="e">
        <f t="shared" si="142"/>
        <v>#NUM!</v>
      </c>
      <c r="T2263" s="4" t="str">
        <f t="shared" si="140"/>
        <v/>
      </c>
      <c r="U2263" s="4" t="s">
        <v>3763</v>
      </c>
    </row>
    <row r="2264" spans="1:21" x14ac:dyDescent="0.3">
      <c r="A2264" t="s">
        <v>2879</v>
      </c>
      <c r="B2264" s="1" t="s">
        <v>99</v>
      </c>
      <c r="C2264" s="1" t="s">
        <v>100</v>
      </c>
      <c r="D2264" s="1" t="s">
        <v>13</v>
      </c>
      <c r="E2264" s="2" t="s">
        <v>3003</v>
      </c>
      <c r="F2264" s="2" t="b">
        <f t="shared" si="143"/>
        <v>0</v>
      </c>
      <c r="G2264" s="2">
        <f t="shared" si="141"/>
        <v>42628</v>
      </c>
      <c r="H2264" s="1" t="s">
        <v>41</v>
      </c>
      <c r="I2264" s="1" t="s">
        <v>1090</v>
      </c>
      <c r="J2264" s="1">
        <v>30</v>
      </c>
      <c r="K2264" s="1">
        <v>26</v>
      </c>
      <c r="L2264" s="3">
        <v>0.1333</v>
      </c>
      <c r="N2264" t="s">
        <v>3003</v>
      </c>
      <c r="P2264">
        <v>9</v>
      </c>
      <c r="Q2264">
        <v>15</v>
      </c>
      <c r="R2264">
        <v>2016</v>
      </c>
      <c r="S2264" s="4">
        <f t="shared" si="142"/>
        <v>42628</v>
      </c>
      <c r="T2264" s="4">
        <f t="shared" si="140"/>
        <v>42628</v>
      </c>
      <c r="U2264" s="4">
        <v>42628</v>
      </c>
    </row>
    <row r="2265" spans="1:21" x14ac:dyDescent="0.3">
      <c r="A2265" t="s">
        <v>2880</v>
      </c>
      <c r="B2265" s="1" t="s">
        <v>224</v>
      </c>
      <c r="C2265" s="1" t="s">
        <v>50</v>
      </c>
      <c r="D2265" s="1" t="s">
        <v>24</v>
      </c>
      <c r="E2265" s="2" t="s">
        <v>3752</v>
      </c>
      <c r="F2265" s="2" t="b">
        <f t="shared" si="143"/>
        <v>0</v>
      </c>
      <c r="G2265" s="2">
        <f t="shared" si="141"/>
        <v>42727</v>
      </c>
      <c r="H2265" s="1" t="s">
        <v>41</v>
      </c>
      <c r="I2265" s="1" t="s">
        <v>2661</v>
      </c>
      <c r="J2265" s="1">
        <v>30</v>
      </c>
      <c r="K2265" s="1">
        <v>30</v>
      </c>
      <c r="L2265" s="3">
        <v>0</v>
      </c>
      <c r="N2265" t="s">
        <v>3752</v>
      </c>
      <c r="P2265">
        <v>12</v>
      </c>
      <c r="Q2265">
        <v>23</v>
      </c>
      <c r="R2265">
        <v>2016</v>
      </c>
      <c r="S2265" s="4">
        <f t="shared" si="142"/>
        <v>42727</v>
      </c>
      <c r="T2265" s="4">
        <f t="shared" si="140"/>
        <v>42727</v>
      </c>
      <c r="U2265" s="4">
        <v>42727</v>
      </c>
    </row>
    <row r="2266" spans="1:21" x14ac:dyDescent="0.3">
      <c r="A2266" t="s">
        <v>2881</v>
      </c>
      <c r="B2266" s="1" t="s">
        <v>264</v>
      </c>
      <c r="C2266" s="1" t="s">
        <v>265</v>
      </c>
      <c r="D2266" s="1" t="s">
        <v>13</v>
      </c>
      <c r="E2266" s="2" t="s">
        <v>3386</v>
      </c>
      <c r="F2266" s="2" t="b">
        <f t="shared" si="143"/>
        <v>0</v>
      </c>
      <c r="G2266" s="2">
        <f t="shared" si="141"/>
        <v>43069</v>
      </c>
      <c r="H2266" s="1" t="s">
        <v>61</v>
      </c>
      <c r="I2266" s="1" t="s">
        <v>599</v>
      </c>
      <c r="J2266" s="1">
        <v>1000</v>
      </c>
      <c r="K2266" s="1">
        <v>860</v>
      </c>
      <c r="L2266" s="3">
        <v>0.14000000000000001</v>
      </c>
      <c r="N2266" t="s">
        <v>3386</v>
      </c>
      <c r="P2266">
        <v>11</v>
      </c>
      <c r="Q2266">
        <v>30</v>
      </c>
      <c r="R2266">
        <v>2017</v>
      </c>
      <c r="S2266" s="4">
        <f t="shared" si="142"/>
        <v>43069</v>
      </c>
      <c r="T2266" s="4">
        <f t="shared" si="140"/>
        <v>43069</v>
      </c>
      <c r="U2266" s="4">
        <v>43069</v>
      </c>
    </row>
    <row r="2267" spans="1:21" x14ac:dyDescent="0.3">
      <c r="A2267" t="s">
        <v>2882</v>
      </c>
      <c r="B2267" s="1" t="s">
        <v>270</v>
      </c>
      <c r="C2267" s="1" t="s">
        <v>271</v>
      </c>
      <c r="D2267" s="1" t="s">
        <v>35</v>
      </c>
      <c r="E2267" s="2" t="s">
        <v>3325</v>
      </c>
      <c r="F2267" s="2" t="b">
        <f t="shared" si="143"/>
        <v>0</v>
      </c>
      <c r="G2267" s="2">
        <f t="shared" si="141"/>
        <v>41843</v>
      </c>
      <c r="H2267" s="1" t="s">
        <v>61</v>
      </c>
      <c r="I2267" s="1" t="s">
        <v>2883</v>
      </c>
      <c r="J2267" s="1">
        <v>1000</v>
      </c>
      <c r="K2267" s="1">
        <v>800</v>
      </c>
      <c r="L2267" s="3">
        <v>0.2</v>
      </c>
      <c r="N2267" t="s">
        <v>3325</v>
      </c>
      <c r="P2267">
        <v>7</v>
      </c>
      <c r="Q2267">
        <v>23</v>
      </c>
      <c r="R2267">
        <v>2014</v>
      </c>
      <c r="S2267" s="4">
        <f t="shared" si="142"/>
        <v>41843</v>
      </c>
      <c r="T2267" s="4">
        <f t="shared" si="140"/>
        <v>41843</v>
      </c>
      <c r="U2267" s="4">
        <v>41843</v>
      </c>
    </row>
    <row r="2268" spans="1:21" x14ac:dyDescent="0.3">
      <c r="A2268" t="s">
        <v>2884</v>
      </c>
      <c r="B2268" s="1" t="s">
        <v>182</v>
      </c>
      <c r="C2268" s="1" t="s">
        <v>108</v>
      </c>
      <c r="D2268" s="1" t="s">
        <v>19</v>
      </c>
      <c r="E2268" s="2" t="s">
        <v>3638</v>
      </c>
      <c r="F2268" s="2" t="b">
        <f t="shared" si="143"/>
        <v>0</v>
      </c>
      <c r="G2268" s="2">
        <f t="shared" si="141"/>
        <v>42168</v>
      </c>
      <c r="H2268" s="1" t="s">
        <v>14</v>
      </c>
      <c r="I2268" s="1" t="s">
        <v>673</v>
      </c>
      <c r="J2268" s="1">
        <v>80</v>
      </c>
      <c r="K2268" s="1">
        <v>79</v>
      </c>
      <c r="L2268" s="3">
        <v>1.2500000000000001E-2</v>
      </c>
      <c r="N2268" t="s">
        <v>3638</v>
      </c>
      <c r="P2268">
        <v>6</v>
      </c>
      <c r="Q2268">
        <v>13</v>
      </c>
      <c r="R2268">
        <v>2015</v>
      </c>
      <c r="S2268" s="4">
        <f t="shared" si="142"/>
        <v>42168</v>
      </c>
      <c r="T2268" s="4">
        <f t="shared" si="140"/>
        <v>42168</v>
      </c>
      <c r="U2268" s="4">
        <v>42168</v>
      </c>
    </row>
    <row r="2269" spans="1:21" x14ac:dyDescent="0.3">
      <c r="A2269" t="s">
        <v>2885</v>
      </c>
      <c r="B2269" s="1" t="s">
        <v>174</v>
      </c>
      <c r="C2269" s="1" t="s">
        <v>175</v>
      </c>
      <c r="D2269" s="1" t="s">
        <v>13</v>
      </c>
      <c r="E2269" s="2" t="s">
        <v>3741</v>
      </c>
      <c r="F2269" s="2" t="b">
        <f t="shared" si="143"/>
        <v>0</v>
      </c>
      <c r="G2269" s="2">
        <f t="shared" si="141"/>
        <v>42963</v>
      </c>
      <c r="H2269" s="1" t="s">
        <v>36</v>
      </c>
      <c r="I2269" s="1" t="s">
        <v>319</v>
      </c>
      <c r="J2269" s="1">
        <v>50</v>
      </c>
      <c r="K2269" s="1">
        <v>49</v>
      </c>
      <c r="L2269" s="3">
        <v>0.02</v>
      </c>
      <c r="N2269" t="s">
        <v>3741</v>
      </c>
      <c r="P2269">
        <v>8</v>
      </c>
      <c r="Q2269">
        <v>16</v>
      </c>
      <c r="R2269">
        <v>2017</v>
      </c>
      <c r="S2269" s="4">
        <f t="shared" si="142"/>
        <v>42963</v>
      </c>
      <c r="T2269" s="4">
        <f t="shared" si="140"/>
        <v>42963</v>
      </c>
      <c r="U2269" s="4">
        <v>42963</v>
      </c>
    </row>
    <row r="2270" spans="1:21" x14ac:dyDescent="0.3">
      <c r="A2270" t="s">
        <v>2886</v>
      </c>
      <c r="B2270" s="1" t="s">
        <v>103</v>
      </c>
      <c r="C2270" s="1" t="s">
        <v>71</v>
      </c>
      <c r="D2270" s="1" t="s">
        <v>35</v>
      </c>
      <c r="E2270" s="2" t="s">
        <v>3632</v>
      </c>
      <c r="F2270" s="2" t="b">
        <f t="shared" si="143"/>
        <v>0</v>
      </c>
      <c r="G2270" s="2">
        <f t="shared" si="141"/>
        <v>42146</v>
      </c>
      <c r="H2270" s="1" t="s">
        <v>41</v>
      </c>
      <c r="I2270" s="1" t="s">
        <v>592</v>
      </c>
      <c r="J2270" s="1">
        <v>30</v>
      </c>
      <c r="K2270" s="1">
        <v>28</v>
      </c>
      <c r="L2270" s="3">
        <v>6.6699999999999995E-2</v>
      </c>
      <c r="N2270" t="s">
        <v>3632</v>
      </c>
      <c r="P2270">
        <v>5</v>
      </c>
      <c r="Q2270">
        <v>22</v>
      </c>
      <c r="R2270">
        <v>2015</v>
      </c>
      <c r="S2270" s="4">
        <f t="shared" si="142"/>
        <v>42146</v>
      </c>
      <c r="T2270" s="4">
        <f t="shared" si="140"/>
        <v>42146</v>
      </c>
      <c r="U2270" s="4">
        <v>42146</v>
      </c>
    </row>
    <row r="2271" spans="1:21" x14ac:dyDescent="0.3">
      <c r="A2271" t="s">
        <v>2887</v>
      </c>
      <c r="B2271" s="1" t="s">
        <v>170</v>
      </c>
      <c r="C2271" s="1" t="s">
        <v>171</v>
      </c>
      <c r="D2271" s="1" t="s">
        <v>13</v>
      </c>
      <c r="E2271" s="2">
        <v>42318</v>
      </c>
      <c r="F2271" s="2" t="b">
        <f t="shared" si="143"/>
        <v>1</v>
      </c>
      <c r="G2271" s="2">
        <f t="shared" si="141"/>
        <v>42318</v>
      </c>
      <c r="H2271" s="1" t="s">
        <v>25</v>
      </c>
      <c r="I2271" s="1" t="s">
        <v>172</v>
      </c>
      <c r="J2271" s="1">
        <v>700</v>
      </c>
      <c r="K2271" s="1">
        <v>623</v>
      </c>
      <c r="L2271" s="3">
        <v>0.11</v>
      </c>
      <c r="N2271" t="s">
        <v>3763</v>
      </c>
      <c r="S2271" s="4" t="e">
        <f t="shared" si="142"/>
        <v>#NUM!</v>
      </c>
      <c r="T2271" s="4" t="str">
        <f t="shared" si="140"/>
        <v/>
      </c>
      <c r="U2271" s="4" t="s">
        <v>3763</v>
      </c>
    </row>
    <row r="2272" spans="1:21" x14ac:dyDescent="0.3">
      <c r="A2272" t="s">
        <v>2888</v>
      </c>
      <c r="B2272" s="1" t="s">
        <v>227</v>
      </c>
      <c r="C2272" s="1" t="s">
        <v>228</v>
      </c>
      <c r="D2272" s="1" t="s">
        <v>24</v>
      </c>
      <c r="E2272" s="2">
        <v>42614</v>
      </c>
      <c r="F2272" s="2" t="b">
        <f t="shared" si="143"/>
        <v>1</v>
      </c>
      <c r="G2272" s="2">
        <f t="shared" si="141"/>
        <v>42614</v>
      </c>
      <c r="H2272" s="1" t="s">
        <v>46</v>
      </c>
      <c r="I2272" s="1" t="s">
        <v>621</v>
      </c>
      <c r="J2272" s="1">
        <v>500</v>
      </c>
      <c r="K2272" s="1">
        <v>435</v>
      </c>
      <c r="L2272" s="3">
        <v>0.13</v>
      </c>
      <c r="N2272" t="s">
        <v>3763</v>
      </c>
      <c r="S2272" s="4" t="e">
        <f t="shared" si="142"/>
        <v>#NUM!</v>
      </c>
      <c r="T2272" s="4" t="str">
        <f t="shared" si="140"/>
        <v/>
      </c>
      <c r="U2272" s="4" t="s">
        <v>3763</v>
      </c>
    </row>
    <row r="2273" spans="1:21" x14ac:dyDescent="0.3">
      <c r="A2273" t="s">
        <v>2889</v>
      </c>
      <c r="B2273" s="1" t="s">
        <v>270</v>
      </c>
      <c r="C2273" s="1" t="s">
        <v>271</v>
      </c>
      <c r="D2273" s="1" t="s">
        <v>35</v>
      </c>
      <c r="E2273" s="2">
        <v>41985</v>
      </c>
      <c r="F2273" s="2" t="b">
        <f t="shared" si="143"/>
        <v>1</v>
      </c>
      <c r="G2273" s="2">
        <f t="shared" si="141"/>
        <v>41985</v>
      </c>
      <c r="H2273" s="1" t="s">
        <v>25</v>
      </c>
      <c r="I2273" s="1" t="s">
        <v>1827</v>
      </c>
      <c r="J2273" s="1">
        <v>700</v>
      </c>
      <c r="K2273" s="1">
        <v>693</v>
      </c>
      <c r="L2273" s="3">
        <v>0.01</v>
      </c>
      <c r="N2273" t="s">
        <v>3763</v>
      </c>
      <c r="S2273" s="4" t="e">
        <f t="shared" si="142"/>
        <v>#NUM!</v>
      </c>
      <c r="T2273" s="4" t="str">
        <f t="shared" si="140"/>
        <v/>
      </c>
      <c r="U2273" s="4" t="s">
        <v>3763</v>
      </c>
    </row>
    <row r="2274" spans="1:21" x14ac:dyDescent="0.3">
      <c r="A2274" t="s">
        <v>2890</v>
      </c>
      <c r="B2274" s="1" t="s">
        <v>131</v>
      </c>
      <c r="C2274" s="1" t="s">
        <v>108</v>
      </c>
      <c r="D2274" s="1" t="s">
        <v>19</v>
      </c>
      <c r="E2274" s="2">
        <v>42830</v>
      </c>
      <c r="F2274" s="2" t="b">
        <f t="shared" si="143"/>
        <v>1</v>
      </c>
      <c r="G2274" s="2">
        <f t="shared" si="141"/>
        <v>42830</v>
      </c>
      <c r="H2274" s="1" t="s">
        <v>30</v>
      </c>
      <c r="I2274" s="1" t="s">
        <v>1550</v>
      </c>
      <c r="J2274" s="1">
        <v>150</v>
      </c>
      <c r="K2274" s="1">
        <v>150</v>
      </c>
      <c r="L2274" s="3">
        <v>0</v>
      </c>
      <c r="N2274" t="s">
        <v>3763</v>
      </c>
      <c r="S2274" s="4" t="e">
        <f t="shared" si="142"/>
        <v>#NUM!</v>
      </c>
      <c r="T2274" s="4" t="str">
        <f t="shared" si="140"/>
        <v/>
      </c>
      <c r="U2274" s="4" t="s">
        <v>3763</v>
      </c>
    </row>
    <row r="2275" spans="1:21" x14ac:dyDescent="0.3">
      <c r="A2275" t="s">
        <v>2891</v>
      </c>
      <c r="B2275" s="1" t="s">
        <v>289</v>
      </c>
      <c r="C2275" s="1" t="s">
        <v>108</v>
      </c>
      <c r="D2275" s="1" t="s">
        <v>19</v>
      </c>
      <c r="E2275" s="2">
        <v>42253</v>
      </c>
      <c r="F2275" s="2" t="b">
        <f t="shared" si="143"/>
        <v>1</v>
      </c>
      <c r="G2275" s="2">
        <f t="shared" si="141"/>
        <v>42253</v>
      </c>
      <c r="H2275" s="1" t="s">
        <v>55</v>
      </c>
      <c r="I2275" s="1" t="s">
        <v>1041</v>
      </c>
      <c r="J2275" s="1">
        <v>800</v>
      </c>
      <c r="K2275" s="1">
        <v>696</v>
      </c>
      <c r="L2275" s="3">
        <v>0.13</v>
      </c>
      <c r="N2275" t="s">
        <v>3763</v>
      </c>
      <c r="S2275" s="4" t="e">
        <f t="shared" si="142"/>
        <v>#NUM!</v>
      </c>
      <c r="T2275" s="4" t="str">
        <f t="shared" si="140"/>
        <v/>
      </c>
      <c r="U2275" s="4" t="s">
        <v>3763</v>
      </c>
    </row>
    <row r="2276" spans="1:21" x14ac:dyDescent="0.3">
      <c r="A2276" t="s">
        <v>2892</v>
      </c>
      <c r="B2276" s="1" t="s">
        <v>187</v>
      </c>
      <c r="C2276" s="1" t="s">
        <v>188</v>
      </c>
      <c r="D2276" s="1" t="s">
        <v>13</v>
      </c>
      <c r="E2276" s="2" t="s">
        <v>3285</v>
      </c>
      <c r="F2276" s="2" t="b">
        <f t="shared" si="143"/>
        <v>0</v>
      </c>
      <c r="G2276" s="2">
        <f t="shared" si="141"/>
        <v>41755</v>
      </c>
      <c r="H2276" s="1" t="s">
        <v>41</v>
      </c>
      <c r="I2276" s="1" t="s">
        <v>741</v>
      </c>
      <c r="J2276" s="1">
        <v>30</v>
      </c>
      <c r="K2276" s="1">
        <v>26</v>
      </c>
      <c r="L2276" s="3">
        <v>0.1333</v>
      </c>
      <c r="N2276" t="s">
        <v>3285</v>
      </c>
      <c r="P2276">
        <v>4</v>
      </c>
      <c r="Q2276">
        <v>26</v>
      </c>
      <c r="R2276">
        <v>2014</v>
      </c>
      <c r="S2276" s="4">
        <f t="shared" si="142"/>
        <v>41755</v>
      </c>
      <c r="T2276" s="4">
        <f t="shared" si="140"/>
        <v>41755</v>
      </c>
      <c r="U2276" s="4">
        <v>41755</v>
      </c>
    </row>
    <row r="2277" spans="1:21" x14ac:dyDescent="0.3">
      <c r="A2277" t="s">
        <v>2893</v>
      </c>
      <c r="B2277" s="1" t="s">
        <v>44</v>
      </c>
      <c r="C2277" s="1" t="s">
        <v>45</v>
      </c>
      <c r="D2277" s="1" t="s">
        <v>24</v>
      </c>
      <c r="E2277" s="2" t="s">
        <v>3383</v>
      </c>
      <c r="F2277" s="2" t="b">
        <f t="shared" si="143"/>
        <v>0</v>
      </c>
      <c r="G2277" s="2">
        <f t="shared" si="141"/>
        <v>42550</v>
      </c>
      <c r="H2277" s="1" t="s">
        <v>25</v>
      </c>
      <c r="I2277" s="1" t="s">
        <v>1102</v>
      </c>
      <c r="J2277" s="1">
        <v>700</v>
      </c>
      <c r="K2277" s="1">
        <v>623</v>
      </c>
      <c r="L2277" s="3">
        <v>0.11</v>
      </c>
      <c r="N2277" t="s">
        <v>3383</v>
      </c>
      <c r="P2277">
        <v>6</v>
      </c>
      <c r="Q2277">
        <v>29</v>
      </c>
      <c r="R2277">
        <v>2016</v>
      </c>
      <c r="S2277" s="4">
        <f t="shared" si="142"/>
        <v>42550</v>
      </c>
      <c r="T2277" s="4">
        <f t="shared" si="140"/>
        <v>42550</v>
      </c>
      <c r="U2277" s="4">
        <v>42550</v>
      </c>
    </row>
    <row r="2278" spans="1:21" x14ac:dyDescent="0.3">
      <c r="A2278" t="s">
        <v>2894</v>
      </c>
      <c r="B2278" s="1" t="s">
        <v>241</v>
      </c>
      <c r="C2278" s="1" t="s">
        <v>242</v>
      </c>
      <c r="D2278" s="1" t="s">
        <v>13</v>
      </c>
      <c r="E2278" s="2" t="s">
        <v>3753</v>
      </c>
      <c r="F2278" s="2" t="b">
        <f t="shared" si="143"/>
        <v>0</v>
      </c>
      <c r="G2278" s="2">
        <f t="shared" si="141"/>
        <v>42478</v>
      </c>
      <c r="H2278" s="1" t="s">
        <v>14</v>
      </c>
      <c r="I2278" s="1" t="s">
        <v>287</v>
      </c>
      <c r="J2278" s="1">
        <v>80</v>
      </c>
      <c r="K2278" s="1">
        <v>74</v>
      </c>
      <c r="L2278" s="3">
        <v>7.4999999999999997E-2</v>
      </c>
      <c r="N2278" t="s">
        <v>3753</v>
      </c>
      <c r="P2278">
        <v>4</v>
      </c>
      <c r="Q2278">
        <v>18</v>
      </c>
      <c r="R2278">
        <v>2016</v>
      </c>
      <c r="S2278" s="4">
        <f t="shared" si="142"/>
        <v>42478</v>
      </c>
      <c r="T2278" s="4">
        <f t="shared" si="140"/>
        <v>42478</v>
      </c>
      <c r="U2278" s="4">
        <v>42478</v>
      </c>
    </row>
    <row r="2279" spans="1:21" x14ac:dyDescent="0.3">
      <c r="A2279" t="s">
        <v>2895</v>
      </c>
      <c r="B2279" s="1" t="s">
        <v>59</v>
      </c>
      <c r="C2279" s="1" t="s">
        <v>60</v>
      </c>
      <c r="D2279" s="1" t="s">
        <v>13</v>
      </c>
      <c r="E2279" s="2" t="s">
        <v>3605</v>
      </c>
      <c r="F2279" s="2" t="b">
        <f t="shared" si="143"/>
        <v>0</v>
      </c>
      <c r="G2279" s="2">
        <f t="shared" si="141"/>
        <v>41958</v>
      </c>
      <c r="H2279" s="1" t="s">
        <v>41</v>
      </c>
      <c r="I2279" s="1" t="s">
        <v>1842</v>
      </c>
      <c r="J2279" s="1">
        <v>30</v>
      </c>
      <c r="K2279" s="1">
        <v>21</v>
      </c>
      <c r="L2279" s="3">
        <v>0.3</v>
      </c>
      <c r="N2279" t="s">
        <v>3605</v>
      </c>
      <c r="P2279">
        <v>11</v>
      </c>
      <c r="Q2279">
        <v>15</v>
      </c>
      <c r="R2279">
        <v>2014</v>
      </c>
      <c r="S2279" s="4">
        <f t="shared" si="142"/>
        <v>41958</v>
      </c>
      <c r="T2279" s="4">
        <f t="shared" si="140"/>
        <v>41958</v>
      </c>
      <c r="U2279" s="4">
        <v>41958</v>
      </c>
    </row>
    <row r="2280" spans="1:21" x14ac:dyDescent="0.3">
      <c r="A2280" t="s">
        <v>2896</v>
      </c>
      <c r="B2280" s="1" t="s">
        <v>131</v>
      </c>
      <c r="C2280" s="1" t="s">
        <v>108</v>
      </c>
      <c r="D2280" s="1" t="s">
        <v>19</v>
      </c>
      <c r="E2280" s="2" t="s">
        <v>3754</v>
      </c>
      <c r="F2280" s="2" t="b">
        <f t="shared" si="143"/>
        <v>0</v>
      </c>
      <c r="G2280" s="2">
        <f t="shared" si="141"/>
        <v>42576</v>
      </c>
      <c r="H2280" s="1" t="s">
        <v>14</v>
      </c>
      <c r="I2280" s="1" t="s">
        <v>474</v>
      </c>
      <c r="J2280" s="1">
        <v>80</v>
      </c>
      <c r="K2280" s="1">
        <v>68</v>
      </c>
      <c r="L2280" s="3">
        <v>0.15</v>
      </c>
      <c r="N2280" t="s">
        <v>3754</v>
      </c>
      <c r="P2280">
        <v>7</v>
      </c>
      <c r="Q2280">
        <v>25</v>
      </c>
      <c r="R2280">
        <v>2016</v>
      </c>
      <c r="S2280" s="4">
        <f t="shared" si="142"/>
        <v>42576</v>
      </c>
      <c r="T2280" s="4">
        <f t="shared" si="140"/>
        <v>42576</v>
      </c>
      <c r="U2280" s="4">
        <v>42576</v>
      </c>
    </row>
    <row r="2281" spans="1:21" x14ac:dyDescent="0.3">
      <c r="A2281" t="s">
        <v>2897</v>
      </c>
      <c r="B2281" s="1" t="s">
        <v>91</v>
      </c>
      <c r="C2281" s="1" t="s">
        <v>92</v>
      </c>
      <c r="D2281" s="1" t="s">
        <v>35</v>
      </c>
      <c r="E2281" s="2" t="s">
        <v>3725</v>
      </c>
      <c r="F2281" s="2" t="b">
        <f t="shared" si="143"/>
        <v>0</v>
      </c>
      <c r="G2281" s="2">
        <f t="shared" si="141"/>
        <v>41661</v>
      </c>
      <c r="H2281" s="1" t="s">
        <v>122</v>
      </c>
      <c r="I2281" s="1" t="s">
        <v>1155</v>
      </c>
      <c r="J2281" s="1">
        <v>50</v>
      </c>
      <c r="K2281" s="1">
        <v>48</v>
      </c>
      <c r="L2281" s="3">
        <v>0.04</v>
      </c>
      <c r="N2281" t="s">
        <v>3725</v>
      </c>
      <c r="P2281">
        <v>1</v>
      </c>
      <c r="Q2281">
        <v>22</v>
      </c>
      <c r="R2281">
        <v>2014</v>
      </c>
      <c r="S2281" s="4">
        <f t="shared" si="142"/>
        <v>41661</v>
      </c>
      <c r="T2281" s="4">
        <f t="shared" si="140"/>
        <v>41661</v>
      </c>
      <c r="U2281" s="4">
        <v>41661</v>
      </c>
    </row>
    <row r="2282" spans="1:21" x14ac:dyDescent="0.3">
      <c r="A2282" t="s">
        <v>2898</v>
      </c>
      <c r="B2282" s="1" t="s">
        <v>39</v>
      </c>
      <c r="C2282" s="1" t="s">
        <v>40</v>
      </c>
      <c r="D2282" s="1" t="s">
        <v>35</v>
      </c>
      <c r="E2282" s="2">
        <v>42742</v>
      </c>
      <c r="F2282" s="2" t="b">
        <f t="shared" si="143"/>
        <v>1</v>
      </c>
      <c r="G2282" s="2">
        <f t="shared" si="141"/>
        <v>42742</v>
      </c>
      <c r="H2282" s="1" t="s">
        <v>41</v>
      </c>
      <c r="I2282" s="1" t="s">
        <v>1304</v>
      </c>
      <c r="J2282" s="1">
        <v>30</v>
      </c>
      <c r="K2282" s="1">
        <v>29</v>
      </c>
      <c r="L2282" s="3">
        <v>3.3300000000000003E-2</v>
      </c>
      <c r="N2282" t="s">
        <v>3763</v>
      </c>
      <c r="S2282" s="4" t="e">
        <f t="shared" si="142"/>
        <v>#NUM!</v>
      </c>
      <c r="T2282" s="4" t="str">
        <f t="shared" si="140"/>
        <v/>
      </c>
      <c r="U2282" s="4" t="s">
        <v>3763</v>
      </c>
    </row>
    <row r="2283" spans="1:21" x14ac:dyDescent="0.3">
      <c r="A2283" t="s">
        <v>2899</v>
      </c>
      <c r="B2283" s="1" t="s">
        <v>99</v>
      </c>
      <c r="C2283" s="1" t="s">
        <v>100</v>
      </c>
      <c r="D2283" s="1" t="s">
        <v>13</v>
      </c>
      <c r="E2283" s="2" t="s">
        <v>3755</v>
      </c>
      <c r="F2283" s="2" t="b">
        <f t="shared" si="143"/>
        <v>0</v>
      </c>
      <c r="G2283" s="2">
        <f t="shared" si="141"/>
        <v>42450</v>
      </c>
      <c r="H2283" s="1" t="s">
        <v>41</v>
      </c>
      <c r="I2283" s="1" t="s">
        <v>948</v>
      </c>
      <c r="J2283" s="1">
        <v>30</v>
      </c>
      <c r="K2283" s="1">
        <v>29</v>
      </c>
      <c r="L2283" s="3">
        <v>3.3300000000000003E-2</v>
      </c>
      <c r="N2283" t="s">
        <v>3755</v>
      </c>
      <c r="P2283">
        <v>3</v>
      </c>
      <c r="Q2283">
        <v>21</v>
      </c>
      <c r="R2283">
        <v>2016</v>
      </c>
      <c r="S2283" s="4">
        <f t="shared" si="142"/>
        <v>42450</v>
      </c>
      <c r="T2283" s="4">
        <f t="shared" si="140"/>
        <v>42450</v>
      </c>
      <c r="U2283" s="4">
        <v>42450</v>
      </c>
    </row>
    <row r="2284" spans="1:21" x14ac:dyDescent="0.3">
      <c r="A2284" t="s">
        <v>2900</v>
      </c>
      <c r="B2284" s="1" t="s">
        <v>103</v>
      </c>
      <c r="C2284" s="1" t="s">
        <v>71</v>
      </c>
      <c r="D2284" s="1" t="s">
        <v>35</v>
      </c>
      <c r="E2284" s="2">
        <v>42646</v>
      </c>
      <c r="F2284" s="2" t="b">
        <f t="shared" si="143"/>
        <v>1</v>
      </c>
      <c r="G2284" s="2">
        <f t="shared" si="141"/>
        <v>42646</v>
      </c>
      <c r="H2284" s="1" t="s">
        <v>61</v>
      </c>
      <c r="I2284" s="1" t="s">
        <v>105</v>
      </c>
      <c r="J2284" s="1">
        <v>1000</v>
      </c>
      <c r="K2284" s="1">
        <v>510</v>
      </c>
      <c r="L2284" s="3">
        <v>0.49</v>
      </c>
      <c r="N2284" t="s">
        <v>3763</v>
      </c>
      <c r="S2284" s="4" t="e">
        <f t="shared" si="142"/>
        <v>#NUM!</v>
      </c>
      <c r="T2284" s="4" t="str">
        <f t="shared" si="140"/>
        <v/>
      </c>
      <c r="U2284" s="4" t="s">
        <v>3763</v>
      </c>
    </row>
    <row r="2285" spans="1:21" x14ac:dyDescent="0.3">
      <c r="A2285" t="s">
        <v>2901</v>
      </c>
      <c r="B2285" s="1" t="s">
        <v>64</v>
      </c>
      <c r="C2285" s="1" t="s">
        <v>65</v>
      </c>
      <c r="D2285" s="1" t="s">
        <v>35</v>
      </c>
      <c r="E2285" s="2" t="s">
        <v>3400</v>
      </c>
      <c r="F2285" s="2" t="b">
        <f t="shared" si="143"/>
        <v>0</v>
      </c>
      <c r="G2285" s="2">
        <f t="shared" si="141"/>
        <v>42721</v>
      </c>
      <c r="H2285" s="1" t="s">
        <v>41</v>
      </c>
      <c r="I2285" s="1" t="s">
        <v>1536</v>
      </c>
      <c r="J2285" s="1">
        <v>30</v>
      </c>
      <c r="K2285" s="1">
        <v>29</v>
      </c>
      <c r="L2285" s="3">
        <v>3.3300000000000003E-2</v>
      </c>
      <c r="N2285" t="s">
        <v>3400</v>
      </c>
      <c r="P2285">
        <v>12</v>
      </c>
      <c r="Q2285">
        <v>17</v>
      </c>
      <c r="R2285">
        <v>2016</v>
      </c>
      <c r="S2285" s="4">
        <f t="shared" si="142"/>
        <v>42721</v>
      </c>
      <c r="T2285" s="4">
        <f t="shared" si="140"/>
        <v>42721</v>
      </c>
      <c r="U2285" s="4">
        <v>42721</v>
      </c>
    </row>
    <row r="2286" spans="1:21" x14ac:dyDescent="0.3">
      <c r="A2286" t="s">
        <v>2902</v>
      </c>
      <c r="B2286" s="1" t="s">
        <v>81</v>
      </c>
      <c r="C2286" s="1" t="s">
        <v>82</v>
      </c>
      <c r="D2286" s="1" t="s">
        <v>13</v>
      </c>
      <c r="E2286" s="2">
        <v>41678</v>
      </c>
      <c r="F2286" s="2" t="b">
        <f t="shared" si="143"/>
        <v>1</v>
      </c>
      <c r="G2286" s="2">
        <f t="shared" si="141"/>
        <v>41678</v>
      </c>
      <c r="H2286" s="1" t="s">
        <v>61</v>
      </c>
      <c r="I2286" s="1" t="s">
        <v>282</v>
      </c>
      <c r="J2286" s="1">
        <v>1000</v>
      </c>
      <c r="K2286" s="1">
        <v>840</v>
      </c>
      <c r="L2286" s="3">
        <v>0.16</v>
      </c>
      <c r="N2286" t="s">
        <v>3763</v>
      </c>
      <c r="S2286" s="4" t="e">
        <f t="shared" si="142"/>
        <v>#NUM!</v>
      </c>
      <c r="T2286" s="4" t="str">
        <f t="shared" si="140"/>
        <v/>
      </c>
      <c r="U2286" s="4" t="s">
        <v>3763</v>
      </c>
    </row>
    <row r="2287" spans="1:21" x14ac:dyDescent="0.3">
      <c r="A2287" t="s">
        <v>2903</v>
      </c>
      <c r="B2287" s="1" t="s">
        <v>28</v>
      </c>
      <c r="C2287" s="1" t="s">
        <v>29</v>
      </c>
      <c r="D2287" s="1" t="s">
        <v>13</v>
      </c>
      <c r="E2287" s="2" t="s">
        <v>3165</v>
      </c>
      <c r="F2287" s="2" t="b">
        <f t="shared" si="143"/>
        <v>0</v>
      </c>
      <c r="G2287" s="2">
        <f t="shared" si="141"/>
        <v>42391</v>
      </c>
      <c r="H2287" s="1" t="s">
        <v>115</v>
      </c>
      <c r="I2287" s="1" t="s">
        <v>424</v>
      </c>
      <c r="J2287" s="1">
        <v>250</v>
      </c>
      <c r="K2287" s="1">
        <v>225</v>
      </c>
      <c r="L2287" s="3">
        <v>0.1</v>
      </c>
      <c r="N2287" t="s">
        <v>3165</v>
      </c>
      <c r="P2287">
        <v>1</v>
      </c>
      <c r="Q2287">
        <v>22</v>
      </c>
      <c r="R2287">
        <v>2016</v>
      </c>
      <c r="S2287" s="4">
        <f t="shared" si="142"/>
        <v>42391</v>
      </c>
      <c r="T2287" s="4">
        <f t="shared" si="140"/>
        <v>42391</v>
      </c>
      <c r="U2287" s="4">
        <v>42391</v>
      </c>
    </row>
    <row r="2288" spans="1:21" x14ac:dyDescent="0.3">
      <c r="A2288" t="s">
        <v>2904</v>
      </c>
      <c r="B2288" s="1" t="s">
        <v>227</v>
      </c>
      <c r="C2288" s="1" t="s">
        <v>228</v>
      </c>
      <c r="D2288" s="1" t="s">
        <v>24</v>
      </c>
      <c r="E2288" s="2" t="s">
        <v>3073</v>
      </c>
      <c r="F2288" s="2" t="b">
        <f t="shared" si="143"/>
        <v>0</v>
      </c>
      <c r="G2288" s="2">
        <f t="shared" si="141"/>
        <v>42637</v>
      </c>
      <c r="H2288" s="1" t="s">
        <v>41</v>
      </c>
      <c r="I2288" s="1" t="s">
        <v>836</v>
      </c>
      <c r="J2288" s="1">
        <v>30</v>
      </c>
      <c r="K2288" s="1">
        <v>26</v>
      </c>
      <c r="L2288" s="3">
        <v>0.1333</v>
      </c>
      <c r="N2288" t="s">
        <v>3073</v>
      </c>
      <c r="P2288">
        <v>9</v>
      </c>
      <c r="Q2288">
        <v>24</v>
      </c>
      <c r="R2288">
        <v>2016</v>
      </c>
      <c r="S2288" s="4">
        <f t="shared" si="142"/>
        <v>42637</v>
      </c>
      <c r="T2288" s="4">
        <f t="shared" si="140"/>
        <v>42637</v>
      </c>
      <c r="U2288" s="4">
        <v>42637</v>
      </c>
    </row>
    <row r="2289" spans="1:21" x14ac:dyDescent="0.3">
      <c r="A2289" t="s">
        <v>2905</v>
      </c>
      <c r="B2289" s="1" t="s">
        <v>174</v>
      </c>
      <c r="C2289" s="1" t="s">
        <v>175</v>
      </c>
      <c r="D2289" s="1" t="s">
        <v>13</v>
      </c>
      <c r="E2289" s="2" t="s">
        <v>3181</v>
      </c>
      <c r="F2289" s="2" t="b">
        <f t="shared" si="143"/>
        <v>0</v>
      </c>
      <c r="G2289" s="2">
        <f t="shared" si="141"/>
        <v>42336</v>
      </c>
      <c r="H2289" s="1" t="s">
        <v>25</v>
      </c>
      <c r="I2289" s="1" t="s">
        <v>1456</v>
      </c>
      <c r="J2289" s="1">
        <v>700</v>
      </c>
      <c r="K2289" s="1">
        <v>539</v>
      </c>
      <c r="L2289" s="3">
        <v>0.23</v>
      </c>
      <c r="N2289" t="s">
        <v>3181</v>
      </c>
      <c r="P2289">
        <v>11</v>
      </c>
      <c r="Q2289">
        <v>28</v>
      </c>
      <c r="R2289">
        <v>2015</v>
      </c>
      <c r="S2289" s="4">
        <f t="shared" si="142"/>
        <v>42336</v>
      </c>
      <c r="T2289" s="4">
        <f t="shared" si="140"/>
        <v>42336</v>
      </c>
      <c r="U2289" s="4">
        <v>42336</v>
      </c>
    </row>
    <row r="2290" spans="1:21" x14ac:dyDescent="0.3">
      <c r="A2290" t="s">
        <v>2906</v>
      </c>
      <c r="B2290" s="1" t="s">
        <v>28</v>
      </c>
      <c r="C2290" s="1" t="s">
        <v>29</v>
      </c>
      <c r="D2290" s="1" t="s">
        <v>13</v>
      </c>
      <c r="E2290" s="2" t="s">
        <v>3562</v>
      </c>
      <c r="F2290" s="2" t="b">
        <f t="shared" si="143"/>
        <v>0</v>
      </c>
      <c r="G2290" s="2">
        <f t="shared" si="141"/>
        <v>42453</v>
      </c>
      <c r="H2290" s="1" t="s">
        <v>122</v>
      </c>
      <c r="I2290" s="1" t="s">
        <v>1108</v>
      </c>
      <c r="J2290" s="1">
        <v>50</v>
      </c>
      <c r="K2290" s="1">
        <v>49</v>
      </c>
      <c r="L2290" s="3">
        <v>0.02</v>
      </c>
      <c r="N2290" t="s">
        <v>3562</v>
      </c>
      <c r="P2290">
        <v>3</v>
      </c>
      <c r="Q2290">
        <v>24</v>
      </c>
      <c r="R2290">
        <v>2016</v>
      </c>
      <c r="S2290" s="4">
        <f t="shared" si="142"/>
        <v>42453</v>
      </c>
      <c r="T2290" s="4">
        <f t="shared" si="140"/>
        <v>42453</v>
      </c>
      <c r="U2290" s="4">
        <v>42453</v>
      </c>
    </row>
    <row r="2291" spans="1:21" x14ac:dyDescent="0.3">
      <c r="A2291" t="s">
        <v>2907</v>
      </c>
      <c r="B2291" s="1" t="s">
        <v>114</v>
      </c>
      <c r="C2291" s="1" t="s">
        <v>54</v>
      </c>
      <c r="D2291" s="1" t="s">
        <v>13</v>
      </c>
      <c r="E2291" s="2" t="s">
        <v>3093</v>
      </c>
      <c r="F2291" s="2" t="b">
        <f t="shared" si="143"/>
        <v>0</v>
      </c>
      <c r="G2291" s="2">
        <f t="shared" si="141"/>
        <v>43325</v>
      </c>
      <c r="H2291" s="1" t="s">
        <v>14</v>
      </c>
      <c r="I2291" s="1" t="s">
        <v>1961</v>
      </c>
      <c r="J2291" s="1">
        <v>80</v>
      </c>
      <c r="K2291" s="1">
        <v>70</v>
      </c>
      <c r="L2291" s="3">
        <v>0.125</v>
      </c>
      <c r="N2291" t="s">
        <v>3093</v>
      </c>
      <c r="P2291">
        <v>8</v>
      </c>
      <c r="Q2291">
        <v>13</v>
      </c>
      <c r="R2291">
        <v>2018</v>
      </c>
      <c r="S2291" s="4">
        <f t="shared" si="142"/>
        <v>43325</v>
      </c>
      <c r="T2291" s="4">
        <f t="shared" si="140"/>
        <v>43325</v>
      </c>
      <c r="U2291" s="4">
        <v>43325</v>
      </c>
    </row>
    <row r="2292" spans="1:21" x14ac:dyDescent="0.3">
      <c r="A2292" t="s">
        <v>2908</v>
      </c>
      <c r="B2292" s="1" t="s">
        <v>289</v>
      </c>
      <c r="C2292" s="1" t="s">
        <v>108</v>
      </c>
      <c r="D2292" s="1" t="s">
        <v>19</v>
      </c>
      <c r="E2292" s="2" t="s">
        <v>3422</v>
      </c>
      <c r="F2292" s="2" t="b">
        <f t="shared" si="143"/>
        <v>0</v>
      </c>
      <c r="G2292" s="2">
        <f t="shared" si="141"/>
        <v>41807</v>
      </c>
      <c r="H2292" s="1" t="s">
        <v>36</v>
      </c>
      <c r="I2292" s="1" t="s">
        <v>290</v>
      </c>
      <c r="J2292" s="1">
        <v>50</v>
      </c>
      <c r="K2292" s="1">
        <v>48</v>
      </c>
      <c r="L2292" s="3">
        <v>0.04</v>
      </c>
      <c r="N2292" t="s">
        <v>3422</v>
      </c>
      <c r="P2292">
        <v>6</v>
      </c>
      <c r="Q2292">
        <v>17</v>
      </c>
      <c r="R2292">
        <v>2014</v>
      </c>
      <c r="S2292" s="4">
        <f t="shared" si="142"/>
        <v>41807</v>
      </c>
      <c r="T2292" s="4">
        <f t="shared" si="140"/>
        <v>41807</v>
      </c>
      <c r="U2292" s="4">
        <v>41807</v>
      </c>
    </row>
    <row r="2293" spans="1:21" x14ac:dyDescent="0.3">
      <c r="A2293" t="s">
        <v>2909</v>
      </c>
      <c r="B2293" s="1" t="s">
        <v>2243</v>
      </c>
      <c r="C2293" s="1" t="s">
        <v>108</v>
      </c>
      <c r="D2293" s="1" t="s">
        <v>19</v>
      </c>
      <c r="E2293" s="2">
        <v>43015</v>
      </c>
      <c r="F2293" s="2" t="b">
        <f t="shared" si="143"/>
        <v>1</v>
      </c>
      <c r="G2293" s="2">
        <f t="shared" si="141"/>
        <v>43015</v>
      </c>
      <c r="H2293" s="1" t="s">
        <v>55</v>
      </c>
      <c r="I2293" s="1" t="s">
        <v>2442</v>
      </c>
      <c r="J2293" s="1">
        <v>800</v>
      </c>
      <c r="K2293" s="1">
        <v>544</v>
      </c>
      <c r="L2293" s="3">
        <v>0.32</v>
      </c>
      <c r="N2293" t="s">
        <v>3763</v>
      </c>
      <c r="S2293" s="4" t="e">
        <f t="shared" si="142"/>
        <v>#NUM!</v>
      </c>
      <c r="T2293" s="4" t="str">
        <f t="shared" si="140"/>
        <v/>
      </c>
      <c r="U2293" s="4" t="s">
        <v>3763</v>
      </c>
    </row>
    <row r="2294" spans="1:21" x14ac:dyDescent="0.3">
      <c r="A2294" t="s">
        <v>2910</v>
      </c>
      <c r="B2294" s="1" t="s">
        <v>111</v>
      </c>
      <c r="C2294" s="1" t="s">
        <v>82</v>
      </c>
      <c r="D2294" s="1" t="s">
        <v>13</v>
      </c>
      <c r="E2294" s="2" t="s">
        <v>3756</v>
      </c>
      <c r="F2294" s="2" t="b">
        <f t="shared" si="143"/>
        <v>0</v>
      </c>
      <c r="G2294" s="2">
        <f t="shared" si="141"/>
        <v>43311</v>
      </c>
      <c r="H2294" s="1" t="s">
        <v>36</v>
      </c>
      <c r="I2294" s="1" t="s">
        <v>826</v>
      </c>
      <c r="J2294" s="1">
        <v>50</v>
      </c>
      <c r="K2294" s="1">
        <v>44</v>
      </c>
      <c r="L2294" s="3">
        <v>0.12</v>
      </c>
      <c r="N2294" t="s">
        <v>3756</v>
      </c>
      <c r="P2294">
        <v>7</v>
      </c>
      <c r="Q2294">
        <v>30</v>
      </c>
      <c r="R2294">
        <v>2018</v>
      </c>
      <c r="S2294" s="4">
        <f t="shared" si="142"/>
        <v>43311</v>
      </c>
      <c r="T2294" s="4">
        <f t="shared" si="140"/>
        <v>43311</v>
      </c>
      <c r="U2294" s="4">
        <v>43311</v>
      </c>
    </row>
    <row r="2295" spans="1:21" x14ac:dyDescent="0.3">
      <c r="A2295" t="s">
        <v>2911</v>
      </c>
      <c r="B2295" s="1" t="s">
        <v>70</v>
      </c>
      <c r="C2295" s="1" t="s">
        <v>71</v>
      </c>
      <c r="D2295" s="1" t="s">
        <v>35</v>
      </c>
      <c r="E2295" s="2" t="s">
        <v>2995</v>
      </c>
      <c r="F2295" s="2" t="b">
        <f t="shared" si="143"/>
        <v>0</v>
      </c>
      <c r="G2295" s="2">
        <f t="shared" si="141"/>
        <v>42571</v>
      </c>
      <c r="H2295" s="1" t="s">
        <v>55</v>
      </c>
      <c r="I2295" s="1" t="s">
        <v>391</v>
      </c>
      <c r="J2295" s="1">
        <v>800</v>
      </c>
      <c r="K2295" s="1">
        <v>648</v>
      </c>
      <c r="L2295" s="3">
        <v>0.19</v>
      </c>
      <c r="N2295" t="s">
        <v>2995</v>
      </c>
      <c r="P2295">
        <v>7</v>
      </c>
      <c r="Q2295">
        <v>20</v>
      </c>
      <c r="R2295">
        <v>2016</v>
      </c>
      <c r="S2295" s="4">
        <f t="shared" si="142"/>
        <v>42571</v>
      </c>
      <c r="T2295" s="4">
        <f t="shared" si="140"/>
        <v>42571</v>
      </c>
      <c r="U2295" s="4">
        <v>42571</v>
      </c>
    </row>
    <row r="2296" spans="1:21" x14ac:dyDescent="0.3">
      <c r="A2296" t="s">
        <v>2912</v>
      </c>
      <c r="B2296" s="1" t="s">
        <v>2170</v>
      </c>
      <c r="C2296" s="1" t="s">
        <v>18</v>
      </c>
      <c r="D2296" s="1" t="s">
        <v>19</v>
      </c>
      <c r="E2296" s="2">
        <v>42863</v>
      </c>
      <c r="F2296" s="2" t="b">
        <f t="shared" si="143"/>
        <v>1</v>
      </c>
      <c r="G2296" s="2">
        <f t="shared" si="141"/>
        <v>42863</v>
      </c>
      <c r="H2296" s="1" t="s">
        <v>104</v>
      </c>
      <c r="I2296" s="1" t="s">
        <v>2221</v>
      </c>
      <c r="J2296" s="1">
        <v>70</v>
      </c>
      <c r="K2296" s="1">
        <v>67</v>
      </c>
      <c r="L2296" s="3">
        <v>4.2900000000000001E-2</v>
      </c>
      <c r="N2296" t="s">
        <v>3763</v>
      </c>
      <c r="S2296" s="4" t="e">
        <f t="shared" si="142"/>
        <v>#NUM!</v>
      </c>
      <c r="T2296" s="4" t="str">
        <f t="shared" si="140"/>
        <v/>
      </c>
      <c r="U2296" s="4" t="s">
        <v>3763</v>
      </c>
    </row>
    <row r="2297" spans="1:21" x14ac:dyDescent="0.3">
      <c r="A2297" t="s">
        <v>2913</v>
      </c>
      <c r="B2297" s="1" t="s">
        <v>49</v>
      </c>
      <c r="C2297" s="1" t="s">
        <v>50</v>
      </c>
      <c r="D2297" s="1" t="s">
        <v>24</v>
      </c>
      <c r="E2297" s="2">
        <v>42313</v>
      </c>
      <c r="F2297" s="2" t="b">
        <f t="shared" si="143"/>
        <v>1</v>
      </c>
      <c r="G2297" s="2">
        <f t="shared" si="141"/>
        <v>42313</v>
      </c>
      <c r="H2297" s="1" t="s">
        <v>122</v>
      </c>
      <c r="I2297" s="1" t="s">
        <v>729</v>
      </c>
      <c r="J2297" s="1">
        <v>50</v>
      </c>
      <c r="K2297" s="1">
        <v>38</v>
      </c>
      <c r="L2297" s="3">
        <v>0.24</v>
      </c>
      <c r="N2297" t="s">
        <v>3763</v>
      </c>
      <c r="S2297" s="4" t="e">
        <f t="shared" si="142"/>
        <v>#NUM!</v>
      </c>
      <c r="T2297" s="4" t="str">
        <f t="shared" si="140"/>
        <v/>
      </c>
      <c r="U2297" s="4" t="s">
        <v>3763</v>
      </c>
    </row>
    <row r="2298" spans="1:21" x14ac:dyDescent="0.3">
      <c r="A2298" t="s">
        <v>2914</v>
      </c>
      <c r="B2298" s="1" t="s">
        <v>111</v>
      </c>
      <c r="C2298" s="1" t="s">
        <v>82</v>
      </c>
      <c r="D2298" s="1" t="s">
        <v>13</v>
      </c>
      <c r="E2298" s="2" t="s">
        <v>3688</v>
      </c>
      <c r="F2298" s="2" t="b">
        <f t="shared" si="143"/>
        <v>0</v>
      </c>
      <c r="G2298" s="2">
        <f t="shared" si="141"/>
        <v>43125</v>
      </c>
      <c r="H2298" s="1" t="s">
        <v>61</v>
      </c>
      <c r="I2298" s="1" t="s">
        <v>826</v>
      </c>
      <c r="J2298" s="1">
        <v>1000</v>
      </c>
      <c r="K2298" s="1">
        <v>690</v>
      </c>
      <c r="L2298" s="3">
        <v>0.31</v>
      </c>
      <c r="N2298" t="s">
        <v>3688</v>
      </c>
      <c r="P2298">
        <v>1</v>
      </c>
      <c r="Q2298">
        <v>25</v>
      </c>
      <c r="R2298">
        <v>2018</v>
      </c>
      <c r="S2298" s="4">
        <f t="shared" si="142"/>
        <v>43125</v>
      </c>
      <c r="T2298" s="4">
        <f t="shared" si="140"/>
        <v>43125</v>
      </c>
      <c r="U2298" s="4">
        <v>43125</v>
      </c>
    </row>
    <row r="2299" spans="1:21" x14ac:dyDescent="0.3">
      <c r="A2299" t="s">
        <v>2915</v>
      </c>
      <c r="B2299" s="1" t="s">
        <v>49</v>
      </c>
      <c r="C2299" s="1" t="s">
        <v>50</v>
      </c>
      <c r="D2299" s="1" t="s">
        <v>24</v>
      </c>
      <c r="E2299" s="2" t="s">
        <v>3465</v>
      </c>
      <c r="F2299" s="2" t="b">
        <f t="shared" si="143"/>
        <v>0</v>
      </c>
      <c r="G2299" s="2">
        <f t="shared" si="141"/>
        <v>43425</v>
      </c>
      <c r="H2299" s="1" t="s">
        <v>41</v>
      </c>
      <c r="I2299" s="1" t="s">
        <v>378</v>
      </c>
      <c r="J2299" s="1">
        <v>30</v>
      </c>
      <c r="K2299" s="1">
        <v>27</v>
      </c>
      <c r="L2299" s="3">
        <v>0.1</v>
      </c>
      <c r="N2299" t="s">
        <v>3465</v>
      </c>
      <c r="P2299">
        <v>11</v>
      </c>
      <c r="Q2299">
        <v>21</v>
      </c>
      <c r="R2299">
        <v>2018</v>
      </c>
      <c r="S2299" s="4">
        <f t="shared" si="142"/>
        <v>43425</v>
      </c>
      <c r="T2299" s="4">
        <f t="shared" si="140"/>
        <v>43425</v>
      </c>
      <c r="U2299" s="4">
        <v>43425</v>
      </c>
    </row>
    <row r="2300" spans="1:21" x14ac:dyDescent="0.3">
      <c r="A2300" t="s">
        <v>2916</v>
      </c>
      <c r="B2300" s="1" t="s">
        <v>174</v>
      </c>
      <c r="C2300" s="1" t="s">
        <v>175</v>
      </c>
      <c r="D2300" s="1" t="s">
        <v>13</v>
      </c>
      <c r="E2300" s="2">
        <v>41771</v>
      </c>
      <c r="F2300" s="2" t="b">
        <f t="shared" si="143"/>
        <v>1</v>
      </c>
      <c r="G2300" s="2">
        <f t="shared" si="141"/>
        <v>41771</v>
      </c>
      <c r="H2300" s="1" t="s">
        <v>122</v>
      </c>
      <c r="I2300" s="1" t="s">
        <v>607</v>
      </c>
      <c r="J2300" s="1">
        <v>50</v>
      </c>
      <c r="K2300" s="1">
        <v>38</v>
      </c>
      <c r="L2300" s="3">
        <v>0.24</v>
      </c>
      <c r="N2300" t="s">
        <v>3763</v>
      </c>
      <c r="S2300" s="4" t="e">
        <f t="shared" si="142"/>
        <v>#NUM!</v>
      </c>
      <c r="T2300" s="4" t="str">
        <f t="shared" si="140"/>
        <v/>
      </c>
      <c r="U2300" s="4" t="s">
        <v>3763</v>
      </c>
    </row>
    <row r="2301" spans="1:21" x14ac:dyDescent="0.3">
      <c r="A2301" t="s">
        <v>2917</v>
      </c>
      <c r="B2301" s="1" t="s">
        <v>170</v>
      </c>
      <c r="C2301" s="1" t="s">
        <v>171</v>
      </c>
      <c r="D2301" s="1" t="s">
        <v>13</v>
      </c>
      <c r="E2301" s="2" t="s">
        <v>3159</v>
      </c>
      <c r="F2301" s="2" t="b">
        <f t="shared" si="143"/>
        <v>0</v>
      </c>
      <c r="G2301" s="2">
        <f t="shared" si="141"/>
        <v>41817</v>
      </c>
      <c r="H2301" s="1" t="s">
        <v>46</v>
      </c>
      <c r="I2301" s="1" t="s">
        <v>440</v>
      </c>
      <c r="J2301" s="1">
        <v>500</v>
      </c>
      <c r="K2301" s="1">
        <v>415</v>
      </c>
      <c r="L2301" s="3">
        <v>0.17</v>
      </c>
      <c r="N2301" t="s">
        <v>3159</v>
      </c>
      <c r="P2301">
        <v>6</v>
      </c>
      <c r="Q2301">
        <v>27</v>
      </c>
      <c r="R2301">
        <v>2014</v>
      </c>
      <c r="S2301" s="4">
        <f t="shared" si="142"/>
        <v>41817</v>
      </c>
      <c r="T2301" s="4">
        <f t="shared" si="140"/>
        <v>41817</v>
      </c>
      <c r="U2301" s="4">
        <v>41817</v>
      </c>
    </row>
    <row r="2302" spans="1:21" x14ac:dyDescent="0.3">
      <c r="A2302" t="s">
        <v>2918</v>
      </c>
      <c r="B2302" s="1" t="s">
        <v>187</v>
      </c>
      <c r="C2302" s="1" t="s">
        <v>188</v>
      </c>
      <c r="D2302" s="1" t="s">
        <v>13</v>
      </c>
      <c r="E2302" s="2">
        <v>41731</v>
      </c>
      <c r="F2302" s="2" t="b">
        <f t="shared" si="143"/>
        <v>1</v>
      </c>
      <c r="G2302" s="2">
        <f t="shared" si="141"/>
        <v>41731</v>
      </c>
      <c r="H2302" s="1" t="s">
        <v>36</v>
      </c>
      <c r="I2302" s="1" t="s">
        <v>797</v>
      </c>
      <c r="J2302" s="1">
        <v>50</v>
      </c>
      <c r="K2302" s="1">
        <v>43</v>
      </c>
      <c r="L2302" s="3">
        <v>0.14000000000000001</v>
      </c>
      <c r="N2302" t="s">
        <v>3763</v>
      </c>
      <c r="S2302" s="4" t="e">
        <f t="shared" si="142"/>
        <v>#NUM!</v>
      </c>
      <c r="T2302" s="4" t="str">
        <f t="shared" si="140"/>
        <v/>
      </c>
      <c r="U2302" s="4" t="s">
        <v>3763</v>
      </c>
    </row>
    <row r="2303" spans="1:21" x14ac:dyDescent="0.3">
      <c r="A2303" t="s">
        <v>2919</v>
      </c>
      <c r="B2303" s="1" t="s">
        <v>124</v>
      </c>
      <c r="C2303" s="1" t="s">
        <v>40</v>
      </c>
      <c r="D2303" s="1" t="s">
        <v>35</v>
      </c>
      <c r="E2303" s="2" t="s">
        <v>3552</v>
      </c>
      <c r="F2303" s="2" t="b">
        <f t="shared" si="143"/>
        <v>0</v>
      </c>
      <c r="G2303" s="2">
        <f t="shared" si="141"/>
        <v>43176</v>
      </c>
      <c r="H2303" s="1" t="s">
        <v>46</v>
      </c>
      <c r="I2303" s="1" t="s">
        <v>863</v>
      </c>
      <c r="J2303" s="1">
        <v>500</v>
      </c>
      <c r="K2303" s="1">
        <v>435</v>
      </c>
      <c r="L2303" s="3">
        <v>0.13</v>
      </c>
      <c r="N2303" t="s">
        <v>3552</v>
      </c>
      <c r="P2303">
        <v>3</v>
      </c>
      <c r="Q2303">
        <v>17</v>
      </c>
      <c r="R2303">
        <v>2018</v>
      </c>
      <c r="S2303" s="4">
        <f t="shared" si="142"/>
        <v>43176</v>
      </c>
      <c r="T2303" s="4">
        <f t="shared" si="140"/>
        <v>43176</v>
      </c>
      <c r="U2303" s="4">
        <v>43176</v>
      </c>
    </row>
    <row r="2304" spans="1:21" x14ac:dyDescent="0.3">
      <c r="A2304" t="s">
        <v>2920</v>
      </c>
      <c r="B2304" s="1" t="s">
        <v>53</v>
      </c>
      <c r="C2304" s="1" t="s">
        <v>54</v>
      </c>
      <c r="D2304" s="1" t="s">
        <v>13</v>
      </c>
      <c r="E2304" s="2" t="s">
        <v>3252</v>
      </c>
      <c r="F2304" s="2" t="b">
        <f t="shared" si="143"/>
        <v>0</v>
      </c>
      <c r="G2304" s="2">
        <f t="shared" si="141"/>
        <v>42138</v>
      </c>
      <c r="H2304" s="1" t="s">
        <v>30</v>
      </c>
      <c r="I2304" s="1" t="s">
        <v>814</v>
      </c>
      <c r="J2304" s="1">
        <v>150</v>
      </c>
      <c r="K2304" s="1">
        <v>149</v>
      </c>
      <c r="L2304" s="3">
        <v>6.7000000000000002E-3</v>
      </c>
      <c r="N2304" t="s">
        <v>3252</v>
      </c>
      <c r="P2304">
        <v>5</v>
      </c>
      <c r="Q2304">
        <v>14</v>
      </c>
      <c r="R2304">
        <v>2015</v>
      </c>
      <c r="S2304" s="4">
        <f t="shared" si="142"/>
        <v>42138</v>
      </c>
      <c r="T2304" s="4">
        <f t="shared" si="140"/>
        <v>42138</v>
      </c>
      <c r="U2304" s="4">
        <v>42138</v>
      </c>
    </row>
    <row r="2305" spans="1:21" x14ac:dyDescent="0.3">
      <c r="A2305" t="s">
        <v>2921</v>
      </c>
      <c r="B2305" s="1" t="s">
        <v>70</v>
      </c>
      <c r="C2305" s="1" t="s">
        <v>71</v>
      </c>
      <c r="D2305" s="1" t="s">
        <v>35</v>
      </c>
      <c r="E2305" s="2">
        <v>41735</v>
      </c>
      <c r="F2305" s="2" t="b">
        <f t="shared" si="143"/>
        <v>1</v>
      </c>
      <c r="G2305" s="2">
        <f t="shared" si="141"/>
        <v>41735</v>
      </c>
      <c r="H2305" s="1" t="s">
        <v>25</v>
      </c>
      <c r="I2305" s="1" t="s">
        <v>328</v>
      </c>
      <c r="J2305" s="1">
        <v>700</v>
      </c>
      <c r="K2305" s="1">
        <v>644</v>
      </c>
      <c r="L2305" s="3">
        <v>0.08</v>
      </c>
      <c r="N2305" t="s">
        <v>3763</v>
      </c>
      <c r="S2305" s="4" t="e">
        <f t="shared" si="142"/>
        <v>#NUM!</v>
      </c>
      <c r="T2305" s="4" t="str">
        <f t="shared" si="140"/>
        <v/>
      </c>
      <c r="U2305" s="4" t="s">
        <v>3763</v>
      </c>
    </row>
    <row r="2306" spans="1:21" x14ac:dyDescent="0.3">
      <c r="A2306" t="s">
        <v>2922</v>
      </c>
      <c r="B2306" s="1" t="s">
        <v>400</v>
      </c>
      <c r="C2306" s="1" t="s">
        <v>401</v>
      </c>
      <c r="D2306" s="1" t="s">
        <v>13</v>
      </c>
      <c r="E2306" s="2" t="s">
        <v>3531</v>
      </c>
      <c r="F2306" s="2" t="b">
        <f t="shared" si="143"/>
        <v>0</v>
      </c>
      <c r="G2306" s="2">
        <f t="shared" si="141"/>
        <v>42580</v>
      </c>
      <c r="H2306" s="1" t="s">
        <v>104</v>
      </c>
      <c r="I2306" s="1" t="s">
        <v>1281</v>
      </c>
      <c r="J2306" s="1">
        <v>70</v>
      </c>
      <c r="K2306" s="1">
        <v>67</v>
      </c>
      <c r="L2306" s="3">
        <v>4.2900000000000001E-2</v>
      </c>
      <c r="N2306" t="s">
        <v>3531</v>
      </c>
      <c r="P2306">
        <v>7</v>
      </c>
      <c r="Q2306">
        <v>29</v>
      </c>
      <c r="R2306">
        <v>2016</v>
      </c>
      <c r="S2306" s="4">
        <f t="shared" si="142"/>
        <v>42580</v>
      </c>
      <c r="T2306" s="4">
        <f t="shared" si="140"/>
        <v>42580</v>
      </c>
      <c r="U2306" s="4">
        <v>42580</v>
      </c>
    </row>
    <row r="2307" spans="1:21" x14ac:dyDescent="0.3">
      <c r="A2307" t="s">
        <v>2923</v>
      </c>
      <c r="B2307" s="1" t="s">
        <v>2170</v>
      </c>
      <c r="C2307" s="1" t="s">
        <v>18</v>
      </c>
      <c r="D2307" s="1" t="s">
        <v>19</v>
      </c>
      <c r="E2307" s="2" t="s">
        <v>3757</v>
      </c>
      <c r="F2307" s="2" t="b">
        <f t="shared" si="143"/>
        <v>0</v>
      </c>
      <c r="G2307" s="2">
        <f t="shared" si="141"/>
        <v>41906</v>
      </c>
      <c r="H2307" s="1" t="s">
        <v>115</v>
      </c>
      <c r="I2307" s="1" t="s">
        <v>2924</v>
      </c>
      <c r="J2307" s="1">
        <v>250</v>
      </c>
      <c r="K2307" s="1">
        <v>198</v>
      </c>
      <c r="L2307" s="3">
        <v>0.20799999999999999</v>
      </c>
      <c r="N2307" t="s">
        <v>3757</v>
      </c>
      <c r="P2307">
        <v>9</v>
      </c>
      <c r="Q2307">
        <v>24</v>
      </c>
      <c r="R2307">
        <v>2014</v>
      </c>
      <c r="S2307" s="4">
        <f t="shared" si="142"/>
        <v>41906</v>
      </c>
      <c r="T2307" s="4">
        <f t="shared" ref="T2307:T2340" si="144">IF(AND(P2307&lt;&gt;"",Q2307&lt;&gt;"",R2307&lt;&gt;""),IFERROR(DATE(R2307,P2307,Q2307),""),"")</f>
        <v>41906</v>
      </c>
      <c r="U2307" s="4">
        <v>41906</v>
      </c>
    </row>
    <row r="2308" spans="1:21" x14ac:dyDescent="0.3">
      <c r="A2308" t="s">
        <v>2925</v>
      </c>
      <c r="B2308" s="1" t="s">
        <v>59</v>
      </c>
      <c r="C2308" s="1" t="s">
        <v>60</v>
      </c>
      <c r="D2308" s="1" t="s">
        <v>13</v>
      </c>
      <c r="E2308" s="2" t="s">
        <v>3758</v>
      </c>
      <c r="F2308" s="2" t="b">
        <f t="shared" si="143"/>
        <v>0</v>
      </c>
      <c r="G2308" s="2">
        <f t="shared" ref="G2308:G2340" si="145">IF(F2308=TRUE,E2308,U2308)</f>
        <v>41986</v>
      </c>
      <c r="H2308" s="1" t="s">
        <v>41</v>
      </c>
      <c r="I2308" s="1" t="s">
        <v>781</v>
      </c>
      <c r="J2308" s="1">
        <v>30</v>
      </c>
      <c r="K2308" s="1">
        <v>30</v>
      </c>
      <c r="L2308" s="3">
        <v>0</v>
      </c>
      <c r="N2308" t="s">
        <v>3758</v>
      </c>
      <c r="P2308">
        <v>12</v>
      </c>
      <c r="Q2308">
        <v>13</v>
      </c>
      <c r="R2308">
        <v>2014</v>
      </c>
      <c r="S2308" s="4">
        <f t="shared" ref="S2308:S2340" si="146">DATE(R2308,P2308,Q2308)</f>
        <v>41986</v>
      </c>
      <c r="T2308" s="4">
        <f t="shared" si="144"/>
        <v>41986</v>
      </c>
      <c r="U2308" s="4">
        <v>41986</v>
      </c>
    </row>
    <row r="2309" spans="1:21" x14ac:dyDescent="0.3">
      <c r="A2309" t="s">
        <v>2926</v>
      </c>
      <c r="B2309" s="1" t="s">
        <v>2191</v>
      </c>
      <c r="C2309" s="1" t="s">
        <v>108</v>
      </c>
      <c r="D2309" s="1" t="s">
        <v>19</v>
      </c>
      <c r="E2309" s="2">
        <v>41852</v>
      </c>
      <c r="F2309" s="2" t="b">
        <f t="shared" ref="F2309:F2340" si="147">ISNUMBER(E2309)</f>
        <v>1</v>
      </c>
      <c r="G2309" s="2">
        <f t="shared" si="145"/>
        <v>41852</v>
      </c>
      <c r="H2309" s="1" t="s">
        <v>46</v>
      </c>
      <c r="I2309" s="1" t="s">
        <v>2927</v>
      </c>
      <c r="J2309" s="1">
        <v>500</v>
      </c>
      <c r="K2309" s="1">
        <v>360</v>
      </c>
      <c r="L2309" s="3">
        <v>0.28000000000000003</v>
      </c>
      <c r="N2309" t="s">
        <v>3763</v>
      </c>
      <c r="S2309" s="4" t="e">
        <f t="shared" si="146"/>
        <v>#NUM!</v>
      </c>
      <c r="T2309" s="4" t="str">
        <f t="shared" si="144"/>
        <v/>
      </c>
      <c r="U2309" s="4" t="s">
        <v>3763</v>
      </c>
    </row>
    <row r="2310" spans="1:21" x14ac:dyDescent="0.3">
      <c r="A2310" t="s">
        <v>2928</v>
      </c>
      <c r="B2310" s="1" t="s">
        <v>187</v>
      </c>
      <c r="C2310" s="1" t="s">
        <v>188</v>
      </c>
      <c r="D2310" s="1" t="s">
        <v>13</v>
      </c>
      <c r="E2310" s="2">
        <v>43258</v>
      </c>
      <c r="F2310" s="2" t="b">
        <f t="shared" si="147"/>
        <v>1</v>
      </c>
      <c r="G2310" s="2">
        <f t="shared" si="145"/>
        <v>43258</v>
      </c>
      <c r="H2310" s="1" t="s">
        <v>122</v>
      </c>
      <c r="I2310" s="1" t="s">
        <v>189</v>
      </c>
      <c r="J2310" s="1">
        <v>50</v>
      </c>
      <c r="K2310" s="1">
        <v>44</v>
      </c>
      <c r="L2310" s="3">
        <v>0.12</v>
      </c>
      <c r="N2310" t="s">
        <v>3763</v>
      </c>
      <c r="S2310" s="4" t="e">
        <f t="shared" si="146"/>
        <v>#NUM!</v>
      </c>
      <c r="T2310" s="4" t="str">
        <f t="shared" si="144"/>
        <v/>
      </c>
      <c r="U2310" s="4" t="s">
        <v>3763</v>
      </c>
    </row>
    <row r="2311" spans="1:21" x14ac:dyDescent="0.3">
      <c r="A2311" t="s">
        <v>2929</v>
      </c>
      <c r="B2311" s="1" t="s">
        <v>91</v>
      </c>
      <c r="C2311" s="1" t="s">
        <v>92</v>
      </c>
      <c r="D2311" s="1" t="s">
        <v>35</v>
      </c>
      <c r="E2311" s="2" t="s">
        <v>3529</v>
      </c>
      <c r="F2311" s="2" t="b">
        <f t="shared" si="147"/>
        <v>0</v>
      </c>
      <c r="G2311" s="2">
        <f t="shared" si="145"/>
        <v>43266</v>
      </c>
      <c r="H2311" s="1" t="s">
        <v>55</v>
      </c>
      <c r="I2311" s="1" t="s">
        <v>1343</v>
      </c>
      <c r="J2311" s="1">
        <v>800</v>
      </c>
      <c r="K2311" s="1">
        <v>744</v>
      </c>
      <c r="L2311" s="3">
        <v>7.0000000000000007E-2</v>
      </c>
      <c r="N2311" t="s">
        <v>3529</v>
      </c>
      <c r="P2311">
        <v>6</v>
      </c>
      <c r="Q2311">
        <v>15</v>
      </c>
      <c r="R2311">
        <v>2018</v>
      </c>
      <c r="S2311" s="4">
        <f t="shared" si="146"/>
        <v>43266</v>
      </c>
      <c r="T2311" s="4">
        <f t="shared" si="144"/>
        <v>43266</v>
      </c>
      <c r="U2311" s="4">
        <v>43266</v>
      </c>
    </row>
    <row r="2312" spans="1:21" x14ac:dyDescent="0.3">
      <c r="A2312" t="s">
        <v>2930</v>
      </c>
      <c r="B2312" s="1" t="s">
        <v>170</v>
      </c>
      <c r="C2312" s="1" t="s">
        <v>171</v>
      </c>
      <c r="D2312" s="1" t="s">
        <v>13</v>
      </c>
      <c r="E2312" s="2">
        <v>42985</v>
      </c>
      <c r="F2312" s="2" t="b">
        <f t="shared" si="147"/>
        <v>1</v>
      </c>
      <c r="G2312" s="2">
        <f t="shared" si="145"/>
        <v>42985</v>
      </c>
      <c r="H2312" s="1" t="s">
        <v>61</v>
      </c>
      <c r="I2312" s="1" t="s">
        <v>1421</v>
      </c>
      <c r="J2312" s="1">
        <v>1000</v>
      </c>
      <c r="K2312" s="1">
        <v>810</v>
      </c>
      <c r="L2312" s="3">
        <v>0.19</v>
      </c>
      <c r="N2312" t="s">
        <v>3763</v>
      </c>
      <c r="S2312" s="4" t="e">
        <f t="shared" si="146"/>
        <v>#NUM!</v>
      </c>
      <c r="T2312" s="4" t="str">
        <f t="shared" si="144"/>
        <v/>
      </c>
      <c r="U2312" s="4" t="s">
        <v>3763</v>
      </c>
    </row>
    <row r="2313" spans="1:21" x14ac:dyDescent="0.3">
      <c r="A2313" t="s">
        <v>2931</v>
      </c>
      <c r="B2313" s="1" t="s">
        <v>2170</v>
      </c>
      <c r="C2313" s="1" t="s">
        <v>18</v>
      </c>
      <c r="D2313" s="1" t="s">
        <v>19</v>
      </c>
      <c r="E2313" s="2" t="s">
        <v>3569</v>
      </c>
      <c r="F2313" s="2" t="b">
        <f t="shared" si="147"/>
        <v>0</v>
      </c>
      <c r="G2313" s="2">
        <f t="shared" si="145"/>
        <v>42838</v>
      </c>
      <c r="H2313" s="1" t="s">
        <v>41</v>
      </c>
      <c r="I2313" s="1" t="s">
        <v>2238</v>
      </c>
      <c r="J2313" s="1">
        <v>30</v>
      </c>
      <c r="K2313" s="1">
        <v>28</v>
      </c>
      <c r="L2313" s="3">
        <v>6.6699999999999995E-2</v>
      </c>
      <c r="N2313" t="s">
        <v>3569</v>
      </c>
      <c r="P2313">
        <v>4</v>
      </c>
      <c r="Q2313">
        <v>13</v>
      </c>
      <c r="R2313">
        <v>2017</v>
      </c>
      <c r="S2313" s="4">
        <f t="shared" si="146"/>
        <v>42838</v>
      </c>
      <c r="T2313" s="4">
        <f t="shared" si="144"/>
        <v>42838</v>
      </c>
      <c r="U2313" s="4">
        <v>42838</v>
      </c>
    </row>
    <row r="2314" spans="1:21" x14ac:dyDescent="0.3">
      <c r="A2314" t="s">
        <v>2932</v>
      </c>
      <c r="B2314" s="1" t="s">
        <v>85</v>
      </c>
      <c r="C2314" s="1" t="s">
        <v>86</v>
      </c>
      <c r="D2314" s="1" t="s">
        <v>13</v>
      </c>
      <c r="E2314" s="2">
        <v>42223</v>
      </c>
      <c r="F2314" s="2" t="b">
        <f t="shared" si="147"/>
        <v>1</v>
      </c>
      <c r="G2314" s="2">
        <f t="shared" si="145"/>
        <v>42223</v>
      </c>
      <c r="H2314" s="1" t="s">
        <v>14</v>
      </c>
      <c r="I2314" s="1" t="s">
        <v>363</v>
      </c>
      <c r="J2314" s="1">
        <v>80</v>
      </c>
      <c r="K2314" s="1">
        <v>70</v>
      </c>
      <c r="L2314" s="3">
        <v>0.125</v>
      </c>
      <c r="N2314" t="s">
        <v>3763</v>
      </c>
      <c r="S2314" s="4" t="e">
        <f t="shared" si="146"/>
        <v>#NUM!</v>
      </c>
      <c r="T2314" s="4" t="str">
        <f t="shared" si="144"/>
        <v/>
      </c>
      <c r="U2314" s="4" t="s">
        <v>3763</v>
      </c>
    </row>
    <row r="2315" spans="1:21" x14ac:dyDescent="0.3">
      <c r="A2315" t="s">
        <v>2933</v>
      </c>
      <c r="B2315" s="1" t="s">
        <v>107</v>
      </c>
      <c r="C2315" s="1" t="s">
        <v>108</v>
      </c>
      <c r="D2315" s="1" t="s">
        <v>19</v>
      </c>
      <c r="E2315" s="2" t="s">
        <v>3759</v>
      </c>
      <c r="F2315" s="2" t="b">
        <f t="shared" si="147"/>
        <v>0</v>
      </c>
      <c r="G2315" s="2">
        <f t="shared" si="145"/>
        <v>41720</v>
      </c>
      <c r="H2315" s="1" t="s">
        <v>72</v>
      </c>
      <c r="I2315" s="1" t="s">
        <v>531</v>
      </c>
      <c r="J2315" s="1">
        <v>500</v>
      </c>
      <c r="K2315" s="1">
        <v>495</v>
      </c>
      <c r="L2315" s="3">
        <v>0.01</v>
      </c>
      <c r="N2315" t="s">
        <v>3759</v>
      </c>
      <c r="P2315">
        <v>3</v>
      </c>
      <c r="Q2315">
        <v>22</v>
      </c>
      <c r="R2315">
        <v>2014</v>
      </c>
      <c r="S2315" s="4">
        <f t="shared" si="146"/>
        <v>41720</v>
      </c>
      <c r="T2315" s="4">
        <f t="shared" si="144"/>
        <v>41720</v>
      </c>
      <c r="U2315" s="4">
        <v>41720</v>
      </c>
    </row>
    <row r="2316" spans="1:21" x14ac:dyDescent="0.3">
      <c r="A2316" t="s">
        <v>2934</v>
      </c>
      <c r="B2316" s="1" t="s">
        <v>270</v>
      </c>
      <c r="C2316" s="1" t="s">
        <v>271</v>
      </c>
      <c r="D2316" s="1" t="s">
        <v>35</v>
      </c>
      <c r="E2316" s="2">
        <v>41945</v>
      </c>
      <c r="F2316" s="2" t="b">
        <f t="shared" si="147"/>
        <v>1</v>
      </c>
      <c r="G2316" s="2">
        <f t="shared" si="145"/>
        <v>41945</v>
      </c>
      <c r="H2316" s="1" t="s">
        <v>14</v>
      </c>
      <c r="I2316" s="1" t="s">
        <v>337</v>
      </c>
      <c r="J2316" s="1">
        <v>80</v>
      </c>
      <c r="K2316" s="1">
        <v>73</v>
      </c>
      <c r="L2316" s="3">
        <v>8.7499999999999994E-2</v>
      </c>
      <c r="N2316" t="s">
        <v>3763</v>
      </c>
      <c r="S2316" s="4" t="e">
        <f t="shared" si="146"/>
        <v>#NUM!</v>
      </c>
      <c r="T2316" s="4" t="str">
        <f t="shared" si="144"/>
        <v/>
      </c>
      <c r="U2316" s="4" t="s">
        <v>3763</v>
      </c>
    </row>
    <row r="2317" spans="1:21" x14ac:dyDescent="0.3">
      <c r="A2317" t="s">
        <v>2935</v>
      </c>
      <c r="B2317" s="1" t="s">
        <v>154</v>
      </c>
      <c r="C2317" s="1" t="s">
        <v>108</v>
      </c>
      <c r="D2317" s="1" t="s">
        <v>19</v>
      </c>
      <c r="E2317" s="2" t="s">
        <v>2970</v>
      </c>
      <c r="F2317" s="2" t="b">
        <f t="shared" si="147"/>
        <v>0</v>
      </c>
      <c r="G2317" s="2">
        <f t="shared" si="145"/>
        <v>43144</v>
      </c>
      <c r="H2317" s="1" t="s">
        <v>25</v>
      </c>
      <c r="I2317" s="1" t="s">
        <v>2936</v>
      </c>
      <c r="J2317" s="1">
        <v>700</v>
      </c>
      <c r="K2317" s="1">
        <v>602</v>
      </c>
      <c r="L2317" s="3">
        <v>0.14000000000000001</v>
      </c>
      <c r="N2317" t="s">
        <v>2970</v>
      </c>
      <c r="P2317">
        <v>2</v>
      </c>
      <c r="Q2317">
        <v>13</v>
      </c>
      <c r="R2317">
        <v>2018</v>
      </c>
      <c r="S2317" s="4">
        <f t="shared" si="146"/>
        <v>43144</v>
      </c>
      <c r="T2317" s="4">
        <f t="shared" si="144"/>
        <v>43144</v>
      </c>
      <c r="U2317" s="4">
        <v>43144</v>
      </c>
    </row>
    <row r="2318" spans="1:21" x14ac:dyDescent="0.3">
      <c r="A2318" t="s">
        <v>2937</v>
      </c>
      <c r="B2318" s="1" t="s">
        <v>170</v>
      </c>
      <c r="C2318" s="1" t="s">
        <v>171</v>
      </c>
      <c r="D2318" s="1" t="s">
        <v>13</v>
      </c>
      <c r="E2318" s="2" t="s">
        <v>3626</v>
      </c>
      <c r="F2318" s="2" t="b">
        <f t="shared" si="147"/>
        <v>0</v>
      </c>
      <c r="G2318" s="2">
        <f t="shared" si="145"/>
        <v>43241</v>
      </c>
      <c r="H2318" s="1" t="s">
        <v>115</v>
      </c>
      <c r="I2318" s="1" t="s">
        <v>274</v>
      </c>
      <c r="J2318" s="1">
        <v>250</v>
      </c>
      <c r="K2318" s="1">
        <v>50</v>
      </c>
      <c r="L2318" s="3">
        <v>0.8</v>
      </c>
      <c r="N2318" t="s">
        <v>3626</v>
      </c>
      <c r="P2318">
        <v>5</v>
      </c>
      <c r="Q2318">
        <v>21</v>
      </c>
      <c r="R2318">
        <v>2018</v>
      </c>
      <c r="S2318" s="4">
        <f t="shared" si="146"/>
        <v>43241</v>
      </c>
      <c r="T2318" s="4">
        <f t="shared" si="144"/>
        <v>43241</v>
      </c>
      <c r="U2318" s="4">
        <v>43241</v>
      </c>
    </row>
    <row r="2319" spans="1:21" x14ac:dyDescent="0.3">
      <c r="A2319" t="s">
        <v>2938</v>
      </c>
      <c r="B2319" s="1" t="s">
        <v>289</v>
      </c>
      <c r="C2319" s="1" t="s">
        <v>108</v>
      </c>
      <c r="D2319" s="1" t="s">
        <v>19</v>
      </c>
      <c r="E2319" s="2" t="s">
        <v>3711</v>
      </c>
      <c r="F2319" s="2" t="b">
        <f t="shared" si="147"/>
        <v>0</v>
      </c>
      <c r="G2319" s="2">
        <f t="shared" si="145"/>
        <v>43034</v>
      </c>
      <c r="H2319" s="1" t="s">
        <v>25</v>
      </c>
      <c r="I2319" s="1" t="s">
        <v>1545</v>
      </c>
      <c r="J2319" s="1">
        <v>700</v>
      </c>
      <c r="K2319" s="1">
        <v>700</v>
      </c>
      <c r="L2319" s="3">
        <v>0</v>
      </c>
      <c r="N2319" t="s">
        <v>3711</v>
      </c>
      <c r="P2319">
        <v>10</v>
      </c>
      <c r="Q2319">
        <v>26</v>
      </c>
      <c r="R2319">
        <v>2017</v>
      </c>
      <c r="S2319" s="4">
        <f t="shared" si="146"/>
        <v>43034</v>
      </c>
      <c r="T2319" s="4">
        <f t="shared" si="144"/>
        <v>43034</v>
      </c>
      <c r="U2319" s="4">
        <v>43034</v>
      </c>
    </row>
    <row r="2320" spans="1:21" x14ac:dyDescent="0.3">
      <c r="A2320" t="s">
        <v>2939</v>
      </c>
      <c r="B2320" s="1" t="s">
        <v>434</v>
      </c>
      <c r="C2320" s="1" t="s">
        <v>435</v>
      </c>
      <c r="D2320" s="1" t="s">
        <v>24</v>
      </c>
      <c r="E2320" s="2" t="s">
        <v>3760</v>
      </c>
      <c r="F2320" s="2" t="b">
        <f t="shared" si="147"/>
        <v>0</v>
      </c>
      <c r="G2320" s="2">
        <f t="shared" si="145"/>
        <v>42119</v>
      </c>
      <c r="H2320" s="1" t="s">
        <v>14</v>
      </c>
      <c r="I2320" s="1" t="s">
        <v>828</v>
      </c>
      <c r="J2320" s="1">
        <v>80</v>
      </c>
      <c r="K2320" s="1">
        <v>58</v>
      </c>
      <c r="L2320" s="3">
        <v>0.27500000000000002</v>
      </c>
      <c r="N2320" t="s">
        <v>3760</v>
      </c>
      <c r="P2320">
        <v>4</v>
      </c>
      <c r="Q2320">
        <v>25</v>
      </c>
      <c r="R2320">
        <v>2015</v>
      </c>
      <c r="S2320" s="4">
        <f t="shared" si="146"/>
        <v>42119</v>
      </c>
      <c r="T2320" s="4">
        <f t="shared" si="144"/>
        <v>42119</v>
      </c>
      <c r="U2320" s="4">
        <v>42119</v>
      </c>
    </row>
    <row r="2321" spans="1:21" x14ac:dyDescent="0.3">
      <c r="A2321" t="s">
        <v>2940</v>
      </c>
      <c r="B2321" s="1" t="s">
        <v>111</v>
      </c>
      <c r="C2321" s="1" t="s">
        <v>82</v>
      </c>
      <c r="D2321" s="1" t="s">
        <v>13</v>
      </c>
      <c r="E2321" s="2">
        <v>41822</v>
      </c>
      <c r="F2321" s="2" t="b">
        <f t="shared" si="147"/>
        <v>1</v>
      </c>
      <c r="G2321" s="2">
        <f t="shared" si="145"/>
        <v>41822</v>
      </c>
      <c r="H2321" s="1" t="s">
        <v>41</v>
      </c>
      <c r="I2321" s="1" t="s">
        <v>610</v>
      </c>
      <c r="J2321" s="1">
        <v>30</v>
      </c>
      <c r="K2321" s="1">
        <v>22</v>
      </c>
      <c r="L2321" s="3">
        <v>0.26669999999999999</v>
      </c>
      <c r="N2321" t="s">
        <v>3763</v>
      </c>
      <c r="S2321" s="4" t="e">
        <f t="shared" si="146"/>
        <v>#NUM!</v>
      </c>
      <c r="T2321" s="4" t="str">
        <f t="shared" si="144"/>
        <v/>
      </c>
      <c r="U2321" s="4" t="s">
        <v>3763</v>
      </c>
    </row>
    <row r="2322" spans="1:21" x14ac:dyDescent="0.3">
      <c r="A2322" t="s">
        <v>2941</v>
      </c>
      <c r="B2322" s="1" t="s">
        <v>127</v>
      </c>
      <c r="C2322" s="1" t="s">
        <v>128</v>
      </c>
      <c r="D2322" s="1" t="s">
        <v>13</v>
      </c>
      <c r="E2322" s="2" t="s">
        <v>3351</v>
      </c>
      <c r="F2322" s="2" t="b">
        <f t="shared" si="147"/>
        <v>0</v>
      </c>
      <c r="G2322" s="2">
        <f t="shared" si="145"/>
        <v>43088</v>
      </c>
      <c r="H2322" s="1" t="s">
        <v>72</v>
      </c>
      <c r="I2322" s="1" t="s">
        <v>1261</v>
      </c>
      <c r="J2322" s="1">
        <v>500</v>
      </c>
      <c r="K2322" s="1">
        <v>495</v>
      </c>
      <c r="L2322" s="3">
        <v>0.01</v>
      </c>
      <c r="N2322" t="s">
        <v>3351</v>
      </c>
      <c r="P2322">
        <v>12</v>
      </c>
      <c r="Q2322">
        <v>19</v>
      </c>
      <c r="R2322">
        <v>2017</v>
      </c>
      <c r="S2322" s="4">
        <f t="shared" si="146"/>
        <v>43088</v>
      </c>
      <c r="T2322" s="4">
        <f t="shared" si="144"/>
        <v>43088</v>
      </c>
      <c r="U2322" s="4">
        <v>43088</v>
      </c>
    </row>
    <row r="2323" spans="1:21" x14ac:dyDescent="0.3">
      <c r="A2323" t="s">
        <v>2942</v>
      </c>
      <c r="B2323" s="1" t="s">
        <v>53</v>
      </c>
      <c r="C2323" s="1" t="s">
        <v>54</v>
      </c>
      <c r="D2323" s="1" t="s">
        <v>13</v>
      </c>
      <c r="E2323" s="2">
        <v>42132</v>
      </c>
      <c r="F2323" s="2" t="b">
        <f t="shared" si="147"/>
        <v>1</v>
      </c>
      <c r="G2323" s="2">
        <f t="shared" si="145"/>
        <v>42132</v>
      </c>
      <c r="H2323" s="1" t="s">
        <v>36</v>
      </c>
      <c r="I2323" s="1" t="s">
        <v>404</v>
      </c>
      <c r="J2323" s="1">
        <v>50</v>
      </c>
      <c r="K2323" s="1">
        <v>49</v>
      </c>
      <c r="L2323" s="3">
        <v>0.02</v>
      </c>
      <c r="N2323" t="s">
        <v>3763</v>
      </c>
      <c r="S2323" s="4" t="e">
        <f t="shared" si="146"/>
        <v>#NUM!</v>
      </c>
      <c r="T2323" s="4" t="str">
        <f t="shared" si="144"/>
        <v/>
      </c>
      <c r="U2323" s="4" t="s">
        <v>3763</v>
      </c>
    </row>
    <row r="2324" spans="1:21" x14ac:dyDescent="0.3">
      <c r="A2324" t="s">
        <v>2943</v>
      </c>
      <c r="B2324" s="1" t="s">
        <v>134</v>
      </c>
      <c r="C2324" s="1" t="s">
        <v>92</v>
      </c>
      <c r="D2324" s="1" t="s">
        <v>35</v>
      </c>
      <c r="E2324" s="2">
        <v>43040</v>
      </c>
      <c r="F2324" s="2" t="b">
        <f t="shared" si="147"/>
        <v>1</v>
      </c>
      <c r="G2324" s="2">
        <f t="shared" si="145"/>
        <v>43040</v>
      </c>
      <c r="H2324" s="1" t="s">
        <v>115</v>
      </c>
      <c r="I2324" s="1" t="s">
        <v>374</v>
      </c>
      <c r="J2324" s="1">
        <v>250</v>
      </c>
      <c r="K2324" s="1">
        <v>230</v>
      </c>
      <c r="L2324" s="3">
        <v>0.08</v>
      </c>
      <c r="N2324" t="s">
        <v>3763</v>
      </c>
      <c r="S2324" s="4" t="e">
        <f t="shared" si="146"/>
        <v>#NUM!</v>
      </c>
      <c r="T2324" s="4" t="str">
        <f t="shared" si="144"/>
        <v/>
      </c>
      <c r="U2324" s="4" t="s">
        <v>3763</v>
      </c>
    </row>
    <row r="2325" spans="1:21" x14ac:dyDescent="0.3">
      <c r="A2325" t="s">
        <v>2944</v>
      </c>
      <c r="B2325" s="1" t="s">
        <v>127</v>
      </c>
      <c r="C2325" s="1" t="s">
        <v>128</v>
      </c>
      <c r="D2325" s="1" t="s">
        <v>13</v>
      </c>
      <c r="E2325" s="2">
        <v>42862</v>
      </c>
      <c r="F2325" s="2" t="b">
        <f t="shared" si="147"/>
        <v>1</v>
      </c>
      <c r="G2325" s="2">
        <f t="shared" si="145"/>
        <v>42862</v>
      </c>
      <c r="H2325" s="1" t="s">
        <v>14</v>
      </c>
      <c r="I2325" s="1" t="s">
        <v>233</v>
      </c>
      <c r="J2325" s="1">
        <v>80</v>
      </c>
      <c r="K2325" s="1">
        <v>73</v>
      </c>
      <c r="L2325" s="3">
        <v>8.7499999999999994E-2</v>
      </c>
      <c r="N2325" t="s">
        <v>3763</v>
      </c>
      <c r="S2325" s="4" t="e">
        <f t="shared" si="146"/>
        <v>#NUM!</v>
      </c>
      <c r="T2325" s="4" t="str">
        <f t="shared" si="144"/>
        <v/>
      </c>
      <c r="U2325" s="4" t="s">
        <v>3763</v>
      </c>
    </row>
    <row r="2326" spans="1:21" x14ac:dyDescent="0.3">
      <c r="A2326" t="s">
        <v>2945</v>
      </c>
      <c r="B2326" s="1" t="s">
        <v>221</v>
      </c>
      <c r="C2326" s="1" t="s">
        <v>40</v>
      </c>
      <c r="D2326" s="1" t="s">
        <v>35</v>
      </c>
      <c r="E2326" s="2">
        <v>43040</v>
      </c>
      <c r="F2326" s="2" t="b">
        <f t="shared" si="147"/>
        <v>1</v>
      </c>
      <c r="G2326" s="2">
        <f t="shared" si="145"/>
        <v>43040</v>
      </c>
      <c r="H2326" s="1" t="s">
        <v>46</v>
      </c>
      <c r="I2326" s="1" t="s">
        <v>222</v>
      </c>
      <c r="J2326" s="1">
        <v>500</v>
      </c>
      <c r="K2326" s="1">
        <v>475</v>
      </c>
      <c r="L2326" s="3">
        <v>0.05</v>
      </c>
      <c r="N2326" t="s">
        <v>3763</v>
      </c>
      <c r="S2326" s="4" t="e">
        <f t="shared" si="146"/>
        <v>#NUM!</v>
      </c>
      <c r="T2326" s="4" t="str">
        <f t="shared" si="144"/>
        <v/>
      </c>
      <c r="U2326" s="4" t="s">
        <v>3763</v>
      </c>
    </row>
    <row r="2327" spans="1:21" x14ac:dyDescent="0.3">
      <c r="A2327" t="s">
        <v>2946</v>
      </c>
      <c r="B2327" s="1" t="s">
        <v>157</v>
      </c>
      <c r="C2327" s="1" t="s">
        <v>108</v>
      </c>
      <c r="D2327" s="1" t="s">
        <v>19</v>
      </c>
      <c r="E2327" s="2">
        <v>43102</v>
      </c>
      <c r="F2327" s="2" t="b">
        <f t="shared" si="147"/>
        <v>1</v>
      </c>
      <c r="G2327" s="2">
        <f t="shared" si="145"/>
        <v>43102</v>
      </c>
      <c r="H2327" s="1" t="s">
        <v>36</v>
      </c>
      <c r="I2327" s="1" t="s">
        <v>1286</v>
      </c>
      <c r="J2327" s="1">
        <v>50</v>
      </c>
      <c r="K2327" s="1">
        <v>50</v>
      </c>
      <c r="L2327" s="3">
        <v>0</v>
      </c>
      <c r="N2327" t="s">
        <v>3763</v>
      </c>
      <c r="S2327" s="4" t="e">
        <f t="shared" si="146"/>
        <v>#NUM!</v>
      </c>
      <c r="T2327" s="4" t="str">
        <f t="shared" si="144"/>
        <v/>
      </c>
      <c r="U2327" s="4" t="s">
        <v>3763</v>
      </c>
    </row>
    <row r="2328" spans="1:21" x14ac:dyDescent="0.3">
      <c r="A2328" t="s">
        <v>2947</v>
      </c>
      <c r="B2328" s="1" t="s">
        <v>182</v>
      </c>
      <c r="C2328" s="1" t="s">
        <v>108</v>
      </c>
      <c r="D2328" s="1" t="s">
        <v>19</v>
      </c>
      <c r="E2328" s="2">
        <v>42921</v>
      </c>
      <c r="F2328" s="2" t="b">
        <f t="shared" si="147"/>
        <v>1</v>
      </c>
      <c r="G2328" s="2">
        <f t="shared" si="145"/>
        <v>42921</v>
      </c>
      <c r="H2328" s="1" t="s">
        <v>115</v>
      </c>
      <c r="I2328" s="1" t="s">
        <v>1043</v>
      </c>
      <c r="J2328" s="1">
        <v>250</v>
      </c>
      <c r="K2328" s="1">
        <v>238</v>
      </c>
      <c r="L2328" s="3">
        <v>4.8000000000000001E-2</v>
      </c>
      <c r="N2328" t="s">
        <v>3763</v>
      </c>
      <c r="S2328" s="4" t="e">
        <f t="shared" si="146"/>
        <v>#NUM!</v>
      </c>
      <c r="T2328" s="4" t="str">
        <f t="shared" si="144"/>
        <v/>
      </c>
      <c r="U2328" s="4" t="s">
        <v>3763</v>
      </c>
    </row>
    <row r="2329" spans="1:21" x14ac:dyDescent="0.3">
      <c r="A2329" t="s">
        <v>2948</v>
      </c>
      <c r="B2329" s="1" t="s">
        <v>49</v>
      </c>
      <c r="C2329" s="1" t="s">
        <v>50</v>
      </c>
      <c r="D2329" s="1" t="s">
        <v>24</v>
      </c>
      <c r="E2329" s="2" t="s">
        <v>3761</v>
      </c>
      <c r="F2329" s="2" t="b">
        <f t="shared" si="147"/>
        <v>0</v>
      </c>
      <c r="G2329" s="2">
        <f t="shared" si="145"/>
        <v>41781</v>
      </c>
      <c r="H2329" s="1" t="s">
        <v>14</v>
      </c>
      <c r="I2329" s="1" t="s">
        <v>378</v>
      </c>
      <c r="J2329" s="1">
        <v>80</v>
      </c>
      <c r="K2329" s="1">
        <v>77</v>
      </c>
      <c r="L2329" s="3">
        <v>3.7499999999999999E-2</v>
      </c>
      <c r="N2329" t="s">
        <v>3761</v>
      </c>
      <c r="P2329">
        <v>5</v>
      </c>
      <c r="Q2329">
        <v>22</v>
      </c>
      <c r="R2329">
        <v>2014</v>
      </c>
      <c r="S2329" s="4">
        <f t="shared" si="146"/>
        <v>41781</v>
      </c>
      <c r="T2329" s="4">
        <f t="shared" si="144"/>
        <v>41781</v>
      </c>
      <c r="U2329" s="4">
        <v>41781</v>
      </c>
    </row>
    <row r="2330" spans="1:21" x14ac:dyDescent="0.3">
      <c r="A2330" t="s">
        <v>2949</v>
      </c>
      <c r="B2330" s="1" t="s">
        <v>111</v>
      </c>
      <c r="C2330" s="1" t="s">
        <v>82</v>
      </c>
      <c r="D2330" s="1" t="s">
        <v>13</v>
      </c>
      <c r="E2330" s="2" t="s">
        <v>3242</v>
      </c>
      <c r="F2330" s="2" t="b">
        <f t="shared" si="147"/>
        <v>0</v>
      </c>
      <c r="G2330" s="2">
        <f t="shared" si="145"/>
        <v>42033</v>
      </c>
      <c r="H2330" s="1" t="s">
        <v>36</v>
      </c>
      <c r="I2330" s="1" t="s">
        <v>1688</v>
      </c>
      <c r="J2330" s="1">
        <v>50</v>
      </c>
      <c r="K2330" s="1">
        <v>38</v>
      </c>
      <c r="L2330" s="3">
        <v>0.24</v>
      </c>
      <c r="N2330" t="s">
        <v>3242</v>
      </c>
      <c r="P2330">
        <v>1</v>
      </c>
      <c r="Q2330">
        <v>29</v>
      </c>
      <c r="R2330">
        <v>2015</v>
      </c>
      <c r="S2330" s="4">
        <f t="shared" si="146"/>
        <v>42033</v>
      </c>
      <c r="T2330" s="4">
        <f t="shared" si="144"/>
        <v>42033</v>
      </c>
      <c r="U2330" s="4">
        <v>42033</v>
      </c>
    </row>
    <row r="2331" spans="1:21" x14ac:dyDescent="0.3">
      <c r="A2331" t="s">
        <v>2950</v>
      </c>
      <c r="B2331" s="1" t="s">
        <v>150</v>
      </c>
      <c r="C2331" s="1" t="s">
        <v>151</v>
      </c>
      <c r="D2331" s="1" t="s">
        <v>13</v>
      </c>
      <c r="E2331" s="2">
        <v>42158</v>
      </c>
      <c r="F2331" s="2" t="b">
        <f t="shared" si="147"/>
        <v>1</v>
      </c>
      <c r="G2331" s="2">
        <f t="shared" si="145"/>
        <v>42158</v>
      </c>
      <c r="H2331" s="1" t="s">
        <v>61</v>
      </c>
      <c r="I2331" s="1" t="s">
        <v>771</v>
      </c>
      <c r="J2331" s="1">
        <v>1000</v>
      </c>
      <c r="K2331" s="1">
        <v>650</v>
      </c>
      <c r="L2331" s="3">
        <v>0.35</v>
      </c>
      <c r="N2331" t="s">
        <v>3763</v>
      </c>
      <c r="S2331" s="4" t="e">
        <f t="shared" si="146"/>
        <v>#NUM!</v>
      </c>
      <c r="T2331" s="4" t="str">
        <f t="shared" si="144"/>
        <v/>
      </c>
      <c r="U2331" s="4" t="s">
        <v>3763</v>
      </c>
    </row>
    <row r="2332" spans="1:21" x14ac:dyDescent="0.3">
      <c r="A2332" t="s">
        <v>2951</v>
      </c>
      <c r="B2332" s="1" t="s">
        <v>111</v>
      </c>
      <c r="C2332" s="1" t="s">
        <v>82</v>
      </c>
      <c r="D2332" s="1" t="s">
        <v>13</v>
      </c>
      <c r="E2332" s="2">
        <v>42555</v>
      </c>
      <c r="F2332" s="2" t="b">
        <f t="shared" si="147"/>
        <v>1</v>
      </c>
      <c r="G2332" s="2">
        <f t="shared" si="145"/>
        <v>42555</v>
      </c>
      <c r="H2332" s="1" t="s">
        <v>14</v>
      </c>
      <c r="I2332" s="1" t="s">
        <v>1218</v>
      </c>
      <c r="J2332" s="1">
        <v>80</v>
      </c>
      <c r="K2332" s="1">
        <v>79</v>
      </c>
      <c r="L2332" s="3">
        <v>1.2500000000000001E-2</v>
      </c>
      <c r="N2332" t="s">
        <v>3763</v>
      </c>
      <c r="S2332" s="4" t="e">
        <f t="shared" si="146"/>
        <v>#NUM!</v>
      </c>
      <c r="T2332" s="4" t="str">
        <f t="shared" si="144"/>
        <v/>
      </c>
      <c r="U2332" s="4" t="s">
        <v>3763</v>
      </c>
    </row>
    <row r="2333" spans="1:21" x14ac:dyDescent="0.3">
      <c r="A2333" t="s">
        <v>2952</v>
      </c>
      <c r="B2333" s="1" t="s">
        <v>400</v>
      </c>
      <c r="C2333" s="1" t="s">
        <v>401</v>
      </c>
      <c r="D2333" s="1" t="s">
        <v>13</v>
      </c>
      <c r="E2333" s="2">
        <v>41700</v>
      </c>
      <c r="F2333" s="2" t="b">
        <f t="shared" si="147"/>
        <v>1</v>
      </c>
      <c r="G2333" s="2">
        <f t="shared" si="145"/>
        <v>41700</v>
      </c>
      <c r="H2333" s="1" t="s">
        <v>36</v>
      </c>
      <c r="I2333" s="1" t="s">
        <v>2188</v>
      </c>
      <c r="J2333" s="1">
        <v>50</v>
      </c>
      <c r="K2333" s="1">
        <v>46</v>
      </c>
      <c r="L2333" s="3">
        <v>0.08</v>
      </c>
      <c r="N2333" t="s">
        <v>3763</v>
      </c>
      <c r="S2333" s="4" t="e">
        <f t="shared" si="146"/>
        <v>#NUM!</v>
      </c>
      <c r="T2333" s="4" t="str">
        <f t="shared" si="144"/>
        <v/>
      </c>
      <c r="U2333" s="4" t="s">
        <v>3763</v>
      </c>
    </row>
    <row r="2334" spans="1:21" x14ac:dyDescent="0.3">
      <c r="A2334" t="s">
        <v>2953</v>
      </c>
      <c r="B2334" s="1" t="s">
        <v>174</v>
      </c>
      <c r="C2334" s="1" t="s">
        <v>175</v>
      </c>
      <c r="D2334" s="1" t="s">
        <v>13</v>
      </c>
      <c r="E2334" s="2">
        <v>42956</v>
      </c>
      <c r="F2334" s="2" t="b">
        <f t="shared" si="147"/>
        <v>1</v>
      </c>
      <c r="G2334" s="2">
        <f t="shared" si="145"/>
        <v>42956</v>
      </c>
      <c r="H2334" s="1" t="s">
        <v>25</v>
      </c>
      <c r="I2334" s="1" t="s">
        <v>1558</v>
      </c>
      <c r="J2334" s="1">
        <v>700</v>
      </c>
      <c r="K2334" s="1">
        <v>644</v>
      </c>
      <c r="L2334" s="3">
        <v>0.08</v>
      </c>
      <c r="N2334" t="s">
        <v>3763</v>
      </c>
      <c r="S2334" s="4" t="e">
        <f t="shared" si="146"/>
        <v>#NUM!</v>
      </c>
      <c r="T2334" s="4" t="str">
        <f t="shared" si="144"/>
        <v/>
      </c>
      <c r="U2334" s="4" t="s">
        <v>3763</v>
      </c>
    </row>
    <row r="2335" spans="1:21" x14ac:dyDescent="0.3">
      <c r="A2335" t="s">
        <v>2954</v>
      </c>
      <c r="B2335" s="1" t="s">
        <v>28</v>
      </c>
      <c r="C2335" s="1" t="s">
        <v>29</v>
      </c>
      <c r="D2335" s="1" t="s">
        <v>13</v>
      </c>
      <c r="E2335" s="2">
        <v>42283</v>
      </c>
      <c r="F2335" s="2" t="b">
        <f t="shared" si="147"/>
        <v>1</v>
      </c>
      <c r="G2335" s="2">
        <f t="shared" si="145"/>
        <v>42283</v>
      </c>
      <c r="H2335" s="1" t="s">
        <v>25</v>
      </c>
      <c r="I2335" s="1" t="s">
        <v>396</v>
      </c>
      <c r="J2335" s="1">
        <v>700</v>
      </c>
      <c r="K2335" s="1">
        <v>686</v>
      </c>
      <c r="L2335" s="3">
        <v>0.02</v>
      </c>
      <c r="N2335" t="s">
        <v>3763</v>
      </c>
      <c r="S2335" s="4" t="e">
        <f t="shared" si="146"/>
        <v>#NUM!</v>
      </c>
      <c r="T2335" s="4" t="str">
        <f t="shared" si="144"/>
        <v/>
      </c>
      <c r="U2335" s="4" t="s">
        <v>3763</v>
      </c>
    </row>
    <row r="2336" spans="1:21" x14ac:dyDescent="0.3">
      <c r="A2336" t="s">
        <v>2955</v>
      </c>
      <c r="B2336" s="1" t="s">
        <v>255</v>
      </c>
      <c r="C2336" s="1" t="s">
        <v>256</v>
      </c>
      <c r="D2336" s="1" t="s">
        <v>13</v>
      </c>
      <c r="E2336" s="2" t="s">
        <v>3351</v>
      </c>
      <c r="F2336" s="2" t="b">
        <f t="shared" si="147"/>
        <v>0</v>
      </c>
      <c r="G2336" s="2">
        <f t="shared" si="145"/>
        <v>43088</v>
      </c>
      <c r="H2336" s="1" t="s">
        <v>14</v>
      </c>
      <c r="I2336" s="1" t="s">
        <v>800</v>
      </c>
      <c r="J2336" s="1">
        <v>80</v>
      </c>
      <c r="K2336" s="1">
        <v>78</v>
      </c>
      <c r="L2336" s="3">
        <v>2.5000000000000001E-2</v>
      </c>
      <c r="N2336" t="s">
        <v>3351</v>
      </c>
      <c r="P2336">
        <v>12</v>
      </c>
      <c r="Q2336">
        <v>19</v>
      </c>
      <c r="R2336">
        <v>2017</v>
      </c>
      <c r="S2336" s="4">
        <f t="shared" si="146"/>
        <v>43088</v>
      </c>
      <c r="T2336" s="4">
        <f t="shared" si="144"/>
        <v>43088</v>
      </c>
      <c r="U2336" s="4">
        <v>43088</v>
      </c>
    </row>
    <row r="2337" spans="1:21" x14ac:dyDescent="0.3">
      <c r="A2337" t="s">
        <v>2956</v>
      </c>
      <c r="B2337" s="1" t="s">
        <v>39</v>
      </c>
      <c r="C2337" s="1" t="s">
        <v>40</v>
      </c>
      <c r="D2337" s="1" t="s">
        <v>35</v>
      </c>
      <c r="E2337" s="2" t="s">
        <v>3296</v>
      </c>
      <c r="F2337" s="2" t="b">
        <f t="shared" si="147"/>
        <v>0</v>
      </c>
      <c r="G2337" s="2">
        <f t="shared" si="145"/>
        <v>42052</v>
      </c>
      <c r="H2337" s="1" t="s">
        <v>14</v>
      </c>
      <c r="I2337" s="1" t="s">
        <v>1284</v>
      </c>
      <c r="J2337" s="1">
        <v>80</v>
      </c>
      <c r="K2337" s="1">
        <v>78</v>
      </c>
      <c r="L2337" s="3">
        <v>2.5000000000000001E-2</v>
      </c>
      <c r="N2337" t="s">
        <v>3296</v>
      </c>
      <c r="P2337">
        <v>2</v>
      </c>
      <c r="Q2337">
        <v>17</v>
      </c>
      <c r="R2337">
        <v>2015</v>
      </c>
      <c r="S2337" s="4">
        <f t="shared" si="146"/>
        <v>42052</v>
      </c>
      <c r="T2337" s="4">
        <f t="shared" si="144"/>
        <v>42052</v>
      </c>
      <c r="U2337" s="4">
        <v>42052</v>
      </c>
    </row>
    <row r="2338" spans="1:21" x14ac:dyDescent="0.3">
      <c r="A2338" t="s">
        <v>2957</v>
      </c>
      <c r="B2338" s="1" t="s">
        <v>28</v>
      </c>
      <c r="C2338" s="1" t="s">
        <v>29</v>
      </c>
      <c r="D2338" s="1" t="s">
        <v>13</v>
      </c>
      <c r="E2338" s="2" t="s">
        <v>3708</v>
      </c>
      <c r="F2338" s="2" t="b">
        <f t="shared" si="147"/>
        <v>0</v>
      </c>
      <c r="G2338" s="2">
        <f t="shared" si="145"/>
        <v>42151</v>
      </c>
      <c r="H2338" s="1" t="s">
        <v>55</v>
      </c>
      <c r="I2338" s="1" t="s">
        <v>424</v>
      </c>
      <c r="J2338" s="1">
        <v>800</v>
      </c>
      <c r="K2338" s="1">
        <v>480</v>
      </c>
      <c r="L2338" s="3">
        <v>0.4</v>
      </c>
      <c r="N2338" t="s">
        <v>3708</v>
      </c>
      <c r="P2338">
        <v>5</v>
      </c>
      <c r="Q2338">
        <v>27</v>
      </c>
      <c r="R2338">
        <v>2015</v>
      </c>
      <c r="S2338" s="4">
        <f t="shared" si="146"/>
        <v>42151</v>
      </c>
      <c r="T2338" s="4">
        <f t="shared" si="144"/>
        <v>42151</v>
      </c>
      <c r="U2338" s="4">
        <v>42151</v>
      </c>
    </row>
    <row r="2339" spans="1:21" x14ac:dyDescent="0.3">
      <c r="A2339" t="s">
        <v>2958</v>
      </c>
      <c r="B2339" s="1" t="s">
        <v>85</v>
      </c>
      <c r="C2339" s="1" t="s">
        <v>86</v>
      </c>
      <c r="D2339" s="1" t="s">
        <v>13</v>
      </c>
      <c r="E2339" s="2">
        <v>42561</v>
      </c>
      <c r="F2339" s="2" t="b">
        <f t="shared" si="147"/>
        <v>1</v>
      </c>
      <c r="G2339" s="2">
        <f t="shared" si="145"/>
        <v>42561</v>
      </c>
      <c r="H2339" s="1" t="s">
        <v>104</v>
      </c>
      <c r="I2339" s="1" t="s">
        <v>166</v>
      </c>
      <c r="J2339" s="1">
        <v>70</v>
      </c>
      <c r="K2339" s="1">
        <v>64</v>
      </c>
      <c r="L2339" s="3">
        <v>8.5699999999999998E-2</v>
      </c>
      <c r="N2339" t="s">
        <v>3763</v>
      </c>
      <c r="S2339" s="4" t="e">
        <f t="shared" si="146"/>
        <v>#NUM!</v>
      </c>
      <c r="T2339" s="4" t="str">
        <f t="shared" si="144"/>
        <v/>
      </c>
      <c r="U2339" s="4" t="s">
        <v>3763</v>
      </c>
    </row>
    <row r="2340" spans="1:21" x14ac:dyDescent="0.3">
      <c r="A2340" t="s">
        <v>2959</v>
      </c>
      <c r="B2340" s="1" t="s">
        <v>221</v>
      </c>
      <c r="C2340" s="1" t="s">
        <v>40</v>
      </c>
      <c r="D2340" s="1" t="s">
        <v>35</v>
      </c>
      <c r="E2340" s="2">
        <v>42775</v>
      </c>
      <c r="F2340" s="2" t="b">
        <f t="shared" si="147"/>
        <v>1</v>
      </c>
      <c r="G2340" s="2">
        <f t="shared" si="145"/>
        <v>42775</v>
      </c>
      <c r="H2340" s="1" t="s">
        <v>14</v>
      </c>
      <c r="I2340" s="1" t="s">
        <v>1179</v>
      </c>
      <c r="J2340" s="1">
        <v>80</v>
      </c>
      <c r="K2340" s="1">
        <v>77</v>
      </c>
      <c r="L2340" s="3">
        <v>3.7499999999999999E-2</v>
      </c>
      <c r="N2340" t="s">
        <v>3763</v>
      </c>
      <c r="S2340" s="4" t="e">
        <f t="shared" si="146"/>
        <v>#NUM!</v>
      </c>
      <c r="T2340" s="4" t="str">
        <f t="shared" si="144"/>
        <v/>
      </c>
      <c r="U2340" s="4" t="s">
        <v>3763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Rahul parmar</cp:lastModifiedBy>
  <cp:revision/>
  <dcterms:created xsi:type="dcterms:W3CDTF">2021-08-05T04:57:40Z</dcterms:created>
  <dcterms:modified xsi:type="dcterms:W3CDTF">2026-03-29T16:15:53Z</dcterms:modified>
  <cp:category/>
  <cp:contentStatus/>
</cp:coreProperties>
</file>